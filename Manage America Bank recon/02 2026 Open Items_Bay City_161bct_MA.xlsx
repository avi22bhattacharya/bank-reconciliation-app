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eetTyagi\Downloads\Manage America Bank recon\"/>
    </mc:Choice>
  </mc:AlternateContent>
  <xr:revisionPtr revIDLastSave="0" documentId="13_ncr:1_{6B19B96B-437A-4650-B1E7-6A7E927F2808}" xr6:coauthVersionLast="47" xr6:coauthVersionMax="47" xr10:uidLastSave="{00000000-0000-0000-0000-000000000000}"/>
  <bookViews>
    <workbookView xWindow="-120" yWindow="-120" windowWidth="20730" windowHeight="11040" xr2:uid="{8CF69D9D-A45F-4858-A236-72AFA4E41A18}"/>
  </bookViews>
  <sheets>
    <sheet name="Un-Reconcile Bank" sheetId="1" r:id="rId1"/>
    <sheet name="Un-Reconcile GL" sheetId="2" r:id="rId2"/>
  </sheets>
  <definedNames>
    <definedName name="_xlnm._FilterDatabase" localSheetId="0" hidden="1">'Un-Reconcile Bank'!#REF!</definedName>
    <definedName name="_xlnm._FilterDatabase" localSheetId="1" hidden="1">'Un-Reconcile GL'!$A$1:$O$89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7" i="2" l="1"/>
  <c r="B3" i="1"/>
</calcChain>
</file>

<file path=xl/sharedStrings.xml><?xml version="1.0" encoding="utf-8"?>
<sst xmlns="http://schemas.openxmlformats.org/spreadsheetml/2006/main" count="630" uniqueCount="150">
  <si>
    <t>Property Name</t>
  </si>
  <si>
    <t>Date</t>
  </si>
  <si>
    <t>Control</t>
  </si>
  <si>
    <t>Reference</t>
  </si>
  <si>
    <t>Descriptions</t>
  </si>
  <si>
    <t>Remarks</t>
  </si>
  <si>
    <t>Amount</t>
  </si>
  <si>
    <t>Comments</t>
  </si>
  <si>
    <t>Bay City</t>
  </si>
  <si>
    <t>02/27/2026</t>
  </si>
  <si>
    <t>STAGECOACH SWEEP DEBIT</t>
  </si>
  <si>
    <t>AP</t>
  </si>
  <si>
    <t>Description</t>
  </si>
  <si>
    <t>J-353217</t>
  </si>
  <si>
    <t>Daily Deposit</t>
  </si>
  <si>
    <t>02/27/2026 Daily Deposit</t>
  </si>
  <si>
    <t>CKS 02/27/2026 Batch 549b34f3-280b-4630-bac7-8ab81518f60d</t>
  </si>
  <si>
    <t>AR</t>
  </si>
  <si>
    <t>Will be cleared on 03/02/2026 with bank transaction</t>
  </si>
  <si>
    <t>CKS 02/27/2026 Batch 78c85e70-3a14-46dc-9d4c-390dc0d682d0</t>
  </si>
  <si>
    <t>J-353137</t>
  </si>
  <si>
    <t>Accrue Casa Verde FEB 2026 swap PB :Reversed by J-353139</t>
  </si>
  <si>
    <t>Accrue (161) Casa Verde FEB 2026 swap PB</t>
  </si>
  <si>
    <t>Will be reversed on 03/01/2026 with J-353139</t>
  </si>
  <si>
    <t>J-353218</t>
  </si>
  <si>
    <t>02/28/2026 Daily Deposit</t>
  </si>
  <si>
    <t>RP : CC Deposit 02/28/2026</t>
  </si>
  <si>
    <t>K-516932</t>
  </si>
  <si>
    <t>1704</t>
  </si>
  <si>
    <t>Barb Tumas (v0011814)</t>
  </si>
  <si>
    <t>Credit Balance Refund</t>
  </si>
  <si>
    <t>Will be reversed on 03/16/2026 with K-540177</t>
  </si>
  <si>
    <t>K-527467</t>
  </si>
  <si>
    <t>22619</t>
  </si>
  <si>
    <t>Lakeshore Management Inc (v0000666)</t>
  </si>
  <si>
    <t>B&amp;B INV#23460362/32400 EO</t>
  </si>
  <si>
    <t>Not found in bank</t>
  </si>
  <si>
    <t>K-527566</t>
  </si>
  <si>
    <t>22620</t>
  </si>
  <si>
    <t>Package 5-2025 to 4-2026</t>
  </si>
  <si>
    <t>Will be reversed on 03/16/2026 with K-540240</t>
  </si>
  <si>
    <t>K-527696</t>
  </si>
  <si>
    <t>22621</t>
  </si>
  <si>
    <t>WC 11-2025 to 11-2026</t>
  </si>
  <si>
    <t>K-531601</t>
  </si>
  <si>
    <t>1752</t>
  </si>
  <si>
    <t>Suburban Propane 1112 (v0001025)</t>
  </si>
  <si>
    <t>Propane Gas Lot 159, 161, 104. 144</t>
  </si>
  <si>
    <t>Will be cleared on 03/03/2026 with bank transaction</t>
  </si>
  <si>
    <t>K-533195</t>
  </si>
  <si>
    <t>1757</t>
  </si>
  <si>
    <t>Delaware Electric Cooperative Inc (v0007699)</t>
  </si>
  <si>
    <t>Electric-16423500-120-01/13/2026-02/10/2026 - 29 Days Vacant</t>
  </si>
  <si>
    <t>Electric-5184204-159-01/13/2026-02/11/2026 - 30 Days Vacant</t>
  </si>
  <si>
    <t>Electric-5184602-161-01/13/2026-02/10/2026 - 29 Days Vacant</t>
  </si>
  <si>
    <t>Electric-5221609-E7-01/13/2026-02/11/2026 - 30 Days Vacant</t>
  </si>
  <si>
    <t>Electric-5170602-140-01/13/2026-02/10/2026 - 29 Days Vacant</t>
  </si>
  <si>
    <t>Electric-16423200-91-01/13/2026-02/10/2026 - 29 Days Vacant</t>
  </si>
  <si>
    <t>K-533481</t>
  </si>
  <si>
    <t>1759</t>
  </si>
  <si>
    <t>VERIZON*** (v0001131)</t>
  </si>
  <si>
    <t>ACCT#357-194-549-0001-49 2/7-3/6</t>
  </si>
  <si>
    <t>K-533482</t>
  </si>
  <si>
    <t>1760</t>
  </si>
  <si>
    <t>Morton, Valihura &amp; Zerbato, LLC (v0007223)</t>
  </si>
  <si>
    <t>Svc 1/16/26</t>
  </si>
  <si>
    <t>Will be cleared on 03/04/2026 with bank transaction</t>
  </si>
  <si>
    <t>K-533599</t>
  </si>
  <si>
    <t>1761</t>
  </si>
  <si>
    <t>Staples Bus (v0001011)</t>
  </si>
  <si>
    <t>ORDER# 7675118893-000-001 BY GLORIA LAMONACA</t>
  </si>
  <si>
    <t>K-534272</t>
  </si>
  <si>
    <t>1762</t>
  </si>
  <si>
    <t>Core Integrated Marketing (v0000301)</t>
  </si>
  <si>
    <t>CAT INV, MAIL SERVICE/PREP AND FIRMBOOK POM</t>
  </si>
  <si>
    <t>Will be cleared on 03/11/2026 with bank transaction</t>
  </si>
  <si>
    <t>CAT INV, MAIL SERVICE/PREP AND POM</t>
  </si>
  <si>
    <t>K-534488</t>
  </si>
  <si>
    <t>22642</t>
  </si>
  <si>
    <t>Diesel Fuel for tractors</t>
  </si>
  <si>
    <t>Will be cleared on 03/05/2026 with bank transaction</t>
  </si>
  <si>
    <t>Materials for sign posts</t>
  </si>
  <si>
    <t>Drinks for the office</t>
  </si>
  <si>
    <t>Purchase air filters for Office furnace</t>
  </si>
  <si>
    <t>Purchased paper towels and air freshner</t>
  </si>
  <si>
    <t>Digitalpaper copies of surveys</t>
  </si>
  <si>
    <t>Purchased drinks snacks and accessories</t>
  </si>
  <si>
    <t>dinner</t>
  </si>
  <si>
    <t>lunch</t>
  </si>
  <si>
    <t>Gift Card  Yard of the Month and Resident Raffle</t>
  </si>
  <si>
    <t>Remove and dispose of debris from the community</t>
  </si>
  <si>
    <t>Remove and dispose of debris from the Community</t>
  </si>
  <si>
    <t>RVMarine Antifreeze</t>
  </si>
  <si>
    <t>folding lock flip utilty knife ratchet strap prong straight hook</t>
  </si>
  <si>
    <t>rugged reacher tool</t>
  </si>
  <si>
    <t>Jigsaw blades</t>
  </si>
  <si>
    <t>Blades and bolts</t>
  </si>
  <si>
    <t>Street Maintenance</t>
  </si>
  <si>
    <t>Gravel for roads</t>
  </si>
  <si>
    <t>Lumber to buildrepair mailbox posts</t>
  </si>
  <si>
    <t>screws</t>
  </si>
  <si>
    <t>cable tie  everbilt peg hooks  maxflex fab black  maxflex satin bright yellow  magnum rafter square  tape  white peg board  prime fir stud</t>
  </si>
  <si>
    <t>safety board accessories</t>
  </si>
  <si>
    <t>73018076 FLAT CAP 4X4 WHT EAFC4 X WHT VINYL 4X4 SLEEVE 108</t>
  </si>
  <si>
    <t>gas for vehicle</t>
  </si>
  <si>
    <t>Truck Fuel</t>
  </si>
  <si>
    <t>Nextiva VoIP Jan</t>
  </si>
  <si>
    <t>AMBS Call Center Jan</t>
  </si>
  <si>
    <t>Lunch</t>
  </si>
  <si>
    <t>Snacks</t>
  </si>
  <si>
    <t>Resident event</t>
  </si>
  <si>
    <t>Resident luncheon</t>
  </si>
  <si>
    <t>resident Beach passes</t>
  </si>
  <si>
    <t>Tractor repairs and maintenance</t>
  </si>
  <si>
    <t>Safety cabinet</t>
  </si>
  <si>
    <t>Safety Board</t>
  </si>
  <si>
    <t>Safety Board accessories</t>
  </si>
  <si>
    <t>New mailboxes for Main St</t>
  </si>
  <si>
    <t>Sign banner</t>
  </si>
  <si>
    <t>Decor for QBR</t>
  </si>
  <si>
    <t>Taking classes</t>
  </si>
  <si>
    <t>maintenance supplies</t>
  </si>
  <si>
    <t>tool box tsc brite alum deep cross stand</t>
  </si>
  <si>
    <t>lunch site visit</t>
  </si>
  <si>
    <t>breakfast bay city travel day</t>
  </si>
  <si>
    <t>Egencia fee car rental</t>
  </si>
  <si>
    <t>rental car refuel site visit</t>
  </si>
  <si>
    <t>Rental car bay city site visit  auditors visit</t>
  </si>
  <si>
    <t>breakfast during property visit for new homes</t>
  </si>
  <si>
    <t>lunch during property visit for new homes</t>
  </si>
  <si>
    <t>K-534912</t>
  </si>
  <si>
    <t>1763</t>
  </si>
  <si>
    <t>01/24/2026-02/23/2026-Electric-5220205-ELECTRIC 1-BAY CITY</t>
  </si>
  <si>
    <t>Will be cleared on 03/09/2026 with bank transaction</t>
  </si>
  <si>
    <t>K-534970</t>
  </si>
  <si>
    <t>1764</t>
  </si>
  <si>
    <t>Mark Balestra Media (v0012125)</t>
  </si>
  <si>
    <t>Drone photography</t>
  </si>
  <si>
    <t>Will be cleared on 03/10/2026 with bank transaction</t>
  </si>
  <si>
    <t>J-353068</t>
  </si>
  <si>
    <t>02/2026 Mortgages 120-164</t>
  </si>
  <si>
    <t>Bay City mtg pymt</t>
  </si>
  <si>
    <t>J-353554</t>
  </si>
  <si>
    <t>Park Mgmt Fees Feb 2026</t>
  </si>
  <si>
    <t>Park Mgmt Fees Feb 2026 :Reversed by J-355290</t>
  </si>
  <si>
    <t>Will be reversed on 03/01/2026 with J-355290</t>
  </si>
  <si>
    <t>Check Number</t>
  </si>
  <si>
    <t>Property</t>
  </si>
  <si>
    <t>161bct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</si>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</sst>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0_);[Red]\(0.00\)"/>
    <numFmt numFmtId="165" formatCode="mm/dd/yyyy"/>
    <numFmt numFmtId="166" formatCode="[$-409]mm\/dd\/yy"/>
  </numFmts>
  <fonts count="5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8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top"/>
    </xf>
    <xf numFmtId="0" fontId="3" fillId="2" borderId="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164" fontId="3" fillId="2" borderId="0" xfId="1" applyNumberFormat="1" applyFont="1" applyFill="1" applyAlignment="1">
      <alignment horizontal="center"/>
    </xf>
    <xf numFmtId="8" fontId="3" fillId="2" borderId="0" xfId="1" applyNumberFormat="1" applyFont="1" applyFill="1" applyAlignment="1">
      <alignment horizontal="center"/>
    </xf>
    <xf numFmtId="0" fontId="2" fillId="0" borderId="0" xfId="2"/>
    <xf numFmtId="14" fontId="1" fillId="0" borderId="0" xfId="0" applyNumberFormat="1" applyFont="1" applyAlignment="1">
      <alignment horizontal="right" vertical="top"/>
    </xf>
    <xf numFmtId="8" fontId="1" fillId="0" borderId="0" xfId="0" applyNumberFormat="1" applyFont="1" applyAlignment="1">
      <alignment horizontal="right"/>
    </xf>
    <xf numFmtId="0" fontId="2" fillId="0" borderId="0" xfId="1"/>
    <xf numFmtId="165" fontId="1" fillId="0" borderId="0" xfId="0" applyNumberFormat="1" applyFont="1" applyAlignment="1">
      <alignment horizontal="left"/>
    </xf>
    <xf numFmtId="8" fontId="2" fillId="0" borderId="2" xfId="2" applyNumberFormat="1" applyBorder="1" applyAlignment="1">
      <alignment horizontal="right" vertical="center"/>
    </xf>
    <xf numFmtId="8" fontId="2" fillId="0" borderId="0" xfId="2" applyNumberFormat="1" applyAlignment="1">
      <alignment horizontal="center" vertical="center"/>
    </xf>
    <xf numFmtId="8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top"/>
    </xf>
    <xf numFmtId="0" fontId="1" fillId="0" borderId="0" xfId="0" applyFont="1"/>
    <xf numFmtId="14" fontId="2" fillId="0" borderId="0" xfId="1" applyNumberFormat="1"/>
    <xf numFmtId="165" fontId="2" fillId="0" borderId="0" xfId="2" applyNumberFormat="1"/>
    <xf numFmtId="49" fontId="2" fillId="0" borderId="0" xfId="2" applyNumberFormat="1" applyAlignment="1">
      <alignment vertical="top"/>
    </xf>
    <xf numFmtId="166" fontId="2" fillId="0" borderId="0" xfId="2" applyNumberFormat="1" applyAlignment="1">
      <alignment vertical="top"/>
    </xf>
    <xf numFmtId="8" fontId="2" fillId="0" borderId="0" xfId="2" applyNumberFormat="1" applyAlignment="1">
      <alignment vertical="top"/>
    </xf>
    <xf numFmtId="8" fontId="2" fillId="0" borderId="0" xfId="2" applyNumberFormat="1" applyAlignment="1">
      <alignment horizontal="center"/>
    </xf>
    <xf numFmtId="0" fontId="2" fillId="0" borderId="0" xfId="2" applyAlignment="1">
      <alignment horizontal="left" vertical="center"/>
    </xf>
    <xf numFmtId="0" fontId="4" fillId="0" borderId="0" xfId="2" applyFont="1"/>
    <xf numFmtId="8" fontId="2" fillId="0" borderId="0" xfId="2" applyNumberFormat="1"/>
    <xf numFmtId="8" fontId="1" fillId="0" borderId="2" xfId="0" applyNumberFormat="1" applyFont="1" applyBorder="1" applyAlignment="1">
      <alignment horizontal="right" vertical="top"/>
    </xf>
    <xf numFmtId="0" fontId="2" fillId="0" borderId="0" xfId="2" applyAlignment="1">
      <alignment horizontal="left" vertical="center"/>
    </xf>
  </cellXfs>
  <cellStyles count="3">
    <cellStyle name="Normal" xfId="0" builtinId="0"/>
    <cellStyle name="Normal 12" xfId="2" xr:uid="{E641BBC0-8929-43B7-988D-D5F3CE07F987}"/>
    <cellStyle name="Normal 2 2 2" xfId="1" xr:uid="{D20792F4-7671-4DB7-942D-9BB4EF66BE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AA0E-95FE-40DE-980C-F36E0001B486}">
  <sheetPr>
    <pageSetUpPr fitToPage="1"/>
  </sheetPr>
  <dimension ref="A1:D4"/>
  <sheetViews>
    <sheetView tabSelected="1" zoomScale="85" zoomScaleNormal="85" workbookViewId="0">
      <pane ySplit="1" topLeftCell="A2" activePane="bottomLeft" state="frozen"/>
      <selection activeCell="F44" sqref="F44"/>
      <selection pane="bottomLeft"/>
    </sheetView>
  </sheetViews>
  <sheetFormatPr defaultColWidth="9.33203125" defaultRowHeight="12.75" x14ac:dyDescent="0.2"/>
  <cols>
    <col min="1" max="1" width="12.6640625" style="1" bestFit="1" customWidth="1"/>
    <col min="2" max="2" width="16.6640625" style="3" customWidth="1"/>
    <col min="3" max="3" width="17.6640625" style="1" bestFit="1" customWidth="1"/>
    <col min="4" max="4" width="48.83203125" style="2" customWidth="1"/>
    <col min="5" max="16384" width="9.33203125" style="1"/>
  </cols>
  <sheetData>
    <row r="1" spans="1:4" x14ac:dyDescent="0.2">
      <c r="A1" s="7" t="s">
        <v>1</v>
      </c>
      <c r="B1" s="9" t="s">
        <v>6</v>
      </c>
      <c r="C1" s="7" t="s">
        <v>146</v>
      </c>
      <c r="D1" s="8" t="s">
        <v>4</v>
      </c>
    </row>
    <row r="2" spans="1:4" x14ac:dyDescent="0.2">
      <c r="A2" s="11" t="s">
        <v>9</v>
      </c>
      <c r="B2" s="12">
        <v>-218340.77</v>
      </c>
      <c r="C2" s="12"/>
      <c r="D2" s="13" t="s">
        <v>10</v>
      </c>
    </row>
    <row r="3" spans="1:4" ht="13.5" thickBot="1" x14ac:dyDescent="0.25">
      <c r="A3" s="14"/>
      <c r="B3" s="15">
        <f>SUM(B2)</f>
        <v>-218340.77</v>
      </c>
      <c r="D3" s="13"/>
    </row>
    <row r="4" spans="1:4" ht="13.5" thickTop="1" x14ac:dyDescent="0.2">
      <c r="A4" s="14"/>
      <c r="B4" s="16"/>
    </row>
  </sheetData>
  <pageMargins left="0.7" right="0.7" top="0.75" bottom="0.75" header="0.3" footer="0.3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2790-583C-406D-A8FB-C8977B06F4A1}">
  <sheetPr>
    <pageSetUpPr fitToPage="1"/>
  </sheetPr>
  <dimension ref="A1:O89"/>
  <sheetViews>
    <sheetView zoomScale="85" zoomScaleNormal="85" workbookViewId="0">
      <pane ySplit="1" topLeftCell="A2" activePane="bottomLeft" state="frozen"/>
      <selection activeCell="F44" sqref="F44"/>
      <selection pane="bottomLeft"/>
    </sheetView>
  </sheetViews>
  <sheetFormatPr defaultColWidth="9.33203125" defaultRowHeight="12.75" x14ac:dyDescent="0.2"/>
  <cols>
    <col min="1" max="1" width="10.83203125" style="1" bestFit="1" customWidth="1"/>
    <col min="2" max="2" width="17.6640625" style="1" bestFit="1" customWidth="1"/>
    <col min="3" max="3" width="12" style="1" bestFit="1" customWidth="1"/>
    <col min="4" max="4" width="12" style="1" customWidth="1"/>
    <col min="5" max="5" width="64.33203125" style="1" bestFit="1" customWidth="1"/>
    <col min="6" max="6" width="10.5" style="1" bestFit="1" customWidth="1"/>
    <col min="7" max="7" width="28.6640625" style="1" bestFit="1" customWidth="1"/>
    <col min="8" max="8" width="14.6640625" style="3" bestFit="1" customWidth="1"/>
    <col min="9" max="9" width="23.1640625" style="2" bestFit="1" customWidth="1"/>
    <col min="10" max="10" width="13.5" style="1" bestFit="1" customWidth="1"/>
    <col min="11" max="11" width="52.6640625" style="4" hidden="1" customWidth="1"/>
    <col min="12" max="12" width="12" style="5" bestFit="1" customWidth="1"/>
    <col min="13" max="13" width="10.33203125" style="5" bestFit="1" customWidth="1"/>
    <col min="14" max="16384" width="9.33203125" style="1"/>
  </cols>
  <sheetData>
    <row r="1" spans="1:15" x14ac:dyDescent="0.2">
      <c r="A1" s="6" t="s">
        <v>147</v>
      </c>
      <c r="B1" s="6" t="s">
        <v>0</v>
      </c>
      <c r="C1" s="7" t="s">
        <v>1</v>
      </c>
      <c r="D1" s="7" t="s">
        <v>149</v>
      </c>
      <c r="E1" s="8" t="s">
        <v>12</v>
      </c>
      <c r="F1" s="7" t="s">
        <v>2</v>
      </c>
      <c r="G1" s="8" t="s">
        <v>3</v>
      </c>
      <c r="H1" s="9" t="s">
        <v>6</v>
      </c>
      <c r="I1" s="9" t="s">
        <v>5</v>
      </c>
      <c r="J1" s="7" t="s">
        <v>7</v>
      </c>
      <c r="K1" s="17"/>
      <c r="L1" s="18"/>
      <c r="N1" s="19"/>
      <c r="O1" s="20"/>
    </row>
    <row r="2" spans="1:15" s="27" customFormat="1" x14ac:dyDescent="0.2">
      <c r="A2" s="10" t="s">
        <v>148</v>
      </c>
      <c r="B2" s="10" t="s">
        <v>8</v>
      </c>
      <c r="C2" s="21">
        <v>46080</v>
      </c>
      <c r="D2" s="21">
        <v>46054</v>
      </c>
      <c r="E2" s="23" t="s">
        <v>15</v>
      </c>
      <c r="F2" s="22" t="s">
        <v>13</v>
      </c>
      <c r="G2" s="22" t="s">
        <v>14</v>
      </c>
      <c r="H2" s="24">
        <v>741.19</v>
      </c>
      <c r="I2" s="22" t="s">
        <v>16</v>
      </c>
      <c r="J2" s="25" t="s">
        <v>17</v>
      </c>
      <c r="K2" s="26" t="s">
        <v>18</v>
      </c>
      <c r="L2" s="10"/>
      <c r="M2" s="10"/>
    </row>
    <row r="3" spans="1:15" s="27" customFormat="1" x14ac:dyDescent="0.2">
      <c r="A3" s="10" t="s">
        <v>148</v>
      </c>
      <c r="B3" s="10" t="s">
        <v>8</v>
      </c>
      <c r="C3" s="21">
        <v>46080</v>
      </c>
      <c r="D3" s="21">
        <v>46054</v>
      </c>
      <c r="E3" s="23" t="s">
        <v>15</v>
      </c>
      <c r="F3" s="22" t="s">
        <v>13</v>
      </c>
      <c r="G3" s="22" t="s">
        <v>14</v>
      </c>
      <c r="H3" s="24">
        <v>7474.5</v>
      </c>
      <c r="I3" s="22" t="s">
        <v>19</v>
      </c>
      <c r="J3" s="25" t="s">
        <v>17</v>
      </c>
      <c r="K3" s="26" t="s">
        <v>18</v>
      </c>
      <c r="L3" s="10"/>
      <c r="M3" s="10"/>
    </row>
    <row r="4" spans="1:15" s="27" customFormat="1" x14ac:dyDescent="0.2">
      <c r="A4" s="10" t="s">
        <v>148</v>
      </c>
      <c r="B4" s="10" t="s">
        <v>8</v>
      </c>
      <c r="C4" s="21">
        <v>46081</v>
      </c>
      <c r="D4" s="21">
        <v>46054</v>
      </c>
      <c r="E4" s="23" t="s">
        <v>21</v>
      </c>
      <c r="F4" s="22" t="s">
        <v>20</v>
      </c>
      <c r="G4" s="22"/>
      <c r="H4" s="24">
        <v>46447.78</v>
      </c>
      <c r="I4" s="22" t="s">
        <v>22</v>
      </c>
      <c r="J4" s="25" t="s">
        <v>17</v>
      </c>
      <c r="K4" s="4" t="s">
        <v>23</v>
      </c>
      <c r="L4" s="10"/>
      <c r="M4" s="10"/>
    </row>
    <row r="5" spans="1:15" s="27" customFormat="1" x14ac:dyDescent="0.2">
      <c r="A5" s="10" t="s">
        <v>148</v>
      </c>
      <c r="B5" s="10" t="s">
        <v>8</v>
      </c>
      <c r="C5" s="21">
        <v>46081</v>
      </c>
      <c r="D5" s="21">
        <v>46054</v>
      </c>
      <c r="E5" s="23" t="s">
        <v>25</v>
      </c>
      <c r="F5" s="22" t="s">
        <v>24</v>
      </c>
      <c r="G5" s="22" t="s">
        <v>14</v>
      </c>
      <c r="H5" s="24">
        <v>684.31</v>
      </c>
      <c r="I5" s="22" t="s">
        <v>26</v>
      </c>
      <c r="J5" s="25" t="s">
        <v>17</v>
      </c>
      <c r="K5" s="4" t="s">
        <v>18</v>
      </c>
      <c r="L5" s="21"/>
      <c r="M5" s="10"/>
    </row>
    <row r="6" spans="1:15" s="27" customFormat="1" x14ac:dyDescent="0.2">
      <c r="A6" s="10" t="s">
        <v>148</v>
      </c>
      <c r="B6" s="10" t="s">
        <v>8</v>
      </c>
      <c r="C6" s="21">
        <v>46013</v>
      </c>
      <c r="D6" s="21">
        <v>46054</v>
      </c>
      <c r="E6" s="23" t="s">
        <v>29</v>
      </c>
      <c r="F6" s="22" t="s">
        <v>27</v>
      </c>
      <c r="G6" s="22" t="s">
        <v>28</v>
      </c>
      <c r="H6" s="28">
        <v>-100</v>
      </c>
      <c r="I6" s="22" t="s">
        <v>30</v>
      </c>
      <c r="J6" s="3" t="s">
        <v>11</v>
      </c>
      <c r="K6" s="26" t="s">
        <v>31</v>
      </c>
      <c r="L6" s="10"/>
      <c r="M6" s="10"/>
    </row>
    <row r="7" spans="1:15" s="27" customFormat="1" x14ac:dyDescent="0.2">
      <c r="A7" s="10" t="s">
        <v>148</v>
      </c>
      <c r="B7" s="10" t="s">
        <v>8</v>
      </c>
      <c r="C7" s="21">
        <v>46052</v>
      </c>
      <c r="D7" s="21">
        <v>46054</v>
      </c>
      <c r="E7" s="23" t="s">
        <v>34</v>
      </c>
      <c r="F7" s="22" t="s">
        <v>32</v>
      </c>
      <c r="G7" s="22" t="s">
        <v>33</v>
      </c>
      <c r="H7" s="28">
        <v>-1892.34</v>
      </c>
      <c r="I7" s="22" t="s">
        <v>35</v>
      </c>
      <c r="J7" s="3" t="s">
        <v>11</v>
      </c>
      <c r="K7" s="26" t="s">
        <v>36</v>
      </c>
      <c r="L7" s="10"/>
      <c r="M7" s="10"/>
    </row>
    <row r="8" spans="1:15" s="27" customFormat="1" x14ac:dyDescent="0.2">
      <c r="A8" s="10" t="s">
        <v>148</v>
      </c>
      <c r="B8" s="10" t="s">
        <v>8</v>
      </c>
      <c r="C8" s="21">
        <v>46055</v>
      </c>
      <c r="D8" s="21">
        <v>46054</v>
      </c>
      <c r="E8" s="23" t="s">
        <v>34</v>
      </c>
      <c r="F8" s="22" t="s">
        <v>37</v>
      </c>
      <c r="G8" s="22" t="s">
        <v>38</v>
      </c>
      <c r="H8" s="28">
        <v>-8593.83</v>
      </c>
      <c r="I8" s="22" t="s">
        <v>39</v>
      </c>
      <c r="J8" s="3" t="s">
        <v>11</v>
      </c>
      <c r="K8" s="26" t="s">
        <v>40</v>
      </c>
      <c r="L8" s="10"/>
      <c r="M8" s="10"/>
    </row>
    <row r="9" spans="1:15" s="27" customFormat="1" x14ac:dyDescent="0.2">
      <c r="A9" s="10" t="s">
        <v>148</v>
      </c>
      <c r="B9" s="10" t="s">
        <v>8</v>
      </c>
      <c r="C9" s="21">
        <v>46055</v>
      </c>
      <c r="D9" s="21">
        <v>46054</v>
      </c>
      <c r="E9" s="23" t="s">
        <v>34</v>
      </c>
      <c r="F9" s="22" t="s">
        <v>41</v>
      </c>
      <c r="G9" s="22" t="s">
        <v>42</v>
      </c>
      <c r="H9" s="28">
        <v>-639.52</v>
      </c>
      <c r="I9" s="22" t="s">
        <v>43</v>
      </c>
      <c r="J9" s="3" t="s">
        <v>11</v>
      </c>
      <c r="K9" s="26" t="s">
        <v>36</v>
      </c>
      <c r="L9" s="10"/>
      <c r="M9" s="10"/>
    </row>
    <row r="10" spans="1:15" s="27" customFormat="1" x14ac:dyDescent="0.2">
      <c r="A10" s="10" t="s">
        <v>148</v>
      </c>
      <c r="B10" s="10" t="s">
        <v>8</v>
      </c>
      <c r="C10" s="21">
        <v>46066</v>
      </c>
      <c r="D10" s="21">
        <v>46054</v>
      </c>
      <c r="E10" s="23" t="s">
        <v>46</v>
      </c>
      <c r="F10" s="22" t="s">
        <v>44</v>
      </c>
      <c r="G10" s="22" t="s">
        <v>45</v>
      </c>
      <c r="H10" s="28">
        <v>-528.83000000000004</v>
      </c>
      <c r="I10" s="22" t="s">
        <v>47</v>
      </c>
      <c r="J10" s="3" t="s">
        <v>11</v>
      </c>
      <c r="K10" s="26" t="s">
        <v>48</v>
      </c>
      <c r="L10" s="10"/>
      <c r="M10" s="10"/>
    </row>
    <row r="11" spans="1:15" s="27" customFormat="1" x14ac:dyDescent="0.2">
      <c r="A11" s="10" t="s">
        <v>148</v>
      </c>
      <c r="B11" s="10" t="s">
        <v>8</v>
      </c>
      <c r="C11" s="21">
        <v>46072</v>
      </c>
      <c r="D11" s="21">
        <v>46054</v>
      </c>
      <c r="E11" s="23" t="s">
        <v>51</v>
      </c>
      <c r="F11" s="22" t="s">
        <v>49</v>
      </c>
      <c r="G11" s="22" t="s">
        <v>50</v>
      </c>
      <c r="H11" s="28">
        <v>-35.43</v>
      </c>
      <c r="I11" s="22" t="s">
        <v>52</v>
      </c>
      <c r="J11" s="3" t="s">
        <v>11</v>
      </c>
      <c r="K11" s="30" t="s">
        <v>18</v>
      </c>
      <c r="L11" s="10"/>
      <c r="M11" s="10"/>
    </row>
    <row r="12" spans="1:15" s="27" customFormat="1" x14ac:dyDescent="0.2">
      <c r="A12" s="10" t="s">
        <v>148</v>
      </c>
      <c r="B12" s="10" t="s">
        <v>8</v>
      </c>
      <c r="C12" s="21">
        <v>46072</v>
      </c>
      <c r="D12" s="21">
        <v>46054</v>
      </c>
      <c r="E12" s="23" t="s">
        <v>51</v>
      </c>
      <c r="F12" s="22" t="s">
        <v>49</v>
      </c>
      <c r="G12" s="22" t="s">
        <v>50</v>
      </c>
      <c r="H12" s="28">
        <v>-37.85</v>
      </c>
      <c r="I12" s="22" t="s">
        <v>53</v>
      </c>
      <c r="J12" s="3" t="s">
        <v>11</v>
      </c>
      <c r="K12" s="30"/>
      <c r="L12" s="10"/>
      <c r="M12" s="10"/>
    </row>
    <row r="13" spans="1:15" s="27" customFormat="1" x14ac:dyDescent="0.2">
      <c r="A13" s="10" t="s">
        <v>148</v>
      </c>
      <c r="B13" s="10" t="s">
        <v>8</v>
      </c>
      <c r="C13" s="21">
        <v>46072</v>
      </c>
      <c r="D13" s="21">
        <v>46054</v>
      </c>
      <c r="E13" s="23" t="s">
        <v>51</v>
      </c>
      <c r="F13" s="22" t="s">
        <v>49</v>
      </c>
      <c r="G13" s="22" t="s">
        <v>50</v>
      </c>
      <c r="H13" s="28">
        <v>-40.9</v>
      </c>
      <c r="I13" s="22" t="s">
        <v>54</v>
      </c>
      <c r="J13" s="3" t="s">
        <v>11</v>
      </c>
      <c r="K13" s="30"/>
      <c r="L13" s="10"/>
      <c r="M13" s="10"/>
    </row>
    <row r="14" spans="1:15" s="27" customFormat="1" x14ac:dyDescent="0.2">
      <c r="A14" s="10" t="s">
        <v>148</v>
      </c>
      <c r="B14" s="10" t="s">
        <v>8</v>
      </c>
      <c r="C14" s="21">
        <v>46072</v>
      </c>
      <c r="D14" s="21">
        <v>46054</v>
      </c>
      <c r="E14" s="23" t="s">
        <v>51</v>
      </c>
      <c r="F14" s="22" t="s">
        <v>49</v>
      </c>
      <c r="G14" s="22" t="s">
        <v>50</v>
      </c>
      <c r="H14" s="28">
        <v>-307.37</v>
      </c>
      <c r="I14" s="22" t="s">
        <v>55</v>
      </c>
      <c r="J14" s="3" t="s">
        <v>11</v>
      </c>
      <c r="K14" s="30"/>
      <c r="L14" s="10"/>
      <c r="M14" s="10"/>
    </row>
    <row r="15" spans="1:15" s="27" customFormat="1" x14ac:dyDescent="0.2">
      <c r="A15" s="10" t="s">
        <v>148</v>
      </c>
      <c r="B15" s="10" t="s">
        <v>8</v>
      </c>
      <c r="C15" s="21">
        <v>46072</v>
      </c>
      <c r="D15" s="21">
        <v>46054</v>
      </c>
      <c r="E15" s="23" t="s">
        <v>51</v>
      </c>
      <c r="F15" s="22" t="s">
        <v>49</v>
      </c>
      <c r="G15" s="22" t="s">
        <v>50</v>
      </c>
      <c r="H15" s="28">
        <v>-36.630000000000003</v>
      </c>
      <c r="I15" s="22" t="s">
        <v>56</v>
      </c>
      <c r="J15" s="3" t="s">
        <v>11</v>
      </c>
      <c r="K15" s="30"/>
      <c r="L15" s="10"/>
      <c r="M15" s="10"/>
    </row>
    <row r="16" spans="1:15" s="27" customFormat="1" x14ac:dyDescent="0.2">
      <c r="A16" s="10" t="s">
        <v>148</v>
      </c>
      <c r="B16" s="10" t="s">
        <v>8</v>
      </c>
      <c r="C16" s="21">
        <v>46072</v>
      </c>
      <c r="D16" s="21">
        <v>46054</v>
      </c>
      <c r="E16" s="23" t="s">
        <v>51</v>
      </c>
      <c r="F16" s="22" t="s">
        <v>49</v>
      </c>
      <c r="G16" s="22" t="s">
        <v>50</v>
      </c>
      <c r="H16" s="28">
        <v>-37.25</v>
      </c>
      <c r="I16" s="22" t="s">
        <v>57</v>
      </c>
      <c r="J16" s="3" t="s">
        <v>11</v>
      </c>
      <c r="K16" s="30"/>
      <c r="L16" s="10"/>
      <c r="M16" s="10"/>
    </row>
    <row r="17" spans="1:13" s="27" customFormat="1" x14ac:dyDescent="0.2">
      <c r="A17" s="10" t="s">
        <v>148</v>
      </c>
      <c r="B17" s="10" t="s">
        <v>8</v>
      </c>
      <c r="C17" s="21">
        <v>46073</v>
      </c>
      <c r="D17" s="21">
        <v>46054</v>
      </c>
      <c r="E17" s="23" t="s">
        <v>60</v>
      </c>
      <c r="F17" s="22" t="s">
        <v>58</v>
      </c>
      <c r="G17" s="22" t="s">
        <v>59</v>
      </c>
      <c r="H17" s="28">
        <v>-221.4</v>
      </c>
      <c r="I17" s="22" t="s">
        <v>61</v>
      </c>
      <c r="J17" s="3" t="s">
        <v>11</v>
      </c>
      <c r="K17" s="26" t="s">
        <v>18</v>
      </c>
      <c r="L17" s="10"/>
      <c r="M17" s="10"/>
    </row>
    <row r="18" spans="1:13" s="27" customFormat="1" x14ac:dyDescent="0.2">
      <c r="A18" s="10" t="s">
        <v>148</v>
      </c>
      <c r="B18" s="10" t="s">
        <v>8</v>
      </c>
      <c r="C18" s="21">
        <v>46073</v>
      </c>
      <c r="D18" s="21">
        <v>46054</v>
      </c>
      <c r="E18" s="23" t="s">
        <v>64</v>
      </c>
      <c r="F18" s="22" t="s">
        <v>62</v>
      </c>
      <c r="G18" s="22" t="s">
        <v>63</v>
      </c>
      <c r="H18" s="28">
        <v>-50</v>
      </c>
      <c r="I18" s="22" t="s">
        <v>65</v>
      </c>
      <c r="J18" s="3" t="s">
        <v>11</v>
      </c>
      <c r="K18" s="26" t="s">
        <v>66</v>
      </c>
      <c r="L18" s="10"/>
      <c r="M18" s="10"/>
    </row>
    <row r="19" spans="1:13" s="27" customFormat="1" x14ac:dyDescent="0.2">
      <c r="A19" s="10" t="s">
        <v>148</v>
      </c>
      <c r="B19" s="10" t="s">
        <v>8</v>
      </c>
      <c r="C19" s="21">
        <v>46076</v>
      </c>
      <c r="D19" s="21">
        <v>46054</v>
      </c>
      <c r="E19" s="23" t="s">
        <v>69</v>
      </c>
      <c r="F19" s="22" t="s">
        <v>67</v>
      </c>
      <c r="G19" s="22" t="s">
        <v>68</v>
      </c>
      <c r="H19" s="28">
        <v>-180.64</v>
      </c>
      <c r="I19" s="22" t="s">
        <v>70</v>
      </c>
      <c r="J19" s="3" t="s">
        <v>11</v>
      </c>
      <c r="K19" s="26" t="s">
        <v>18</v>
      </c>
      <c r="L19" s="10"/>
      <c r="M19" s="10"/>
    </row>
    <row r="20" spans="1:13" s="27" customFormat="1" x14ac:dyDescent="0.2">
      <c r="A20" s="10" t="s">
        <v>148</v>
      </c>
      <c r="B20" s="10" t="s">
        <v>8</v>
      </c>
      <c r="C20" s="21">
        <v>46078</v>
      </c>
      <c r="D20" s="21">
        <v>46054</v>
      </c>
      <c r="E20" s="23" t="s">
        <v>73</v>
      </c>
      <c r="F20" s="22" t="s">
        <v>71</v>
      </c>
      <c r="G20" s="22" t="s">
        <v>72</v>
      </c>
      <c r="H20" s="28">
        <v>-273.7</v>
      </c>
      <c r="I20" s="22" t="s">
        <v>74</v>
      </c>
      <c r="J20" s="3" t="s">
        <v>11</v>
      </c>
      <c r="K20" s="30" t="s">
        <v>75</v>
      </c>
      <c r="L20" s="10"/>
      <c r="M20" s="10"/>
    </row>
    <row r="21" spans="1:13" s="27" customFormat="1" x14ac:dyDescent="0.2">
      <c r="A21" s="10" t="s">
        <v>148</v>
      </c>
      <c r="B21" s="10" t="s">
        <v>8</v>
      </c>
      <c r="C21" s="21">
        <v>46078</v>
      </c>
      <c r="D21" s="21">
        <v>46054</v>
      </c>
      <c r="E21" s="23" t="s">
        <v>73</v>
      </c>
      <c r="F21" s="22" t="s">
        <v>71</v>
      </c>
      <c r="G21" s="22" t="s">
        <v>72</v>
      </c>
      <c r="H21" s="28">
        <v>-166</v>
      </c>
      <c r="I21" s="22" t="s">
        <v>76</v>
      </c>
      <c r="J21" s="3" t="s">
        <v>11</v>
      </c>
      <c r="K21" s="30"/>
      <c r="L21" s="10"/>
      <c r="M21" s="10"/>
    </row>
    <row r="22" spans="1:13" s="27" customFormat="1" x14ac:dyDescent="0.2">
      <c r="A22" s="10" t="s">
        <v>148</v>
      </c>
      <c r="B22" s="10" t="s">
        <v>8</v>
      </c>
      <c r="C22" s="21">
        <v>46079</v>
      </c>
      <c r="D22" s="21">
        <v>46054</v>
      </c>
      <c r="E22" s="23" t="s">
        <v>34</v>
      </c>
      <c r="F22" s="22" t="s">
        <v>77</v>
      </c>
      <c r="G22" s="22" t="s">
        <v>78</v>
      </c>
      <c r="H22" s="28">
        <v>-32.01</v>
      </c>
      <c r="I22" s="22" t="s">
        <v>79</v>
      </c>
      <c r="J22" s="3" t="s">
        <v>11</v>
      </c>
      <c r="K22" s="30" t="s">
        <v>80</v>
      </c>
      <c r="L22" s="10"/>
      <c r="M22" s="10"/>
    </row>
    <row r="23" spans="1:13" s="27" customFormat="1" x14ac:dyDescent="0.2">
      <c r="A23" s="10" t="s">
        <v>148</v>
      </c>
      <c r="B23" s="10" t="s">
        <v>8</v>
      </c>
      <c r="C23" s="21">
        <v>46079</v>
      </c>
      <c r="D23" s="21">
        <v>46054</v>
      </c>
      <c r="E23" s="23" t="s">
        <v>34</v>
      </c>
      <c r="F23" s="22" t="s">
        <v>77</v>
      </c>
      <c r="G23" s="22" t="s">
        <v>78</v>
      </c>
      <c r="H23" s="28">
        <v>-42.03</v>
      </c>
      <c r="I23" s="22" t="s">
        <v>81</v>
      </c>
      <c r="J23" s="3" t="s">
        <v>11</v>
      </c>
      <c r="K23" s="30"/>
      <c r="L23" s="10"/>
      <c r="M23" s="10"/>
    </row>
    <row r="24" spans="1:13" s="27" customFormat="1" x14ac:dyDescent="0.2">
      <c r="A24" s="10" t="s">
        <v>148</v>
      </c>
      <c r="B24" s="10" t="s">
        <v>8</v>
      </c>
      <c r="C24" s="21">
        <v>46079</v>
      </c>
      <c r="D24" s="21">
        <v>46054</v>
      </c>
      <c r="E24" s="23" t="s">
        <v>34</v>
      </c>
      <c r="F24" s="22" t="s">
        <v>77</v>
      </c>
      <c r="G24" s="22" t="s">
        <v>78</v>
      </c>
      <c r="H24" s="28">
        <v>-8.39</v>
      </c>
      <c r="I24" s="22" t="s">
        <v>82</v>
      </c>
      <c r="J24" s="3" t="s">
        <v>11</v>
      </c>
      <c r="K24" s="30"/>
      <c r="L24" s="10"/>
      <c r="M24" s="10"/>
    </row>
    <row r="25" spans="1:13" s="27" customFormat="1" x14ac:dyDescent="0.2">
      <c r="A25" s="10" t="s">
        <v>148</v>
      </c>
      <c r="B25" s="10" t="s">
        <v>8</v>
      </c>
      <c r="C25" s="21">
        <v>46079</v>
      </c>
      <c r="D25" s="21">
        <v>46054</v>
      </c>
      <c r="E25" s="23" t="s">
        <v>34</v>
      </c>
      <c r="F25" s="22" t="s">
        <v>77</v>
      </c>
      <c r="G25" s="22" t="s">
        <v>78</v>
      </c>
      <c r="H25" s="28">
        <v>-20.97</v>
      </c>
      <c r="I25" s="22" t="s">
        <v>83</v>
      </c>
      <c r="J25" s="3" t="s">
        <v>11</v>
      </c>
      <c r="K25" s="30"/>
      <c r="L25" s="10"/>
      <c r="M25" s="10"/>
    </row>
    <row r="26" spans="1:13" s="27" customFormat="1" x14ac:dyDescent="0.2">
      <c r="A26" s="10" t="s">
        <v>148</v>
      </c>
      <c r="B26" s="10" t="s">
        <v>8</v>
      </c>
      <c r="C26" s="21">
        <v>46079</v>
      </c>
      <c r="D26" s="21">
        <v>46054</v>
      </c>
      <c r="E26" s="23" t="s">
        <v>34</v>
      </c>
      <c r="F26" s="22" t="s">
        <v>77</v>
      </c>
      <c r="G26" s="22" t="s">
        <v>78</v>
      </c>
      <c r="H26" s="28">
        <v>-20.98</v>
      </c>
      <c r="I26" s="22" t="s">
        <v>84</v>
      </c>
      <c r="J26" s="3" t="s">
        <v>11</v>
      </c>
      <c r="K26" s="30"/>
      <c r="L26" s="10"/>
      <c r="M26" s="10"/>
    </row>
    <row r="27" spans="1:13" s="27" customFormat="1" x14ac:dyDescent="0.2">
      <c r="A27" s="10" t="s">
        <v>148</v>
      </c>
      <c r="B27" s="10" t="s">
        <v>8</v>
      </c>
      <c r="C27" s="21">
        <v>46079</v>
      </c>
      <c r="D27" s="21">
        <v>46054</v>
      </c>
      <c r="E27" s="23" t="s">
        <v>34</v>
      </c>
      <c r="F27" s="22" t="s">
        <v>77</v>
      </c>
      <c r="G27" s="22" t="s">
        <v>78</v>
      </c>
      <c r="H27" s="28">
        <v>-97.92</v>
      </c>
      <c r="I27" s="22" t="s">
        <v>85</v>
      </c>
      <c r="J27" s="3" t="s">
        <v>11</v>
      </c>
      <c r="K27" s="30"/>
      <c r="L27" s="10"/>
      <c r="M27" s="10"/>
    </row>
    <row r="28" spans="1:13" s="27" customFormat="1" x14ac:dyDescent="0.2">
      <c r="A28" s="10" t="s">
        <v>148</v>
      </c>
      <c r="B28" s="10" t="s">
        <v>8</v>
      </c>
      <c r="C28" s="21">
        <v>46079</v>
      </c>
      <c r="D28" s="21">
        <v>46054</v>
      </c>
      <c r="E28" s="23" t="s">
        <v>34</v>
      </c>
      <c r="F28" s="22" t="s">
        <v>77</v>
      </c>
      <c r="G28" s="22" t="s">
        <v>78</v>
      </c>
      <c r="H28" s="28">
        <v>-50.8</v>
      </c>
      <c r="I28" s="22" t="s">
        <v>86</v>
      </c>
      <c r="J28" s="3" t="s">
        <v>11</v>
      </c>
      <c r="K28" s="30"/>
      <c r="L28" s="10"/>
      <c r="M28" s="10"/>
    </row>
    <row r="29" spans="1:13" s="27" customFormat="1" x14ac:dyDescent="0.2">
      <c r="A29" s="10" t="s">
        <v>148</v>
      </c>
      <c r="B29" s="10" t="s">
        <v>8</v>
      </c>
      <c r="C29" s="21">
        <v>46079</v>
      </c>
      <c r="D29" s="21">
        <v>46054</v>
      </c>
      <c r="E29" s="23" t="s">
        <v>34</v>
      </c>
      <c r="F29" s="22" t="s">
        <v>77</v>
      </c>
      <c r="G29" s="22" t="s">
        <v>78</v>
      </c>
      <c r="H29" s="28">
        <v>-69.56</v>
      </c>
      <c r="I29" s="22" t="s">
        <v>87</v>
      </c>
      <c r="J29" s="3" t="s">
        <v>11</v>
      </c>
      <c r="K29" s="30"/>
      <c r="L29" s="10"/>
      <c r="M29" s="10"/>
    </row>
    <row r="30" spans="1:13" s="27" customFormat="1" x14ac:dyDescent="0.2">
      <c r="A30" s="10" t="s">
        <v>148</v>
      </c>
      <c r="B30" s="10" t="s">
        <v>8</v>
      </c>
      <c r="C30" s="21">
        <v>46079</v>
      </c>
      <c r="D30" s="21">
        <v>46054</v>
      </c>
      <c r="E30" s="23" t="s">
        <v>34</v>
      </c>
      <c r="F30" s="22" t="s">
        <v>77</v>
      </c>
      <c r="G30" s="22" t="s">
        <v>78</v>
      </c>
      <c r="H30" s="28">
        <v>-15.02</v>
      </c>
      <c r="I30" s="22" t="s">
        <v>88</v>
      </c>
      <c r="J30" s="3" t="s">
        <v>11</v>
      </c>
      <c r="K30" s="30"/>
      <c r="L30" s="10"/>
      <c r="M30" s="10"/>
    </row>
    <row r="31" spans="1:13" s="27" customFormat="1" x14ac:dyDescent="0.2">
      <c r="A31" s="10" t="s">
        <v>148</v>
      </c>
      <c r="B31" s="10" t="s">
        <v>8</v>
      </c>
      <c r="C31" s="21">
        <v>46079</v>
      </c>
      <c r="D31" s="21">
        <v>46054</v>
      </c>
      <c r="E31" s="23" t="s">
        <v>34</v>
      </c>
      <c r="F31" s="22" t="s">
        <v>77</v>
      </c>
      <c r="G31" s="22" t="s">
        <v>78</v>
      </c>
      <c r="H31" s="28">
        <v>-14.6</v>
      </c>
      <c r="I31" s="22" t="s">
        <v>88</v>
      </c>
      <c r="J31" s="3" t="s">
        <v>11</v>
      </c>
      <c r="K31" s="30"/>
      <c r="L31" s="10"/>
      <c r="M31" s="10"/>
    </row>
    <row r="32" spans="1:13" s="27" customFormat="1" x14ac:dyDescent="0.2">
      <c r="A32" s="10" t="s">
        <v>148</v>
      </c>
      <c r="B32" s="10" t="s">
        <v>8</v>
      </c>
      <c r="C32" s="21">
        <v>46079</v>
      </c>
      <c r="D32" s="21">
        <v>46054</v>
      </c>
      <c r="E32" s="23" t="s">
        <v>34</v>
      </c>
      <c r="F32" s="22" t="s">
        <v>77</v>
      </c>
      <c r="G32" s="22" t="s">
        <v>78</v>
      </c>
      <c r="H32" s="28">
        <v>-100</v>
      </c>
      <c r="I32" s="22" t="s">
        <v>89</v>
      </c>
      <c r="J32" s="3" t="s">
        <v>11</v>
      </c>
      <c r="K32" s="30"/>
      <c r="L32" s="10"/>
      <c r="M32" s="10"/>
    </row>
    <row r="33" spans="1:13" s="27" customFormat="1" x14ac:dyDescent="0.2">
      <c r="A33" s="10" t="s">
        <v>148</v>
      </c>
      <c r="B33" s="10" t="s">
        <v>8</v>
      </c>
      <c r="C33" s="21">
        <v>46079</v>
      </c>
      <c r="D33" s="21">
        <v>46054</v>
      </c>
      <c r="E33" s="23" t="s">
        <v>34</v>
      </c>
      <c r="F33" s="22" t="s">
        <v>77</v>
      </c>
      <c r="G33" s="22" t="s">
        <v>78</v>
      </c>
      <c r="H33" s="28">
        <v>-22.4</v>
      </c>
      <c r="I33" s="22" t="s">
        <v>90</v>
      </c>
      <c r="J33" s="3" t="s">
        <v>11</v>
      </c>
      <c r="K33" s="30"/>
      <c r="L33" s="10"/>
      <c r="M33" s="10"/>
    </row>
    <row r="34" spans="1:13" s="27" customFormat="1" x14ac:dyDescent="0.2">
      <c r="A34" s="10" t="s">
        <v>148</v>
      </c>
      <c r="B34" s="10" t="s">
        <v>8</v>
      </c>
      <c r="C34" s="21">
        <v>46079</v>
      </c>
      <c r="D34" s="21">
        <v>46054</v>
      </c>
      <c r="E34" s="23" t="s">
        <v>34</v>
      </c>
      <c r="F34" s="22" t="s">
        <v>77</v>
      </c>
      <c r="G34" s="22" t="s">
        <v>78</v>
      </c>
      <c r="H34" s="28">
        <v>-23.2</v>
      </c>
      <c r="I34" s="22" t="s">
        <v>90</v>
      </c>
      <c r="J34" s="3" t="s">
        <v>11</v>
      </c>
      <c r="K34" s="30"/>
      <c r="L34" s="10"/>
      <c r="M34" s="10"/>
    </row>
    <row r="35" spans="1:13" s="27" customFormat="1" x14ac:dyDescent="0.2">
      <c r="A35" s="10" t="s">
        <v>148</v>
      </c>
      <c r="B35" s="10" t="s">
        <v>8</v>
      </c>
      <c r="C35" s="21">
        <v>46079</v>
      </c>
      <c r="D35" s="21">
        <v>46054</v>
      </c>
      <c r="E35" s="23" t="s">
        <v>34</v>
      </c>
      <c r="F35" s="22" t="s">
        <v>77</v>
      </c>
      <c r="G35" s="22" t="s">
        <v>78</v>
      </c>
      <c r="H35" s="28">
        <v>-7.5</v>
      </c>
      <c r="I35" s="22" t="s">
        <v>91</v>
      </c>
      <c r="J35" s="3" t="s">
        <v>11</v>
      </c>
      <c r="K35" s="30"/>
      <c r="L35" s="10"/>
      <c r="M35" s="10"/>
    </row>
    <row r="36" spans="1:13" s="27" customFormat="1" x14ac:dyDescent="0.2">
      <c r="A36" s="10" t="s">
        <v>148</v>
      </c>
      <c r="B36" s="10" t="s">
        <v>8</v>
      </c>
      <c r="C36" s="21">
        <v>46079</v>
      </c>
      <c r="D36" s="21">
        <v>46054</v>
      </c>
      <c r="E36" s="23" t="s">
        <v>34</v>
      </c>
      <c r="F36" s="22" t="s">
        <v>77</v>
      </c>
      <c r="G36" s="22" t="s">
        <v>78</v>
      </c>
      <c r="H36" s="28">
        <v>-27.54</v>
      </c>
      <c r="I36" s="22" t="s">
        <v>92</v>
      </c>
      <c r="J36" s="3" t="s">
        <v>11</v>
      </c>
      <c r="K36" s="30"/>
      <c r="L36" s="10"/>
      <c r="M36" s="10"/>
    </row>
    <row r="37" spans="1:13" s="27" customFormat="1" x14ac:dyDescent="0.2">
      <c r="A37" s="10" t="s">
        <v>148</v>
      </c>
      <c r="B37" s="10" t="s">
        <v>8</v>
      </c>
      <c r="C37" s="21">
        <v>46079</v>
      </c>
      <c r="D37" s="21">
        <v>46054</v>
      </c>
      <c r="E37" s="23" t="s">
        <v>34</v>
      </c>
      <c r="F37" s="22" t="s">
        <v>77</v>
      </c>
      <c r="G37" s="22" t="s">
        <v>78</v>
      </c>
      <c r="H37" s="28">
        <v>-95.73</v>
      </c>
      <c r="I37" s="22" t="s">
        <v>93</v>
      </c>
      <c r="J37" s="3" t="s">
        <v>11</v>
      </c>
      <c r="K37" s="30"/>
      <c r="L37" s="10"/>
      <c r="M37" s="10"/>
    </row>
    <row r="38" spans="1:13" s="27" customFormat="1" x14ac:dyDescent="0.2">
      <c r="A38" s="10" t="s">
        <v>148</v>
      </c>
      <c r="B38" s="10" t="s">
        <v>8</v>
      </c>
      <c r="C38" s="21">
        <v>46079</v>
      </c>
      <c r="D38" s="21">
        <v>46054</v>
      </c>
      <c r="E38" s="23" t="s">
        <v>34</v>
      </c>
      <c r="F38" s="22" t="s">
        <v>77</v>
      </c>
      <c r="G38" s="22" t="s">
        <v>78</v>
      </c>
      <c r="H38" s="28">
        <v>-29.98</v>
      </c>
      <c r="I38" s="22" t="s">
        <v>94</v>
      </c>
      <c r="J38" s="3" t="s">
        <v>11</v>
      </c>
      <c r="K38" s="30"/>
      <c r="L38" s="10"/>
      <c r="M38" s="10"/>
    </row>
    <row r="39" spans="1:13" s="27" customFormat="1" x14ac:dyDescent="0.2">
      <c r="A39" s="10" t="s">
        <v>148</v>
      </c>
      <c r="B39" s="10" t="s">
        <v>8</v>
      </c>
      <c r="C39" s="21">
        <v>46079</v>
      </c>
      <c r="D39" s="21">
        <v>46054</v>
      </c>
      <c r="E39" s="23" t="s">
        <v>34</v>
      </c>
      <c r="F39" s="22" t="s">
        <v>77</v>
      </c>
      <c r="G39" s="22" t="s">
        <v>78</v>
      </c>
      <c r="H39" s="28">
        <v>-21.98</v>
      </c>
      <c r="I39" s="22" t="s">
        <v>95</v>
      </c>
      <c r="J39" s="3" t="s">
        <v>11</v>
      </c>
      <c r="K39" s="30"/>
      <c r="L39" s="10"/>
      <c r="M39" s="10"/>
    </row>
    <row r="40" spans="1:13" s="27" customFormat="1" x14ac:dyDescent="0.2">
      <c r="A40" s="10" t="s">
        <v>148</v>
      </c>
      <c r="B40" s="10" t="s">
        <v>8</v>
      </c>
      <c r="C40" s="21">
        <v>46079</v>
      </c>
      <c r="D40" s="21">
        <v>46054</v>
      </c>
      <c r="E40" s="23" t="s">
        <v>34</v>
      </c>
      <c r="F40" s="22" t="s">
        <v>77</v>
      </c>
      <c r="G40" s="22" t="s">
        <v>78</v>
      </c>
      <c r="H40" s="28">
        <v>-53.98</v>
      </c>
      <c r="I40" s="22" t="s">
        <v>96</v>
      </c>
      <c r="J40" s="3" t="s">
        <v>11</v>
      </c>
      <c r="K40" s="30"/>
      <c r="L40" s="10"/>
      <c r="M40" s="10"/>
    </row>
    <row r="41" spans="1:13" s="27" customFormat="1" x14ac:dyDescent="0.2">
      <c r="A41" s="10" t="s">
        <v>148</v>
      </c>
      <c r="B41" s="10" t="s">
        <v>8</v>
      </c>
      <c r="C41" s="21">
        <v>46079</v>
      </c>
      <c r="D41" s="21">
        <v>46054</v>
      </c>
      <c r="E41" s="23" t="s">
        <v>34</v>
      </c>
      <c r="F41" s="22" t="s">
        <v>77</v>
      </c>
      <c r="G41" s="22" t="s">
        <v>78</v>
      </c>
      <c r="H41" s="28">
        <v>-165.69</v>
      </c>
      <c r="I41" s="22" t="s">
        <v>97</v>
      </c>
      <c r="J41" s="3" t="s">
        <v>11</v>
      </c>
      <c r="K41" s="30"/>
      <c r="L41" s="10"/>
      <c r="M41" s="10"/>
    </row>
    <row r="42" spans="1:13" s="27" customFormat="1" x14ac:dyDescent="0.2">
      <c r="A42" s="10" t="s">
        <v>148</v>
      </c>
      <c r="B42" s="10" t="s">
        <v>8</v>
      </c>
      <c r="C42" s="21">
        <v>46079</v>
      </c>
      <c r="D42" s="21">
        <v>46054</v>
      </c>
      <c r="E42" s="23" t="s">
        <v>34</v>
      </c>
      <c r="F42" s="22" t="s">
        <v>77</v>
      </c>
      <c r="G42" s="22" t="s">
        <v>78</v>
      </c>
      <c r="H42" s="28">
        <v>-190.15</v>
      </c>
      <c r="I42" s="22" t="s">
        <v>98</v>
      </c>
      <c r="J42" s="3" t="s">
        <v>11</v>
      </c>
      <c r="K42" s="30"/>
      <c r="L42" s="10"/>
      <c r="M42" s="10"/>
    </row>
    <row r="43" spans="1:13" s="27" customFormat="1" x14ac:dyDescent="0.2">
      <c r="A43" s="10" t="s">
        <v>148</v>
      </c>
      <c r="B43" s="10" t="s">
        <v>8</v>
      </c>
      <c r="C43" s="21">
        <v>46079</v>
      </c>
      <c r="D43" s="21">
        <v>46054</v>
      </c>
      <c r="E43" s="23" t="s">
        <v>34</v>
      </c>
      <c r="F43" s="22" t="s">
        <v>77</v>
      </c>
      <c r="G43" s="22" t="s">
        <v>78</v>
      </c>
      <c r="H43" s="28">
        <v>-161.35</v>
      </c>
      <c r="I43" s="22" t="s">
        <v>97</v>
      </c>
      <c r="J43" s="3" t="s">
        <v>11</v>
      </c>
      <c r="K43" s="30"/>
      <c r="L43" s="10"/>
      <c r="M43" s="10"/>
    </row>
    <row r="44" spans="1:13" s="27" customFormat="1" x14ac:dyDescent="0.2">
      <c r="A44" s="10" t="s">
        <v>148</v>
      </c>
      <c r="B44" s="10" t="s">
        <v>8</v>
      </c>
      <c r="C44" s="21">
        <v>46079</v>
      </c>
      <c r="D44" s="21">
        <v>46054</v>
      </c>
      <c r="E44" s="23" t="s">
        <v>34</v>
      </c>
      <c r="F44" s="22" t="s">
        <v>77</v>
      </c>
      <c r="G44" s="22" t="s">
        <v>78</v>
      </c>
      <c r="H44" s="28">
        <v>-173.18</v>
      </c>
      <c r="I44" s="22" t="s">
        <v>97</v>
      </c>
      <c r="J44" s="3" t="s">
        <v>11</v>
      </c>
      <c r="K44" s="30"/>
      <c r="L44" s="10"/>
      <c r="M44" s="10"/>
    </row>
    <row r="45" spans="1:13" s="27" customFormat="1" x14ac:dyDescent="0.2">
      <c r="A45" s="10" t="s">
        <v>148</v>
      </c>
      <c r="B45" s="10" t="s">
        <v>8</v>
      </c>
      <c r="C45" s="21">
        <v>46079</v>
      </c>
      <c r="D45" s="21">
        <v>46054</v>
      </c>
      <c r="E45" s="23" t="s">
        <v>34</v>
      </c>
      <c r="F45" s="22" t="s">
        <v>77</v>
      </c>
      <c r="G45" s="22" t="s">
        <v>78</v>
      </c>
      <c r="H45" s="28">
        <v>-130.09</v>
      </c>
      <c r="I45" s="22" t="s">
        <v>99</v>
      </c>
      <c r="J45" s="3" t="s">
        <v>11</v>
      </c>
      <c r="K45" s="30"/>
      <c r="L45" s="10"/>
      <c r="M45" s="10"/>
    </row>
    <row r="46" spans="1:13" s="27" customFormat="1" x14ac:dyDescent="0.2">
      <c r="A46" s="10" t="s">
        <v>148</v>
      </c>
      <c r="B46" s="10" t="s">
        <v>8</v>
      </c>
      <c r="C46" s="21">
        <v>46079</v>
      </c>
      <c r="D46" s="21">
        <v>46054</v>
      </c>
      <c r="E46" s="23" t="s">
        <v>34</v>
      </c>
      <c r="F46" s="22" t="s">
        <v>77</v>
      </c>
      <c r="G46" s="22" t="s">
        <v>78</v>
      </c>
      <c r="H46" s="28">
        <v>-79.48</v>
      </c>
      <c r="I46" s="22" t="s">
        <v>99</v>
      </c>
      <c r="J46" s="3" t="s">
        <v>11</v>
      </c>
      <c r="K46" s="30"/>
      <c r="L46" s="10"/>
      <c r="M46" s="10"/>
    </row>
    <row r="47" spans="1:13" s="27" customFormat="1" x14ac:dyDescent="0.2">
      <c r="A47" s="10" t="s">
        <v>148</v>
      </c>
      <c r="B47" s="10" t="s">
        <v>8</v>
      </c>
      <c r="C47" s="21">
        <v>46079</v>
      </c>
      <c r="D47" s="21">
        <v>46054</v>
      </c>
      <c r="E47" s="23" t="s">
        <v>34</v>
      </c>
      <c r="F47" s="22" t="s">
        <v>77</v>
      </c>
      <c r="G47" s="22" t="s">
        <v>78</v>
      </c>
      <c r="H47" s="28">
        <v>-18.38</v>
      </c>
      <c r="I47" s="22" t="s">
        <v>100</v>
      </c>
      <c r="J47" s="3" t="s">
        <v>11</v>
      </c>
      <c r="K47" s="30"/>
      <c r="L47" s="10"/>
      <c r="M47" s="10"/>
    </row>
    <row r="48" spans="1:13" s="27" customFormat="1" x14ac:dyDescent="0.2">
      <c r="A48" s="10" t="s">
        <v>148</v>
      </c>
      <c r="B48" s="10" t="s">
        <v>8</v>
      </c>
      <c r="C48" s="21">
        <v>46079</v>
      </c>
      <c r="D48" s="21">
        <v>46054</v>
      </c>
      <c r="E48" s="23" t="s">
        <v>34</v>
      </c>
      <c r="F48" s="22" t="s">
        <v>77</v>
      </c>
      <c r="G48" s="22" t="s">
        <v>78</v>
      </c>
      <c r="H48" s="28">
        <v>-134.54</v>
      </c>
      <c r="I48" s="22" t="s">
        <v>101</v>
      </c>
      <c r="J48" s="3" t="s">
        <v>11</v>
      </c>
      <c r="K48" s="30"/>
      <c r="L48" s="10"/>
      <c r="M48" s="10"/>
    </row>
    <row r="49" spans="1:13" s="27" customFormat="1" x14ac:dyDescent="0.2">
      <c r="A49" s="10" t="s">
        <v>148</v>
      </c>
      <c r="B49" s="10" t="s">
        <v>8</v>
      </c>
      <c r="C49" s="21">
        <v>46079</v>
      </c>
      <c r="D49" s="21">
        <v>46054</v>
      </c>
      <c r="E49" s="23" t="s">
        <v>34</v>
      </c>
      <c r="F49" s="22" t="s">
        <v>77</v>
      </c>
      <c r="G49" s="22" t="s">
        <v>78</v>
      </c>
      <c r="H49" s="28">
        <v>-118.76</v>
      </c>
      <c r="I49" s="22" t="s">
        <v>102</v>
      </c>
      <c r="J49" s="3" t="s">
        <v>11</v>
      </c>
      <c r="K49" s="30"/>
      <c r="L49" s="10"/>
      <c r="M49" s="10"/>
    </row>
    <row r="50" spans="1:13" s="27" customFormat="1" x14ac:dyDescent="0.2">
      <c r="A50" s="10" t="s">
        <v>148</v>
      </c>
      <c r="B50" s="10" t="s">
        <v>8</v>
      </c>
      <c r="C50" s="21">
        <v>46079</v>
      </c>
      <c r="D50" s="21">
        <v>46054</v>
      </c>
      <c r="E50" s="23" t="s">
        <v>34</v>
      </c>
      <c r="F50" s="22" t="s">
        <v>77</v>
      </c>
      <c r="G50" s="22" t="s">
        <v>78</v>
      </c>
      <c r="H50" s="28">
        <v>-78.44</v>
      </c>
      <c r="I50" s="22" t="s">
        <v>103</v>
      </c>
      <c r="J50" s="3" t="s">
        <v>11</v>
      </c>
      <c r="K50" s="30"/>
      <c r="L50" s="10"/>
      <c r="M50" s="10"/>
    </row>
    <row r="51" spans="1:13" s="27" customFormat="1" x14ac:dyDescent="0.2">
      <c r="A51" s="10" t="s">
        <v>148</v>
      </c>
      <c r="B51" s="10" t="s">
        <v>8</v>
      </c>
      <c r="C51" s="21">
        <v>46079</v>
      </c>
      <c r="D51" s="21">
        <v>46054</v>
      </c>
      <c r="E51" s="23" t="s">
        <v>34</v>
      </c>
      <c r="F51" s="22" t="s">
        <v>77</v>
      </c>
      <c r="G51" s="22" t="s">
        <v>78</v>
      </c>
      <c r="H51" s="28">
        <v>-71.099999999999994</v>
      </c>
      <c r="I51" s="22" t="s">
        <v>104</v>
      </c>
      <c r="J51" s="3" t="s">
        <v>11</v>
      </c>
      <c r="K51" s="30"/>
      <c r="L51" s="10"/>
      <c r="M51" s="10"/>
    </row>
    <row r="52" spans="1:13" s="27" customFormat="1" x14ac:dyDescent="0.2">
      <c r="A52" s="10" t="s">
        <v>148</v>
      </c>
      <c r="B52" s="10" t="s">
        <v>8</v>
      </c>
      <c r="C52" s="21">
        <v>46079</v>
      </c>
      <c r="D52" s="21">
        <v>46054</v>
      </c>
      <c r="E52" s="23" t="s">
        <v>34</v>
      </c>
      <c r="F52" s="22" t="s">
        <v>77</v>
      </c>
      <c r="G52" s="22" t="s">
        <v>78</v>
      </c>
      <c r="H52" s="28">
        <v>-75.98</v>
      </c>
      <c r="I52" s="22" t="s">
        <v>104</v>
      </c>
      <c r="J52" s="3" t="s">
        <v>11</v>
      </c>
      <c r="K52" s="30"/>
      <c r="L52" s="10"/>
      <c r="M52" s="10"/>
    </row>
    <row r="53" spans="1:13" s="27" customFormat="1" x14ac:dyDescent="0.2">
      <c r="A53" s="10" t="s">
        <v>148</v>
      </c>
      <c r="B53" s="10" t="s">
        <v>8</v>
      </c>
      <c r="C53" s="21">
        <v>46079</v>
      </c>
      <c r="D53" s="21">
        <v>46054</v>
      </c>
      <c r="E53" s="23" t="s">
        <v>34</v>
      </c>
      <c r="F53" s="22" t="s">
        <v>77</v>
      </c>
      <c r="G53" s="22" t="s">
        <v>78</v>
      </c>
      <c r="H53" s="28">
        <v>-36.35</v>
      </c>
      <c r="I53" s="22" t="s">
        <v>104</v>
      </c>
      <c r="J53" s="3" t="s">
        <v>11</v>
      </c>
      <c r="K53" s="30"/>
      <c r="L53" s="10"/>
      <c r="M53" s="10"/>
    </row>
    <row r="54" spans="1:13" s="27" customFormat="1" x14ac:dyDescent="0.2">
      <c r="A54" s="10" t="s">
        <v>148</v>
      </c>
      <c r="B54" s="10" t="s">
        <v>8</v>
      </c>
      <c r="C54" s="21">
        <v>46079</v>
      </c>
      <c r="D54" s="21">
        <v>46054</v>
      </c>
      <c r="E54" s="23" t="s">
        <v>34</v>
      </c>
      <c r="F54" s="22" t="s">
        <v>77</v>
      </c>
      <c r="G54" s="22" t="s">
        <v>78</v>
      </c>
      <c r="H54" s="28">
        <v>-65.75</v>
      </c>
      <c r="I54" s="22" t="s">
        <v>105</v>
      </c>
      <c r="J54" s="3" t="s">
        <v>11</v>
      </c>
      <c r="K54" s="30"/>
      <c r="L54" s="10"/>
      <c r="M54" s="10"/>
    </row>
    <row r="55" spans="1:13" s="27" customFormat="1" x14ac:dyDescent="0.2">
      <c r="A55" s="10" t="s">
        <v>148</v>
      </c>
      <c r="B55" s="10" t="s">
        <v>8</v>
      </c>
      <c r="C55" s="21">
        <v>46079</v>
      </c>
      <c r="D55" s="21">
        <v>46054</v>
      </c>
      <c r="E55" s="23" t="s">
        <v>34</v>
      </c>
      <c r="F55" s="22" t="s">
        <v>77</v>
      </c>
      <c r="G55" s="22" t="s">
        <v>78</v>
      </c>
      <c r="H55" s="28">
        <v>-66.67</v>
      </c>
      <c r="I55" s="22" t="s">
        <v>105</v>
      </c>
      <c r="J55" s="3" t="s">
        <v>11</v>
      </c>
      <c r="K55" s="30"/>
      <c r="L55" s="10"/>
      <c r="M55" s="10"/>
    </row>
    <row r="56" spans="1:13" s="27" customFormat="1" x14ac:dyDescent="0.2">
      <c r="A56" s="10" t="s">
        <v>148</v>
      </c>
      <c r="B56" s="10" t="s">
        <v>8</v>
      </c>
      <c r="C56" s="21">
        <v>46079</v>
      </c>
      <c r="D56" s="21">
        <v>46054</v>
      </c>
      <c r="E56" s="23" t="s">
        <v>34</v>
      </c>
      <c r="F56" s="22" t="s">
        <v>77</v>
      </c>
      <c r="G56" s="22" t="s">
        <v>78</v>
      </c>
      <c r="H56" s="28">
        <v>-78.23</v>
      </c>
      <c r="I56" s="22" t="s">
        <v>106</v>
      </c>
      <c r="J56" s="3" t="s">
        <v>11</v>
      </c>
      <c r="K56" s="30"/>
      <c r="L56" s="10"/>
      <c r="M56" s="10"/>
    </row>
    <row r="57" spans="1:13" s="27" customFormat="1" x14ac:dyDescent="0.2">
      <c r="A57" s="10" t="s">
        <v>148</v>
      </c>
      <c r="B57" s="10" t="s">
        <v>8</v>
      </c>
      <c r="C57" s="21">
        <v>46079</v>
      </c>
      <c r="D57" s="21">
        <v>46054</v>
      </c>
      <c r="E57" s="23" t="s">
        <v>34</v>
      </c>
      <c r="F57" s="22" t="s">
        <v>77</v>
      </c>
      <c r="G57" s="22" t="s">
        <v>78</v>
      </c>
      <c r="H57" s="28">
        <v>-17.829999999999998</v>
      </c>
      <c r="I57" s="22" t="s">
        <v>107</v>
      </c>
      <c r="J57" s="3" t="s">
        <v>11</v>
      </c>
      <c r="K57" s="30"/>
      <c r="L57" s="10"/>
      <c r="M57" s="10"/>
    </row>
    <row r="58" spans="1:13" s="27" customFormat="1" x14ac:dyDescent="0.2">
      <c r="A58" s="10" t="s">
        <v>148</v>
      </c>
      <c r="B58" s="10" t="s">
        <v>8</v>
      </c>
      <c r="C58" s="21">
        <v>46079</v>
      </c>
      <c r="D58" s="21">
        <v>46054</v>
      </c>
      <c r="E58" s="23" t="s">
        <v>34</v>
      </c>
      <c r="F58" s="22" t="s">
        <v>77</v>
      </c>
      <c r="G58" s="22" t="s">
        <v>78</v>
      </c>
      <c r="H58" s="28">
        <v>-115.66</v>
      </c>
      <c r="I58" s="22" t="s">
        <v>108</v>
      </c>
      <c r="J58" s="3" t="s">
        <v>11</v>
      </c>
      <c r="K58" s="30"/>
      <c r="L58" s="10"/>
      <c r="M58" s="10"/>
    </row>
    <row r="59" spans="1:13" s="27" customFormat="1" x14ac:dyDescent="0.2">
      <c r="A59" s="10" t="s">
        <v>148</v>
      </c>
      <c r="B59" s="10" t="s">
        <v>8</v>
      </c>
      <c r="C59" s="21">
        <v>46079</v>
      </c>
      <c r="D59" s="21">
        <v>46054</v>
      </c>
      <c r="E59" s="23" t="s">
        <v>34</v>
      </c>
      <c r="F59" s="22" t="s">
        <v>77</v>
      </c>
      <c r="G59" s="22" t="s">
        <v>78</v>
      </c>
      <c r="H59" s="28">
        <v>-38.5</v>
      </c>
      <c r="I59" s="22" t="s">
        <v>88</v>
      </c>
      <c r="J59" s="3" t="s">
        <v>11</v>
      </c>
      <c r="K59" s="30"/>
      <c r="L59" s="10"/>
      <c r="M59" s="10"/>
    </row>
    <row r="60" spans="1:13" s="27" customFormat="1" x14ac:dyDescent="0.2">
      <c r="A60" s="10" t="s">
        <v>148</v>
      </c>
      <c r="B60" s="10" t="s">
        <v>8</v>
      </c>
      <c r="C60" s="21">
        <v>46079</v>
      </c>
      <c r="D60" s="21">
        <v>46054</v>
      </c>
      <c r="E60" s="23" t="s">
        <v>34</v>
      </c>
      <c r="F60" s="22" t="s">
        <v>77</v>
      </c>
      <c r="G60" s="22" t="s">
        <v>78</v>
      </c>
      <c r="H60" s="28">
        <v>-70.41</v>
      </c>
      <c r="I60" s="22" t="s">
        <v>109</v>
      </c>
      <c r="J60" s="3" t="s">
        <v>11</v>
      </c>
      <c r="K60" s="30"/>
      <c r="L60" s="10"/>
      <c r="M60" s="10"/>
    </row>
    <row r="61" spans="1:13" s="27" customFormat="1" x14ac:dyDescent="0.2">
      <c r="A61" s="10" t="s">
        <v>148</v>
      </c>
      <c r="B61" s="10" t="s">
        <v>8</v>
      </c>
      <c r="C61" s="21">
        <v>46079</v>
      </c>
      <c r="D61" s="21">
        <v>46054</v>
      </c>
      <c r="E61" s="23" t="s">
        <v>34</v>
      </c>
      <c r="F61" s="22" t="s">
        <v>77</v>
      </c>
      <c r="G61" s="22" t="s">
        <v>78</v>
      </c>
      <c r="H61" s="28">
        <v>-31.62</v>
      </c>
      <c r="I61" s="22" t="s">
        <v>110</v>
      </c>
      <c r="J61" s="3" t="s">
        <v>11</v>
      </c>
      <c r="K61" s="30"/>
      <c r="L61" s="10"/>
      <c r="M61" s="10"/>
    </row>
    <row r="62" spans="1:13" s="27" customFormat="1" x14ac:dyDescent="0.2">
      <c r="A62" s="10" t="s">
        <v>148</v>
      </c>
      <c r="B62" s="10" t="s">
        <v>8</v>
      </c>
      <c r="C62" s="21">
        <v>46079</v>
      </c>
      <c r="D62" s="21">
        <v>46054</v>
      </c>
      <c r="E62" s="23" t="s">
        <v>34</v>
      </c>
      <c r="F62" s="22" t="s">
        <v>77</v>
      </c>
      <c r="G62" s="22" t="s">
        <v>78</v>
      </c>
      <c r="H62" s="28">
        <v>-129.97999999999999</v>
      </c>
      <c r="I62" s="22" t="s">
        <v>111</v>
      </c>
      <c r="J62" s="3" t="s">
        <v>11</v>
      </c>
      <c r="K62" s="30"/>
      <c r="L62" s="10"/>
      <c r="M62" s="10"/>
    </row>
    <row r="63" spans="1:13" s="27" customFormat="1" x14ac:dyDescent="0.2">
      <c r="A63" s="10" t="s">
        <v>148</v>
      </c>
      <c r="B63" s="10" t="s">
        <v>8</v>
      </c>
      <c r="C63" s="21">
        <v>46079</v>
      </c>
      <c r="D63" s="21">
        <v>46054</v>
      </c>
      <c r="E63" s="23" t="s">
        <v>34</v>
      </c>
      <c r="F63" s="22" t="s">
        <v>77</v>
      </c>
      <c r="G63" s="22" t="s">
        <v>78</v>
      </c>
      <c r="H63" s="28">
        <v>-332.5</v>
      </c>
      <c r="I63" s="22" t="s">
        <v>112</v>
      </c>
      <c r="J63" s="3" t="s">
        <v>11</v>
      </c>
      <c r="K63" s="30"/>
      <c r="L63" s="10"/>
      <c r="M63" s="10"/>
    </row>
    <row r="64" spans="1:13" s="27" customFormat="1" x14ac:dyDescent="0.2">
      <c r="A64" s="10" t="s">
        <v>148</v>
      </c>
      <c r="B64" s="10" t="s">
        <v>8</v>
      </c>
      <c r="C64" s="21">
        <v>46079</v>
      </c>
      <c r="D64" s="21">
        <v>46054</v>
      </c>
      <c r="E64" s="23" t="s">
        <v>34</v>
      </c>
      <c r="F64" s="22" t="s">
        <v>77</v>
      </c>
      <c r="G64" s="22" t="s">
        <v>78</v>
      </c>
      <c r="H64" s="28">
        <v>-1634.05</v>
      </c>
      <c r="I64" s="22" t="s">
        <v>113</v>
      </c>
      <c r="J64" s="3" t="s">
        <v>11</v>
      </c>
      <c r="K64" s="30"/>
      <c r="L64" s="10"/>
      <c r="M64" s="10"/>
    </row>
    <row r="65" spans="1:13" s="27" customFormat="1" x14ac:dyDescent="0.2">
      <c r="A65" s="10" t="s">
        <v>148</v>
      </c>
      <c r="B65" s="10" t="s">
        <v>8</v>
      </c>
      <c r="C65" s="21">
        <v>46079</v>
      </c>
      <c r="D65" s="21">
        <v>46054</v>
      </c>
      <c r="E65" s="23" t="s">
        <v>34</v>
      </c>
      <c r="F65" s="22" t="s">
        <v>77</v>
      </c>
      <c r="G65" s="22" t="s">
        <v>78</v>
      </c>
      <c r="H65" s="28">
        <v>-1099.99</v>
      </c>
      <c r="I65" s="22" t="s">
        <v>114</v>
      </c>
      <c r="J65" s="3" t="s">
        <v>11</v>
      </c>
      <c r="K65" s="30"/>
      <c r="L65" s="10"/>
      <c r="M65" s="10"/>
    </row>
    <row r="66" spans="1:13" s="27" customFormat="1" x14ac:dyDescent="0.2">
      <c r="A66" s="10" t="s">
        <v>148</v>
      </c>
      <c r="B66" s="10" t="s">
        <v>8</v>
      </c>
      <c r="C66" s="21">
        <v>46079</v>
      </c>
      <c r="D66" s="21">
        <v>46054</v>
      </c>
      <c r="E66" s="23" t="s">
        <v>34</v>
      </c>
      <c r="F66" s="22" t="s">
        <v>77</v>
      </c>
      <c r="G66" s="22" t="s">
        <v>78</v>
      </c>
      <c r="H66" s="28">
        <v>-72.25</v>
      </c>
      <c r="I66" s="22" t="s">
        <v>115</v>
      </c>
      <c r="J66" s="3" t="s">
        <v>11</v>
      </c>
      <c r="K66" s="30"/>
      <c r="L66" s="10"/>
      <c r="M66" s="10"/>
    </row>
    <row r="67" spans="1:13" s="27" customFormat="1" x14ac:dyDescent="0.2">
      <c r="A67" s="10" t="s">
        <v>148</v>
      </c>
      <c r="B67" s="10" t="s">
        <v>8</v>
      </c>
      <c r="C67" s="21">
        <v>46079</v>
      </c>
      <c r="D67" s="21">
        <v>46054</v>
      </c>
      <c r="E67" s="23" t="s">
        <v>34</v>
      </c>
      <c r="F67" s="22" t="s">
        <v>77</v>
      </c>
      <c r="G67" s="22" t="s">
        <v>78</v>
      </c>
      <c r="H67" s="28">
        <v>-29.98</v>
      </c>
      <c r="I67" s="22" t="s">
        <v>116</v>
      </c>
      <c r="J67" s="3" t="s">
        <v>11</v>
      </c>
      <c r="K67" s="30"/>
      <c r="L67" s="10"/>
      <c r="M67" s="10"/>
    </row>
    <row r="68" spans="1:13" s="27" customFormat="1" x14ac:dyDescent="0.2">
      <c r="A68" s="10" t="s">
        <v>148</v>
      </c>
      <c r="B68" s="10" t="s">
        <v>8</v>
      </c>
      <c r="C68" s="21">
        <v>46079</v>
      </c>
      <c r="D68" s="21">
        <v>46054</v>
      </c>
      <c r="E68" s="23" t="s">
        <v>34</v>
      </c>
      <c r="F68" s="22" t="s">
        <v>77</v>
      </c>
      <c r="G68" s="22" t="s">
        <v>78</v>
      </c>
      <c r="H68" s="28">
        <v>-498.25</v>
      </c>
      <c r="I68" s="22" t="s">
        <v>117</v>
      </c>
      <c r="J68" s="3" t="s">
        <v>11</v>
      </c>
      <c r="K68" s="30"/>
      <c r="L68" s="10"/>
      <c r="M68" s="10"/>
    </row>
    <row r="69" spans="1:13" s="27" customFormat="1" x14ac:dyDescent="0.2">
      <c r="A69" s="10" t="s">
        <v>148</v>
      </c>
      <c r="B69" s="10" t="s">
        <v>8</v>
      </c>
      <c r="C69" s="21">
        <v>46079</v>
      </c>
      <c r="D69" s="21">
        <v>46054</v>
      </c>
      <c r="E69" s="23" t="s">
        <v>34</v>
      </c>
      <c r="F69" s="22" t="s">
        <v>77</v>
      </c>
      <c r="G69" s="22" t="s">
        <v>78</v>
      </c>
      <c r="H69" s="28">
        <v>-10.96</v>
      </c>
      <c r="I69" s="22" t="s">
        <v>118</v>
      </c>
      <c r="J69" s="3" t="s">
        <v>11</v>
      </c>
      <c r="K69" s="30"/>
      <c r="L69" s="10"/>
      <c r="M69" s="10"/>
    </row>
    <row r="70" spans="1:13" s="27" customFormat="1" x14ac:dyDescent="0.2">
      <c r="A70" s="10" t="s">
        <v>148</v>
      </c>
      <c r="B70" s="10" t="s">
        <v>8</v>
      </c>
      <c r="C70" s="21">
        <v>46079</v>
      </c>
      <c r="D70" s="21">
        <v>46054</v>
      </c>
      <c r="E70" s="23" t="s">
        <v>34</v>
      </c>
      <c r="F70" s="22" t="s">
        <v>77</v>
      </c>
      <c r="G70" s="22" t="s">
        <v>78</v>
      </c>
      <c r="H70" s="28">
        <v>-2.2000000000000002</v>
      </c>
      <c r="I70" s="22" t="s">
        <v>119</v>
      </c>
      <c r="J70" s="3" t="s">
        <v>11</v>
      </c>
      <c r="K70" s="30"/>
      <c r="L70" s="10"/>
      <c r="M70" s="10"/>
    </row>
    <row r="71" spans="1:13" s="27" customFormat="1" x14ac:dyDescent="0.2">
      <c r="A71" s="10" t="s">
        <v>148</v>
      </c>
      <c r="B71" s="10" t="s">
        <v>8</v>
      </c>
      <c r="C71" s="21">
        <v>46079</v>
      </c>
      <c r="D71" s="21">
        <v>46054</v>
      </c>
      <c r="E71" s="23" t="s">
        <v>34</v>
      </c>
      <c r="F71" s="22" t="s">
        <v>77</v>
      </c>
      <c r="G71" s="22" t="s">
        <v>78</v>
      </c>
      <c r="H71" s="28">
        <v>-10.85</v>
      </c>
      <c r="I71" s="22" t="s">
        <v>119</v>
      </c>
      <c r="J71" s="3" t="s">
        <v>11</v>
      </c>
      <c r="K71" s="30"/>
      <c r="L71" s="10"/>
      <c r="M71" s="10"/>
    </row>
    <row r="72" spans="1:13" s="27" customFormat="1" x14ac:dyDescent="0.2">
      <c r="A72" s="10" t="s">
        <v>148</v>
      </c>
      <c r="B72" s="10" t="s">
        <v>8</v>
      </c>
      <c r="C72" s="21">
        <v>46079</v>
      </c>
      <c r="D72" s="21">
        <v>46054</v>
      </c>
      <c r="E72" s="23" t="s">
        <v>34</v>
      </c>
      <c r="F72" s="22" t="s">
        <v>77</v>
      </c>
      <c r="G72" s="22" t="s">
        <v>78</v>
      </c>
      <c r="H72" s="28">
        <v>-9.99</v>
      </c>
      <c r="I72" s="22" t="s">
        <v>120</v>
      </c>
      <c r="J72" s="3" t="s">
        <v>11</v>
      </c>
      <c r="K72" s="30"/>
      <c r="L72" s="10"/>
      <c r="M72" s="10"/>
    </row>
    <row r="73" spans="1:13" s="27" customFormat="1" x14ac:dyDescent="0.2">
      <c r="A73" s="10" t="s">
        <v>148</v>
      </c>
      <c r="B73" s="10" t="s">
        <v>8</v>
      </c>
      <c r="C73" s="21">
        <v>46079</v>
      </c>
      <c r="D73" s="21">
        <v>46054</v>
      </c>
      <c r="E73" s="23" t="s">
        <v>34</v>
      </c>
      <c r="F73" s="22" t="s">
        <v>77</v>
      </c>
      <c r="G73" s="22" t="s">
        <v>78</v>
      </c>
      <c r="H73" s="28">
        <v>-9.61</v>
      </c>
      <c r="I73" s="22" t="s">
        <v>121</v>
      </c>
      <c r="J73" s="3" t="s">
        <v>11</v>
      </c>
      <c r="K73" s="30"/>
      <c r="L73" s="10"/>
      <c r="M73" s="10"/>
    </row>
    <row r="74" spans="1:13" s="27" customFormat="1" x14ac:dyDescent="0.2">
      <c r="A74" s="10" t="s">
        <v>148</v>
      </c>
      <c r="B74" s="10" t="s">
        <v>8</v>
      </c>
      <c r="C74" s="21">
        <v>46079</v>
      </c>
      <c r="D74" s="21">
        <v>46054</v>
      </c>
      <c r="E74" s="23" t="s">
        <v>34</v>
      </c>
      <c r="F74" s="22" t="s">
        <v>77</v>
      </c>
      <c r="G74" s="22" t="s">
        <v>78</v>
      </c>
      <c r="H74" s="28">
        <v>-33.65</v>
      </c>
      <c r="I74" s="22" t="s">
        <v>122</v>
      </c>
      <c r="J74" s="3" t="s">
        <v>11</v>
      </c>
      <c r="K74" s="30"/>
      <c r="L74" s="10"/>
      <c r="M74" s="10"/>
    </row>
    <row r="75" spans="1:13" s="27" customFormat="1" x14ac:dyDescent="0.2">
      <c r="A75" s="10" t="s">
        <v>148</v>
      </c>
      <c r="B75" s="10" t="s">
        <v>8</v>
      </c>
      <c r="C75" s="21">
        <v>46079</v>
      </c>
      <c r="D75" s="21">
        <v>46054</v>
      </c>
      <c r="E75" s="23" t="s">
        <v>34</v>
      </c>
      <c r="F75" s="22" t="s">
        <v>77</v>
      </c>
      <c r="G75" s="22" t="s">
        <v>78</v>
      </c>
      <c r="H75" s="28">
        <v>-31.23</v>
      </c>
      <c r="I75" s="22" t="s">
        <v>123</v>
      </c>
      <c r="J75" s="3" t="s">
        <v>11</v>
      </c>
      <c r="K75" s="30"/>
      <c r="L75" s="10"/>
      <c r="M75" s="10"/>
    </row>
    <row r="76" spans="1:13" s="27" customFormat="1" x14ac:dyDescent="0.2">
      <c r="A76" s="10" t="s">
        <v>148</v>
      </c>
      <c r="B76" s="10" t="s">
        <v>8</v>
      </c>
      <c r="C76" s="21">
        <v>46079</v>
      </c>
      <c r="D76" s="21">
        <v>46054</v>
      </c>
      <c r="E76" s="23" t="s">
        <v>34</v>
      </c>
      <c r="F76" s="22" t="s">
        <v>77</v>
      </c>
      <c r="G76" s="22" t="s">
        <v>78</v>
      </c>
      <c r="H76" s="28">
        <v>-7.69</v>
      </c>
      <c r="I76" s="22" t="s">
        <v>124</v>
      </c>
      <c r="J76" s="3" t="s">
        <v>11</v>
      </c>
      <c r="K76" s="30"/>
      <c r="L76" s="10"/>
      <c r="M76" s="10"/>
    </row>
    <row r="77" spans="1:13" s="27" customFormat="1" x14ac:dyDescent="0.2">
      <c r="A77" s="10" t="s">
        <v>148</v>
      </c>
      <c r="B77" s="10" t="s">
        <v>8</v>
      </c>
      <c r="C77" s="21">
        <v>46079</v>
      </c>
      <c r="D77" s="21">
        <v>46054</v>
      </c>
      <c r="E77" s="23" t="s">
        <v>34</v>
      </c>
      <c r="F77" s="22" t="s">
        <v>77</v>
      </c>
      <c r="G77" s="22" t="s">
        <v>78</v>
      </c>
      <c r="H77" s="28">
        <v>-2</v>
      </c>
      <c r="I77" s="22" t="s">
        <v>125</v>
      </c>
      <c r="J77" s="3" t="s">
        <v>11</v>
      </c>
      <c r="K77" s="30"/>
      <c r="L77" s="10"/>
      <c r="M77" s="10"/>
    </row>
    <row r="78" spans="1:13" s="27" customFormat="1" x14ac:dyDescent="0.2">
      <c r="A78" s="10" t="s">
        <v>148</v>
      </c>
      <c r="B78" s="10" t="s">
        <v>8</v>
      </c>
      <c r="C78" s="21">
        <v>46079</v>
      </c>
      <c r="D78" s="21">
        <v>46054</v>
      </c>
      <c r="E78" s="23" t="s">
        <v>34</v>
      </c>
      <c r="F78" s="22" t="s">
        <v>77</v>
      </c>
      <c r="G78" s="22" t="s">
        <v>78</v>
      </c>
      <c r="H78" s="28">
        <v>-30.62</v>
      </c>
      <c r="I78" s="22" t="s">
        <v>126</v>
      </c>
      <c r="J78" s="3" t="s">
        <v>11</v>
      </c>
      <c r="K78" s="30"/>
      <c r="L78" s="10"/>
      <c r="M78" s="10"/>
    </row>
    <row r="79" spans="1:13" s="27" customFormat="1" x14ac:dyDescent="0.2">
      <c r="A79" s="10" t="s">
        <v>148</v>
      </c>
      <c r="B79" s="10" t="s">
        <v>8</v>
      </c>
      <c r="C79" s="21">
        <v>46079</v>
      </c>
      <c r="D79" s="21">
        <v>46054</v>
      </c>
      <c r="E79" s="23" t="s">
        <v>34</v>
      </c>
      <c r="F79" s="22" t="s">
        <v>77</v>
      </c>
      <c r="G79" s="22" t="s">
        <v>78</v>
      </c>
      <c r="H79" s="28">
        <v>-45.89</v>
      </c>
      <c r="I79" s="22" t="s">
        <v>127</v>
      </c>
      <c r="J79" s="3" t="s">
        <v>11</v>
      </c>
      <c r="K79" s="30"/>
      <c r="L79" s="10"/>
      <c r="M79" s="10"/>
    </row>
    <row r="80" spans="1:13" s="27" customFormat="1" x14ac:dyDescent="0.2">
      <c r="A80" s="10" t="s">
        <v>148</v>
      </c>
      <c r="B80" s="10" t="s">
        <v>8</v>
      </c>
      <c r="C80" s="21">
        <v>46079</v>
      </c>
      <c r="D80" s="21">
        <v>46054</v>
      </c>
      <c r="E80" s="23" t="s">
        <v>34</v>
      </c>
      <c r="F80" s="22" t="s">
        <v>77</v>
      </c>
      <c r="G80" s="22" t="s">
        <v>78</v>
      </c>
      <c r="H80" s="28">
        <v>-7.93</v>
      </c>
      <c r="I80" s="22" t="s">
        <v>128</v>
      </c>
      <c r="J80" s="3" t="s">
        <v>11</v>
      </c>
      <c r="K80" s="30"/>
      <c r="L80" s="10"/>
      <c r="M80" s="10"/>
    </row>
    <row r="81" spans="1:13" s="27" customFormat="1" x14ac:dyDescent="0.2">
      <c r="A81" s="10" t="s">
        <v>148</v>
      </c>
      <c r="B81" s="10" t="s">
        <v>8</v>
      </c>
      <c r="C81" s="21">
        <v>46079</v>
      </c>
      <c r="D81" s="21">
        <v>46054</v>
      </c>
      <c r="E81" s="23" t="s">
        <v>34</v>
      </c>
      <c r="F81" s="22" t="s">
        <v>77</v>
      </c>
      <c r="G81" s="22" t="s">
        <v>78</v>
      </c>
      <c r="H81" s="28">
        <v>-10.38</v>
      </c>
      <c r="I81" s="22" t="s">
        <v>129</v>
      </c>
      <c r="J81" s="3" t="s">
        <v>11</v>
      </c>
      <c r="K81" s="30"/>
      <c r="L81" s="10"/>
      <c r="M81" s="10"/>
    </row>
    <row r="82" spans="1:13" s="27" customFormat="1" x14ac:dyDescent="0.2">
      <c r="A82" s="10" t="s">
        <v>148</v>
      </c>
      <c r="B82" s="10" t="s">
        <v>8</v>
      </c>
      <c r="C82" s="21">
        <v>46080</v>
      </c>
      <c r="D82" s="21">
        <v>46054</v>
      </c>
      <c r="E82" s="23" t="s">
        <v>51</v>
      </c>
      <c r="F82" s="22" t="s">
        <v>130</v>
      </c>
      <c r="G82" s="22" t="s">
        <v>131</v>
      </c>
      <c r="H82" s="28">
        <v>-718.85</v>
      </c>
      <c r="I82" s="22" t="s">
        <v>132</v>
      </c>
      <c r="J82" s="3" t="s">
        <v>11</v>
      </c>
      <c r="K82" s="26" t="s">
        <v>133</v>
      </c>
      <c r="L82" s="10"/>
    </row>
    <row r="83" spans="1:13" s="27" customFormat="1" x14ac:dyDescent="0.2">
      <c r="A83" s="10" t="s">
        <v>148</v>
      </c>
      <c r="B83" s="10" t="s">
        <v>8</v>
      </c>
      <c r="C83" s="21">
        <v>46080</v>
      </c>
      <c r="D83" s="21">
        <v>46054</v>
      </c>
      <c r="E83" s="23" t="s">
        <v>136</v>
      </c>
      <c r="F83" s="22" t="s">
        <v>134</v>
      </c>
      <c r="G83" s="22" t="s">
        <v>135</v>
      </c>
      <c r="H83" s="28">
        <v>-450</v>
      </c>
      <c r="I83" s="22" t="s">
        <v>137</v>
      </c>
      <c r="J83" s="3" t="s">
        <v>11</v>
      </c>
      <c r="K83" s="26" t="s">
        <v>138</v>
      </c>
      <c r="L83" s="10"/>
    </row>
    <row r="84" spans="1:13" s="27" customFormat="1" x14ac:dyDescent="0.2">
      <c r="A84" s="10" t="s">
        <v>148</v>
      </c>
      <c r="B84" s="10" t="s">
        <v>8</v>
      </c>
      <c r="C84" s="21">
        <v>46081</v>
      </c>
      <c r="D84" s="21">
        <v>46054</v>
      </c>
      <c r="E84" s="23" t="s">
        <v>140</v>
      </c>
      <c r="F84" s="22" t="s">
        <v>139</v>
      </c>
      <c r="G84" s="22" t="s">
        <v>140</v>
      </c>
      <c r="H84" s="28">
        <v>-137416.29</v>
      </c>
      <c r="I84" s="22" t="s">
        <v>141</v>
      </c>
      <c r="J84" s="3" t="s">
        <v>11</v>
      </c>
      <c r="K84" s="26" t="s">
        <v>80</v>
      </c>
      <c r="L84" s="10"/>
    </row>
    <row r="85" spans="1:13" s="27" customFormat="1" x14ac:dyDescent="0.2">
      <c r="A85" s="10" t="s">
        <v>148</v>
      </c>
      <c r="B85" s="10" t="s">
        <v>8</v>
      </c>
      <c r="C85" s="21">
        <v>46081</v>
      </c>
      <c r="D85" s="21">
        <v>46054</v>
      </c>
      <c r="E85" s="23" t="s">
        <v>140</v>
      </c>
      <c r="F85" s="22" t="s">
        <v>139</v>
      </c>
      <c r="G85" s="22" t="s">
        <v>140</v>
      </c>
      <c r="H85" s="28">
        <v>-218.14</v>
      </c>
      <c r="I85" s="22" t="s">
        <v>141</v>
      </c>
      <c r="J85" s="3" t="s">
        <v>11</v>
      </c>
      <c r="K85" s="26" t="s">
        <v>80</v>
      </c>
      <c r="L85" s="10"/>
    </row>
    <row r="86" spans="1:13" s="27" customFormat="1" x14ac:dyDescent="0.2">
      <c r="A86" s="10" t="s">
        <v>148</v>
      </c>
      <c r="B86" s="10" t="s">
        <v>8</v>
      </c>
      <c r="C86" s="21">
        <v>46081</v>
      </c>
      <c r="D86" s="21">
        <v>46054</v>
      </c>
      <c r="E86" s="23" t="s">
        <v>144</v>
      </c>
      <c r="F86" s="22" t="s">
        <v>142</v>
      </c>
      <c r="G86" s="22" t="s">
        <v>143</v>
      </c>
      <c r="H86" s="28">
        <v>-12679.49</v>
      </c>
      <c r="I86" s="22" t="s">
        <v>144</v>
      </c>
      <c r="J86" s="3" t="s">
        <v>11</v>
      </c>
      <c r="K86" s="4" t="s">
        <v>145</v>
      </c>
      <c r="L86" s="21"/>
    </row>
    <row r="87" spans="1:13" ht="13.5" thickBot="1" x14ac:dyDescent="0.25">
      <c r="H87" s="29">
        <f>SUM(H6:H86)</f>
        <v>-171307.21000000002</v>
      </c>
    </row>
    <row r="88" spans="1:13" ht="13.5" thickTop="1" x14ac:dyDescent="0.2">
      <c r="H88" s="28"/>
    </row>
    <row r="89" spans="1:13" x14ac:dyDescent="0.2">
      <c r="H89" s="28"/>
    </row>
  </sheetData>
  <mergeCells count="3">
    <mergeCell ref="K11:K16"/>
    <mergeCell ref="K20:K21"/>
    <mergeCell ref="K22:K81"/>
  </mergeCells>
  <pageMargins left="0.7" right="0.7" top="0.75" bottom="0.75" header="0.3" footer="0.3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Un-Reconcile Bank</vt:lpstr>
      <vt:lpstr>Un-Reconcile 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Ganesh_GKSIL</dc:creator>
  <cp:lastModifiedBy>Vineet Tyagi</cp:lastModifiedBy>
  <dcterms:created xsi:type="dcterms:W3CDTF">2026-05-20T05:29:57Z</dcterms:created>
  <dcterms:modified xsi:type="dcterms:W3CDTF">2026-05-20T05:43:06Z</dcterms:modified>
</cp:coreProperties>
</file>