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lakeshoremhc-my.sharepoint.com/personal/rahul_gksil_lakeshoremhc_com/Documents/Rahul - Chy/Reconcillation/Bank Recons Review/2026/04 2026/04202026/Bay City/"/>
    </mc:Choice>
  </mc:AlternateContent>
  <xr:revisionPtr revIDLastSave="1" documentId="11_F366D0FCB4091A2F5F04E473B924E0B8E4EEDB0D" xr6:coauthVersionLast="47" xr6:coauthVersionMax="47" xr10:uidLastSave="{68280DB5-3DE9-4D68-BC62-AB04A5C4400F}"/>
  <bookViews>
    <workbookView xWindow="-120" yWindow="-120" windowWidth="20730" windowHeight="11040" tabRatio="772" xr2:uid="{00000000-000D-0000-FFFF-FFFF00000000}"/>
  </bookViews>
  <sheets>
    <sheet name="Summary" sheetId="32" r:id="rId1"/>
    <sheet name="Bank Statement" sheetId="9" r:id="rId2"/>
    <sheet name="GL " sheetId="33" r:id="rId3"/>
    <sheet name="Un-Reconcile transactions" sheetId="20" r:id="rId4"/>
    <sheet name="Old Reconciled" sheetId="29" state="hidden" r:id="rId5"/>
  </sheets>
  <definedNames>
    <definedName name="_xlnm._FilterDatabase" localSheetId="1" hidden="1">'Bank Statement'!$A$1:$E$168</definedName>
    <definedName name="_xlnm._FilterDatabase" localSheetId="2" hidden="1">'GL '!$A$5:$K$311</definedName>
    <definedName name="_xlnm._FilterDatabase" localSheetId="4" hidden="1">'Old Reconciled'!$A$6:$K$90</definedName>
    <definedName name="_xlnm._FilterDatabase" localSheetId="0" hidden="1">Summary!$A$1:$H$7</definedName>
    <definedName name="_xlnm._FilterDatabase" localSheetId="3" hidden="1">'Un-Reconcile transactions'!$A$6:$G$7</definedName>
    <definedName name="_xlnm.Print_Area" localSheetId="0">Summary!$A$2:$H$66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0" l="1"/>
  <c r="G95" i="20"/>
  <c r="G37" i="32"/>
  <c r="G59" i="32" l="1"/>
  <c r="G4" i="20" l="1"/>
  <c r="G314" i="33"/>
  <c r="B171" i="9"/>
  <c r="G316" i="33"/>
  <c r="H16" i="32"/>
  <c r="B173" i="9" l="1"/>
  <c r="B316" i="9" l="1"/>
  <c r="B314" i="9"/>
  <c r="G61" i="32" l="1"/>
  <c r="H18" i="32" l="1"/>
  <c r="H22" i="32" l="1"/>
  <c r="H63" i="32" s="1"/>
  <c r="H65" i="32" s="1"/>
</calcChain>
</file>

<file path=xl/sharedStrings.xml><?xml version="1.0" encoding="utf-8"?>
<sst xmlns="http://schemas.openxmlformats.org/spreadsheetml/2006/main" count="3402" uniqueCount="730">
  <si>
    <t xml:space="preserve"> </t>
  </si>
  <si>
    <t>Bank Reconciliation - BAY CITY MHC, LLC</t>
  </si>
  <si>
    <t>WFB Account number 4076381680</t>
  </si>
  <si>
    <t>Bank Information</t>
  </si>
  <si>
    <t>Balance per bank at the month end</t>
  </si>
  <si>
    <t>Outstanding Bank Deposits:</t>
  </si>
  <si>
    <t>Outstanding Bank Disbursement:</t>
  </si>
  <si>
    <t>AP</t>
  </si>
  <si>
    <t>STAGECOACH SWEEP DEBIT</t>
  </si>
  <si>
    <t>Outstanding Items Total</t>
  </si>
  <si>
    <t>Adjusted bank balance</t>
  </si>
  <si>
    <t>General Ledger Information - 11100161 BAY CITY MHC, LLC</t>
  </si>
  <si>
    <t xml:space="preserve"> Balance per TB at the month end</t>
  </si>
  <si>
    <t>Un-reconcile Outstanding Deposits:</t>
  </si>
  <si>
    <t>Un-reconcile Deposits:</t>
  </si>
  <si>
    <t>AR</t>
  </si>
  <si>
    <t xml:space="preserve">Total </t>
  </si>
  <si>
    <t>Un-reconciled Outstanding Disbursement:</t>
  </si>
  <si>
    <t>Un-reconcile Disbursement:</t>
  </si>
  <si>
    <t>Staples Bus (v0001011)</t>
  </si>
  <si>
    <t>Long Neck Water Company, LLC (v0007698)</t>
  </si>
  <si>
    <t>Sign It Quick (v0000981)</t>
  </si>
  <si>
    <t>Suburban Propane 1112 (v0001025)</t>
  </si>
  <si>
    <t>AMX-PB LAKESHORE MANAGEMENT INC. (v0001555)</t>
  </si>
  <si>
    <t>Bay City mtg pymt</t>
  </si>
  <si>
    <t xml:space="preserve">Sub-Total </t>
  </si>
  <si>
    <t>Adjusted book balance</t>
  </si>
  <si>
    <t>Variance (s/b zero)</t>
  </si>
  <si>
    <t>Date</t>
  </si>
  <si>
    <t>Amount</t>
  </si>
  <si>
    <t>Check Number</t>
  </si>
  <si>
    <t>Code</t>
  </si>
  <si>
    <t>Description</t>
  </si>
  <si>
    <t/>
  </si>
  <si>
    <t>CHECK</t>
  </si>
  <si>
    <t>DESKTOP CHECK DEPOSIT</t>
  </si>
  <si>
    <t>STAGECOACH SWEEP INTEREST PAYMENT</t>
  </si>
  <si>
    <t>STAGECOACH SWEEP CREDIT</t>
  </si>
  <si>
    <t>Un-Recorded deposits</t>
  </si>
  <si>
    <t>Un-reconcile withdrawals</t>
  </si>
  <si>
    <t>Un-Reconciled Deposits</t>
  </si>
  <si>
    <t>Un-Reconciled Withdrawals</t>
  </si>
  <si>
    <t xml:space="preserve">                    General Ledger</t>
  </si>
  <si>
    <t>Property: Bay City (161bct)</t>
  </si>
  <si>
    <t>11100161 BAY CITY MHC, LLC  (Bank Account)</t>
  </si>
  <si>
    <t>Property Name</t>
  </si>
  <si>
    <t>Control</t>
  </si>
  <si>
    <t>Reference</t>
  </si>
  <si>
    <t>Remarks</t>
  </si>
  <si>
    <t>Debit</t>
  </si>
  <si>
    <t>Credit</t>
  </si>
  <si>
    <t>Balance</t>
  </si>
  <si>
    <t>Reconcile Date</t>
  </si>
  <si>
    <t>Bay City</t>
  </si>
  <si>
    <t>LSE (v0000665)</t>
  </si>
  <si>
    <t>Lakeshore Management Inc (v0000666)</t>
  </si>
  <si>
    <t>Package 5-2025 to 4-2026</t>
  </si>
  <si>
    <t>Delaware Electric Cooperative Inc (v0007699)</t>
  </si>
  <si>
    <t>Daily Deposit</t>
  </si>
  <si>
    <t>LAKESHORE MANAGEMENT (v0004320)</t>
  </si>
  <si>
    <t>Management Fees</t>
  </si>
  <si>
    <t>Morton, Valihura &amp; Zerbato, LLC (v0007223)</t>
  </si>
  <si>
    <t>Invty loan Int payment</t>
  </si>
  <si>
    <t>LAKESHORE MANAGEMENT - WFB (v0000616)</t>
  </si>
  <si>
    <t>Interest PMT WF Equip Loan Contract#23</t>
  </si>
  <si>
    <t>Principal PMT WF Equip Loan Contract#23</t>
  </si>
  <si>
    <t>Interest PMT WF Equip Loan Contract#25</t>
  </si>
  <si>
    <t>Principal PMT WF Equip Loan Contract#25</t>
  </si>
  <si>
    <t>Interest PMT WF Equip Loan Contract#26</t>
  </si>
  <si>
    <t>Principal PMT WF Equip Loan Contract#26</t>
  </si>
  <si>
    <t>VERIZON*** (v0001131)</t>
  </si>
  <si>
    <t>Remove and dispose of debris from the Community</t>
  </si>
  <si>
    <t>gas for vehicle</t>
  </si>
  <si>
    <t>Yes Energy Management, Inc. (v0002908)</t>
  </si>
  <si>
    <t>Casa Verde MHC LLC (v0000180)</t>
  </si>
  <si>
    <t>Convenient Payments</t>
  </si>
  <si>
    <t>Un-Recorded withdrawal</t>
  </si>
  <si>
    <t>Bank Statement</t>
  </si>
  <si>
    <t>Descriptions</t>
  </si>
  <si>
    <t>Comments</t>
  </si>
  <si>
    <t>General Ledger</t>
  </si>
  <si>
    <t>Bank</t>
  </si>
  <si>
    <t>GL</t>
  </si>
  <si>
    <t>WC 11-2025 to 11-2026</t>
  </si>
  <si>
    <t>lunch during property visit for new homes</t>
  </si>
  <si>
    <t>K-516932</t>
  </si>
  <si>
    <t>1704</t>
  </si>
  <si>
    <t>Barb Tumas (v0011814)</t>
  </si>
  <si>
    <t>Core Integrated Marketing (v0000301)</t>
  </si>
  <si>
    <t>Credit Balance Refund</t>
  </si>
  <si>
    <t>K-527467</t>
  </si>
  <si>
    <t>22619</t>
  </si>
  <si>
    <t>Sussex County (v0007778)</t>
  </si>
  <si>
    <t>Lunch</t>
  </si>
  <si>
    <t>New mailboxes for Main St</t>
  </si>
  <si>
    <t>Diesel Fuel for tractors</t>
  </si>
  <si>
    <t>lunch</t>
  </si>
  <si>
    <t>Remove and dispose of debris from the community</t>
  </si>
  <si>
    <t>B&amp;B INV#23460362/32400 EO</t>
  </si>
  <si>
    <t>02/27/2026</t>
  </si>
  <si>
    <t>K-527566</t>
  </si>
  <si>
    <t>22620</t>
  </si>
  <si>
    <t>K-527696</t>
  </si>
  <si>
    <t>22621</t>
  </si>
  <si>
    <t>CapEx/Fill Draw Funds</t>
  </si>
  <si>
    <t>K-531601</t>
  </si>
  <si>
    <t>1752</t>
  </si>
  <si>
    <t>K-533195</t>
  </si>
  <si>
    <t>1757</t>
  </si>
  <si>
    <t>K-533481</t>
  </si>
  <si>
    <t>1759</t>
  </si>
  <si>
    <t>K-533482</t>
  </si>
  <si>
    <t>1760</t>
  </si>
  <si>
    <t>K-533599</t>
  </si>
  <si>
    <t>1761</t>
  </si>
  <si>
    <t>K-534272</t>
  </si>
  <si>
    <t>1762</t>
  </si>
  <si>
    <t>K-534488</t>
  </si>
  <si>
    <t>22642</t>
  </si>
  <si>
    <t>K-534912</t>
  </si>
  <si>
    <t>1763</t>
  </si>
  <si>
    <t>K-534970</t>
  </si>
  <si>
    <t>1764</t>
  </si>
  <si>
    <t>J-353217</t>
  </si>
  <si>
    <t>J-353068</t>
  </si>
  <si>
    <t>02/2026 Mortgages 120-164</t>
  </si>
  <si>
    <t>J-353137</t>
  </si>
  <si>
    <t>J-353218</t>
  </si>
  <si>
    <t>J-353554</t>
  </si>
  <si>
    <t>Park Mgmt Fees Feb 2026</t>
  </si>
  <si>
    <t>Mark Balestra Media (v0012125)</t>
  </si>
  <si>
    <t>02/27/2026 Daily Deposit</t>
  </si>
  <si>
    <t>Accrue Casa Verde FEB 2026 swap PB :Reversed by J-353139</t>
  </si>
  <si>
    <t>02/28/2026 Daily Deposit</t>
  </si>
  <si>
    <t>Park Mgmt Fees Feb 2026 :Reversed by J-355290</t>
  </si>
  <si>
    <t>Propane Gas Lot 159, 161, 104. 144</t>
  </si>
  <si>
    <t>Rocco Ameduri</t>
  </si>
  <si>
    <t>Electric-16423500-120-01/13/2026-02/10/2026 - 29 Days Vacant</t>
  </si>
  <si>
    <t>Electric-5184204-159-01/13/2026-02/11/2026 - 30 Days Vacant</t>
  </si>
  <si>
    <t>Electric-5184602-161-01/13/2026-02/10/2026 - 29 Days Vacant</t>
  </si>
  <si>
    <t>Electric-5221609-E7-01/13/2026-02/11/2026 - 30 Days Vacant</t>
  </si>
  <si>
    <t>Electric-5170602-140-01/13/2026-02/10/2026 - 29 Days Vacant</t>
  </si>
  <si>
    <t>Electric-16423200-91-01/13/2026-02/10/2026 - 29 Days Vacant</t>
  </si>
  <si>
    <t>ACCT#357-194-549-0001-49 2/7-3/6</t>
  </si>
  <si>
    <t>Svc 1/16/26</t>
  </si>
  <si>
    <t>ORDER# 7675118893-000-001 BY GLORIA LAMONACA</t>
  </si>
  <si>
    <t>CAT INV, MAIL SERVICE/PREP AND FIRMBOOK POM</t>
  </si>
  <si>
    <t>CAT INV, MAIL SERVICE/PREP AND POM</t>
  </si>
  <si>
    <t>Materials for sign posts</t>
  </si>
  <si>
    <t>Drinks for the office</t>
  </si>
  <si>
    <t>Purchase air filters for Office furnace</t>
  </si>
  <si>
    <t>Purchased paper towels and air freshner</t>
  </si>
  <si>
    <t>Digitalpaper copies of surveys</t>
  </si>
  <si>
    <t>Purchased drinks snacks and accessories</t>
  </si>
  <si>
    <t>dinner</t>
  </si>
  <si>
    <t>Gift Card  Yard of the Month and Resident Raffle</t>
  </si>
  <si>
    <t>RVMarine Antifreeze</t>
  </si>
  <si>
    <t>folding lock flip utilty knife ratchet strap prong straight hook</t>
  </si>
  <si>
    <t>rugged reacher tool</t>
  </si>
  <si>
    <t>Jigsaw blades</t>
  </si>
  <si>
    <t>Blades and bolts</t>
  </si>
  <si>
    <t>Street Maintenance</t>
  </si>
  <si>
    <t>Gravel for roads</t>
  </si>
  <si>
    <t>Lumber to buildrepair mailbox posts</t>
  </si>
  <si>
    <t>screws</t>
  </si>
  <si>
    <t>cable tie  everbilt peg hooks  maxflex fab black  maxflex satin bright yellow  magnum rafter square  tape  white peg board  prime fir stud</t>
  </si>
  <si>
    <t>safety board accessories</t>
  </si>
  <si>
    <t>73018076 FLAT CAP 4X4 WHT EAFC4 X WHT VINYL 4X4 SLEEVE 108</t>
  </si>
  <si>
    <t>Truck Fuel</t>
  </si>
  <si>
    <t>Nextiva VoIP Jan</t>
  </si>
  <si>
    <t>AMBS Call Center Jan</t>
  </si>
  <si>
    <t>Snacks</t>
  </si>
  <si>
    <t>Resident event</t>
  </si>
  <si>
    <t>Resident luncheon</t>
  </si>
  <si>
    <t>resident Beach passes</t>
  </si>
  <si>
    <t>Tractor repairs and maintenance</t>
  </si>
  <si>
    <t>Safety cabinet</t>
  </si>
  <si>
    <t>Safety Board</t>
  </si>
  <si>
    <t>Safety Board accessories</t>
  </si>
  <si>
    <t>Sign banner</t>
  </si>
  <si>
    <t>Decor for QBR</t>
  </si>
  <si>
    <t>Taking classes</t>
  </si>
  <si>
    <t>maintenance supplies</t>
  </si>
  <si>
    <t>tool box tsc brite alum deep cross stand</t>
  </si>
  <si>
    <t>lunch site visit</t>
  </si>
  <si>
    <t>breakfast bay city travel day</t>
  </si>
  <si>
    <t>Egencia fee car rental</t>
  </si>
  <si>
    <t>rental car refuel site visit</t>
  </si>
  <si>
    <t>Rental car bay city site visit  auditors visit</t>
  </si>
  <si>
    <t>breakfast during property visit for new homes</t>
  </si>
  <si>
    <t>01/24/2026-02/23/2026-Electric-5220205-ELECTRIC 1-BAY CITY</t>
  </si>
  <si>
    <t>Drone photography</t>
  </si>
  <si>
    <t>CKS 02/27/2026 Batch 549b34f3-280b-4630-bac7-8ab81518f60d</t>
  </si>
  <si>
    <t>CKS 02/27/2026 Batch 78c85e70-3a14-46dc-9d4c-390dc0d682d0</t>
  </si>
  <si>
    <t>Accrue (161) Casa Verde FEB 2026 swap PB</t>
  </si>
  <si>
    <t>RP : CC Deposit 02/28/2026</t>
  </si>
  <si>
    <t>Mar '26</t>
  </si>
  <si>
    <t>03/31/2026</t>
  </si>
  <si>
    <t>1796</t>
  </si>
  <si>
    <t>ACH ORIGINATION - Bay City MHC - FILE EDIMN00004 COID LAK3642339 LAK3642339 FILE EDIMN00004 0S00000091003650208538N</t>
  </si>
  <si>
    <t>WT SEQ299272 WELLS FARGO CRE LENDING /ORG= SRF# LIQD000000165375 TRN#260331299272 RFB# LIQD000000165375</t>
  </si>
  <si>
    <t>WT SEQ290330 WELLS FARGO CRE LENDING /ORG= SRF# LIQD000000165125 TRN#260331290330 RFB# LIQD000000165125</t>
  </si>
  <si>
    <t>Bay City Settlement 033126 000026643278898 Lakeshore Management I 9000631441 000026643278898 R00000091006261623289N</t>
  </si>
  <si>
    <t>BNKCD SETTLE MERCH DEP 260331 286768420002857 LAKESHORE BAY CITY 1043763809 286768420002857 R00000091006272492664N</t>
  </si>
  <si>
    <t>03/30/2026</t>
  </si>
  <si>
    <t>1781</t>
  </si>
  <si>
    <t>1794</t>
  </si>
  <si>
    <t>1795</t>
  </si>
  <si>
    <t>1793</t>
  </si>
  <si>
    <t>Bay City MHC LLC Settlement 033026 000026622129390 Bay City 9001520382 000026622129390 R00000091005862272346N</t>
  </si>
  <si>
    <t>Bay City Settlement 033026 000026624204450 Lakeshore Management I 9000631441 000026624204450 R00000091005862272135N</t>
  </si>
  <si>
    <t>BNKCD SETTLE MERCH DEP 260328 286768420002857 LAKESHORE BAY CITY 1043763809 286768420002857 R00000091005969715243N</t>
  </si>
  <si>
    <t>03/27/2026</t>
  </si>
  <si>
    <t>Bay City MHC LLC Settlement 032726 000026612823866 Bay City 9001520382 000026612823866 R00000091005663741188N</t>
  </si>
  <si>
    <t>Bay City Settlement 032726 000026614544842 Lakeshore Management I 9000631441 000026614544842 R00000091005663943858N</t>
  </si>
  <si>
    <t>03/26/2026</t>
  </si>
  <si>
    <t>Bay City Settlement 032626 000026607169542 Lakeshore Management I 9000631441 000026607169542 R00000091005463556493N</t>
  </si>
  <si>
    <t>03/25/2026</t>
  </si>
  <si>
    <t>INTELLIPAY BILLING 260324 A24520129 Lakeshore - Bay City 27-3685152 A24520129 0R00000091004039706583N</t>
  </si>
  <si>
    <t>Bay City MHC LLC Settlement 032526 000026598128194 Bay City 9001520382 000026598128194 R00000091004137018298N</t>
  </si>
  <si>
    <t>Bay City Settlement 032526 000026599557626 Lakeshore Management I 9000631441 000026599557626 R00000091004137125536N</t>
  </si>
  <si>
    <t>03/24/2026</t>
  </si>
  <si>
    <t>Bay City MHC LLC Return 032426 000026585318810 Bay City 9001520382 000026585318810 0R00000091003738422674N</t>
  </si>
  <si>
    <t>1788</t>
  </si>
  <si>
    <t>1783</t>
  </si>
  <si>
    <t>1791</t>
  </si>
  <si>
    <t>1787</t>
  </si>
  <si>
    <t>Bay City MHC LLC Settlement 032426 000026590150386 Bay City 9001520382 000026590150386 R00000091003738260072N</t>
  </si>
  <si>
    <t>03/23/2026</t>
  </si>
  <si>
    <t>1789</t>
  </si>
  <si>
    <t>1784</t>
  </si>
  <si>
    <t>1785</t>
  </si>
  <si>
    <t>ACH ORIGINATION - Bay City MHC - FILE EDIMN00004 COID LAK3642339 LAK3642339 FILE EDIMN00004 0S00000091004553179124N</t>
  </si>
  <si>
    <t>ONLINE TRANSFER LSLND B TO BAY CITY PK DRAW 824 REF #BB0XCTMV2Y</t>
  </si>
  <si>
    <t>BNKCD SETTLE MERCH DEP 260322 286768420002857 LAKESHORE BAY CITY 1043763809 286768420002857 R00000091004259730286N</t>
  </si>
  <si>
    <t>Bay City MHC LLC Settlement 032326 000026575971122 Bay City 9001520382 000026575971122 R00000091004053776378N</t>
  </si>
  <si>
    <t>Bay City Settlement 032326 000026577569310 Lakeshore Management I 9000631441 000026577569310 R00000091004053778248N</t>
  </si>
  <si>
    <t>03/20/2026</t>
  </si>
  <si>
    <t>ACH ORIGINATION - Bay City MHC - FILE EDIMN00004 COID LAK3642339 LAK3642339 FILE EDIMN00004 0S00000091003953343637N</t>
  </si>
  <si>
    <t>Bay City MHC LLC Settlement 032026 000026567373282 Bay City 9001520382 000026567373282 R00000091003658610434N</t>
  </si>
  <si>
    <t>Bay City Settlement 032026 000026568761338 Lakeshore Management I 9000631441 000026568761338 R00000091003658772076N</t>
  </si>
  <si>
    <t>03/19/2026</t>
  </si>
  <si>
    <t>LAKEMGT-161BCTOC Settlement 031926 000026562214018 Lakeshore Management I 9000688057 000026562214018 0R00000091006266783110N</t>
  </si>
  <si>
    <t>Bay City MHC LLC Settlement 031926 000026560355550 Bay City 9001520382 000026560355550 R00000091006266723279N</t>
  </si>
  <si>
    <t>BNKCD SETTLE MERCH DEP 260319 286768420002857 LAKESHORE BAY CITY 1043763809 286768420002857 R00000091006273493480N</t>
  </si>
  <si>
    <t>Bay City Settlement 031926 000026561784546 Lakeshore Management I 9000631441 000026561784546 R00000091006266723265N</t>
  </si>
  <si>
    <t>03/18/2026</t>
  </si>
  <si>
    <t>LAKEMGT-161BCTOC Settlement 031826 000026555235958 Lakeshore Management I 9000688057 000026555235958 0R00000091005977026978N</t>
  </si>
  <si>
    <t>1780</t>
  </si>
  <si>
    <t>WT SEQ451962 LAKESHORE EMPLOYMENT, I /BNF=LAKESHORE EMPLOYMENT, INC. SRF# PPE031426 TRN#260318451962 RFB# 14539</t>
  </si>
  <si>
    <t>Bay City Settlement 031826 000026554701730 Lakeshore Management I 9000631441 000026554701730 R00000091005977452445N</t>
  </si>
  <si>
    <t>BNKCD SETTLE MERCH DEP 260318 286768420002857 LAKESHORE BAY CITY 1043763809 286768420002857 R00000091006063658783N</t>
  </si>
  <si>
    <t>03/17/2026</t>
  </si>
  <si>
    <t>LAKEMGT-161BCTOC Settlement 031726 000026547683346 Lakeshore Management I 9000688057 000026547683346 0R00000091005774260336N</t>
  </si>
  <si>
    <t>1778</t>
  </si>
  <si>
    <t>1779</t>
  </si>
  <si>
    <t>1776</t>
  </si>
  <si>
    <t>ACH ORIGINATION - Bay City MHC - FILE EDIMN00004 COID LAK3642339 LAK3642339 FILE EDIMN00004 0S00000091005668747502N</t>
  </si>
  <si>
    <t>ACH ORIGINATION - Bay City MHC - FILE EDIMN00004 COID LAK3642339 LAK3642339 FILE EDIMN00004 0S00000091005872919420N</t>
  </si>
  <si>
    <t>Bay City MHC LLC Settlement 031726 000026543767598 Bay City 9001520382 000026543767598 R00000091005774311143N</t>
  </si>
  <si>
    <t>Bay City Settlement 031726 000026547015650 Lakeshore Management I 9000631441 000026547015650 R00000091005774221506N</t>
  </si>
  <si>
    <t>Bay City MHC LLC Settlement 031726 000026544076186 Bay City 9001520382 000026544076186 R00000091005774057416N</t>
  </si>
  <si>
    <t>Bay City MHC LLC Settlement 031726 000026543757406 Bay City 9001520382 000026543757406 R00000091005774032488N</t>
  </si>
  <si>
    <t>03/16/2026</t>
  </si>
  <si>
    <t>1782</t>
  </si>
  <si>
    <t>1774</t>
  </si>
  <si>
    <t>1775</t>
  </si>
  <si>
    <t>ACH ORIGINATION - Bay City MHC - FILE EDIMN00004 COID LAK3642339 LAK3642339 FILE EDIMN00004 0S00000091005668587070N</t>
  </si>
  <si>
    <t>Bay City MHC LLC Settlement 031626 000026529083766 Bay City 9001520382 000026529083766 R00000091004534198307N</t>
  </si>
  <si>
    <t>Bay City MHC LLC Settlement 031626 000026528284326 Bay City 9001520382 000026528284326 R00000091004534075135N</t>
  </si>
  <si>
    <t>Bay City MHC LLC Settlement 031626 000026528711026 Bay City 9001520382 000026528711026 R00000091004534200205N</t>
  </si>
  <si>
    <t>Bay City MHC LLC Settlement 031626 000026528711018 Bay City 9001520382 000026528711018 R00000091004534080122N</t>
  </si>
  <si>
    <t>Bay City MHC LLC Settlement 031626 000026525334998 Bay City 9001520382 000026525334998 R00000091004533612039N</t>
  </si>
  <si>
    <t>Bay City Settlement 031626 000026531045258 Lakeshore Management I 9000631441 000026531045258 R00000091004534077986N</t>
  </si>
  <si>
    <t>BNKCD SETTLE MERCH DEP 260316 286768420002857 LAKESHORE BAY CITY 1043763809 286768420002857 R00000091005667781985N</t>
  </si>
  <si>
    <t>03/13/2026</t>
  </si>
  <si>
    <t>LAKEMGT-161BCTOC Settlement 031326 000026522675622 Lakeshore Management I 9000688057 000026522675622 0R00000091004134212853N</t>
  </si>
  <si>
    <t>03/12/2026</t>
  </si>
  <si>
    <t>1771</t>
  </si>
  <si>
    <t>1773</t>
  </si>
  <si>
    <t>1772</t>
  </si>
  <si>
    <t>ACH ORIGINATION - Bay City MHC - FILE EDIMN00004 COID LAK3642339 LAK3642339 FILE EDIMN00004 0S00000091003834527113N</t>
  </si>
  <si>
    <t>Bay City MHC LLC Settlement 031226 000026512845418 Bay City 9001520382 000026512845418 R00000091003732142028N</t>
  </si>
  <si>
    <t>Bay City Settlement 031226 000026514750382 Lakeshore Management I 9000631441 000026514750382 R00000091003732127909N</t>
  </si>
  <si>
    <t>Bay City MHC LLC Settlement 031226 000026513617146 Bay City 9001520382 000026513617146 R00000091003732160330N</t>
  </si>
  <si>
    <t>BNKCD SETTLE MERCH DEP 260312 286768420002857 LAKESHORE BAY CITY 1043763809 286768420002857 R00000091003739206111N</t>
  </si>
  <si>
    <t>03/11/2026</t>
  </si>
  <si>
    <t>1765</t>
  </si>
  <si>
    <t>Bay City MHC LLC Settlement 031126 000026503407630 Bay City 9001520382 000026503407630 R00000091004159732430N</t>
  </si>
  <si>
    <t>03/10/2026</t>
  </si>
  <si>
    <t>LAKEMGT-161BCTOC Settlement 031026 000026498181138 Lakeshore Management I 9000688057 000026498181138 0R00000091003759848004N</t>
  </si>
  <si>
    <t>Bay City MHC LLC Settlement 031026 000026492498810 Bay City 9001520382 000026492498810 R00000091003759640321N</t>
  </si>
  <si>
    <t>Bay City Settlement 031026 000026497330770 Lakeshore Management I 9000631441 000026497330770 R00000091003759638321N</t>
  </si>
  <si>
    <t>BNKCD SETTLE MERCH DEP 260310 286768420002857 LAKESHORE BAY CITY 1043763809 286768420002857 R00000091003859854437N</t>
  </si>
  <si>
    <t>Bay City MHC LLC Settlement 031026 000026489995882 Bay City 9001520382 000026489995882 R00000091003759637089N</t>
  </si>
  <si>
    <t>03/09/2026</t>
  </si>
  <si>
    <t>Bay City MHC LLC Settlement 030926 000026476558254 Bay City 9001520382 000026476558254 R00000091006162712149N</t>
  </si>
  <si>
    <t>Bay City Settlement 030926 000026480673082 Lakeshore Management I 9000631441 000026480673082 R00000091006162803395N</t>
  </si>
  <si>
    <t>Bay City MHC LLC Settlement 030926 000026473850482 Bay City 9001520382 000026473850482 R00000091006162754162N</t>
  </si>
  <si>
    <t>03/06/2026</t>
  </si>
  <si>
    <t>Bay City Settlement 030626 000026468994846 Lakeshore Management I 9000631441 000026468994846 R00000091005965057701N</t>
  </si>
  <si>
    <t>Bay City MHC LLC Settlement 030626 000026464718870 Bay City 9001520382 000026464718870 R00000091005965359536N</t>
  </si>
  <si>
    <t>Bay City MHC LLC Settlement 030626 000026463424982 Bay City 9001520382 000026463424982 R00000091005965407087N</t>
  </si>
  <si>
    <t>Bay City MHC LLC Settlement 030626 000026463424990 Bay City 9001520382 000026463424990 R00000091005965057663N</t>
  </si>
  <si>
    <t>Bay City MHC LLC Settlement 030626 000026466244670 Bay City 9001520382 000026466244670 R00000091005965365621N</t>
  </si>
  <si>
    <t>03/05/2026</t>
  </si>
  <si>
    <t>WT SEQ#08818 WELLS FARGO CRE LENDING /BNF=CASA VERDE MHC LLC SRF# LIQD000000076860 TRN#260305008818 RFB# LIQD000000076860</t>
  </si>
  <si>
    <t>ACH ORIGINATION - Bay City MHC - FILE EDIMN00004 COID LAK3642339 LAK3642339 FILE EDIMN00004 0S00000091005772861533N</t>
  </si>
  <si>
    <t>WT SEQ#10241 WELLS FARGO CRE LENDING /BNF=CASA VERDE MHC LLC SRF# LIQD000000077034 TRN#260305010241 RFB# LIQD000000077034</t>
  </si>
  <si>
    <t>Bay City MHC LLC Settlement 030526 000026454544430 Bay City 9001520382 000026454544430 R00000091005762201838N</t>
  </si>
  <si>
    <t>Bay City Settlement 030526 000026456259646 Lakeshore Management I 9000631441 000026456259646 R00000091005762141042N</t>
  </si>
  <si>
    <t>03/04/2026</t>
  </si>
  <si>
    <t>WT SEQ451981 LAKESHORE EMPLOYMENT, I /BNF=LAKESHORE EMPLOYMENT, INC. SRF# PPE022826 TRN#260304451981 RFB# 14306</t>
  </si>
  <si>
    <t>WT SEQ453467 LS LEND B LLC /BNF=LS LEND B LLC SRF# WF LN Int 226 TRN#260304453467 RFB# 14390</t>
  </si>
  <si>
    <t>Bay City MHC LLC Settlement 030426 000026438463346 Bay City 9001520382 000026438463346 R00000091005466699492N</t>
  </si>
  <si>
    <t>Bay City Settlement 030426 000026443050834 Lakeshore Management I 9000631441 000026443050834 R00000091005466722157N</t>
  </si>
  <si>
    <t>Bay City MHC LLC Settlement 030426 000026434663118 Bay City 9001520382 000026434663118 R00000091005466828613N</t>
  </si>
  <si>
    <t>Bay City MHC LLC Settlement 030426 000026439673626 Bay City 9001520382 000026439673626 R00000091005466722117N</t>
  </si>
  <si>
    <t>BNKCD SETTLE MERCH DEP 260304 286768420002857 LAKESHORE BAY CITY 1043763809 286768420002857 R00000091005474878784N</t>
  </si>
  <si>
    <t>03/03/2026</t>
  </si>
  <si>
    <t>Bay City Settlement 030326 000026427440990 Lakeshore Management I 9000631441 000026427440990 R00000091004239349640N</t>
  </si>
  <si>
    <t>Bay City MHC LLC Settlement 030326 000026415519182 Bay City 9001520382 000026415519182 R00000091004239323407N</t>
  </si>
  <si>
    <t>Bay City MHC LLC Settlement 030326 000026419788698 Bay City 9001520382 000026419788698 R00000091004239338108N</t>
  </si>
  <si>
    <t>Bay City MHC LLC Settlement 030326 000026421270250 Bay City 9001520382 000026421270250 R00000091004239337484N</t>
  </si>
  <si>
    <t>Bay City MHC LLC Settlement 030326 000026416329770 Bay City 9001520382 000026416329770 R00000091004239338142N</t>
  </si>
  <si>
    <t>Bay City MHC LLC Settlement 030326 000026416152314 Bay City 9001520382 000026416152314 R00000091004239339948N</t>
  </si>
  <si>
    <t>03/02/2026</t>
  </si>
  <si>
    <t>WT SEQ450778 LAKESHORE EMPLOYMENT, I /BNF=LAKESHORE EMPLOYMENT, INC. SRF# BEN 032026 TRN#260302450778 RFB# 14165</t>
  </si>
  <si>
    <t>Bay City MHC LLC Settlement 030226 000026376968070 Bay City 9001520382 000026376968070 R00000091004151582761N</t>
  </si>
  <si>
    <t>Bay City Settlement 030226 000026380527334 Lakeshore Management I 9000631441 000026380527334 R00000091004151161433N</t>
  </si>
  <si>
    <t>Bay City MHC LLC Settlement 030226 000026378370410 Bay City 9001520382 000026378370410 R00000091004151178647N</t>
  </si>
  <si>
    <t>BNKCD SETTLE MERCH DEP 260302 286768420002857 LAKESHORE BAY CITY 1043763809 286768420002857 R00000091003832829341N</t>
  </si>
  <si>
    <t>Detail Date Range: 03/01/26 - 03/31/26  (Accural basis)</t>
  </si>
  <si>
    <t>J-353139</t>
  </si>
  <si>
    <t>:Reversal of J-353137</t>
  </si>
  <si>
    <t>J-353220</t>
  </si>
  <si>
    <t>J-355290</t>
  </si>
  <si>
    <t>:Reversal of J-353554</t>
  </si>
  <si>
    <t>J-355307</t>
  </si>
  <si>
    <t>K-535101</t>
  </si>
  <si>
    <t>K-535324</t>
  </si>
  <si>
    <t>1766</t>
  </si>
  <si>
    <t>K-535705</t>
  </si>
  <si>
    <t>1767</t>
  </si>
  <si>
    <t>J-355013</t>
  </si>
  <si>
    <t>J-357801</t>
  </si>
  <si>
    <t>Sweep Interest Payment - March'26</t>
  </si>
  <si>
    <t>K-535869</t>
  </si>
  <si>
    <t>1768</t>
  </si>
  <si>
    <t>K-536048</t>
  </si>
  <si>
    <t>1769</t>
  </si>
  <si>
    <t>K-536216</t>
  </si>
  <si>
    <t>22643</t>
  </si>
  <si>
    <t>J-353375</t>
  </si>
  <si>
    <t>Record 03.03.26 Deposit Casa Verde SWAP PB- 075</t>
  </si>
  <si>
    <t>K-536553</t>
  </si>
  <si>
    <t>1770</t>
  </si>
  <si>
    <t>J-355025</t>
  </si>
  <si>
    <t>J-356882</t>
  </si>
  <si>
    <t>K-536714</t>
  </si>
  <si>
    <t>K-536847</t>
  </si>
  <si>
    <t>K-537081</t>
  </si>
  <si>
    <t>J-356947</t>
  </si>
  <si>
    <t>J-357337</t>
  </si>
  <si>
    <t>K-537363</t>
  </si>
  <si>
    <t>K-537559</t>
  </si>
  <si>
    <t>K-537665</t>
  </si>
  <si>
    <t>22644</t>
  </si>
  <si>
    <t>K-537808</t>
  </si>
  <si>
    <t>K-537827</t>
  </si>
  <si>
    <t>1777</t>
  </si>
  <si>
    <t>J-357623</t>
  </si>
  <si>
    <t>K-537986</t>
  </si>
  <si>
    <t>K-538096</t>
  </si>
  <si>
    <t>22645</t>
  </si>
  <si>
    <t>K-538192</t>
  </si>
  <si>
    <t>K-538193</t>
  </si>
  <si>
    <t>J-357814</t>
  </si>
  <si>
    <t>J-357905</t>
  </si>
  <si>
    <t>K-538758</t>
  </si>
  <si>
    <t>22646</t>
  </si>
  <si>
    <t>J-358251</t>
  </si>
  <si>
    <t>K-538929</t>
  </si>
  <si>
    <t>22647</t>
  </si>
  <si>
    <t>K-539075</t>
  </si>
  <si>
    <t>K-539086</t>
  </si>
  <si>
    <t>K-539242</t>
  </si>
  <si>
    <t>22648</t>
  </si>
  <si>
    <t>K-539373</t>
  </si>
  <si>
    <t>22649</t>
  </si>
  <si>
    <t>K-539517</t>
  </si>
  <si>
    <t>K-539654</t>
  </si>
  <si>
    <t>22650</t>
  </si>
  <si>
    <t>J-358741</t>
  </si>
  <si>
    <t>J-358743</t>
  </si>
  <si>
    <t>K-539780</t>
  </si>
  <si>
    <t>K-539857</t>
  </si>
  <si>
    <t>22651</t>
  </si>
  <si>
    <t>K-539916</t>
  </si>
  <si>
    <t>22652</t>
  </si>
  <si>
    <t>K-539959</t>
  </si>
  <si>
    <t>22653</t>
  </si>
  <si>
    <t>K-539994</t>
  </si>
  <si>
    <t>22654</t>
  </si>
  <si>
    <t>K-540081</t>
  </si>
  <si>
    <t>K-540119</t>
  </si>
  <si>
    <t>K-540177</t>
  </si>
  <si>
    <t>K-540240</t>
  </si>
  <si>
    <t>K-540308</t>
  </si>
  <si>
    <t>22655</t>
  </si>
  <si>
    <t>J-358817</t>
  </si>
  <si>
    <t>K-540327</t>
  </si>
  <si>
    <t>1786</t>
  </si>
  <si>
    <t>K-540393</t>
  </si>
  <si>
    <t>K-540394</t>
  </si>
  <si>
    <t>K-540615</t>
  </si>
  <si>
    <t>K-540765</t>
  </si>
  <si>
    <t>22656</t>
  </si>
  <si>
    <t>J-358843</t>
  </si>
  <si>
    <t>K-540896</t>
  </si>
  <si>
    <t>K-541022</t>
  </si>
  <si>
    <t>22657</t>
  </si>
  <si>
    <t>K-541152</t>
  </si>
  <si>
    <t>K-541284</t>
  </si>
  <si>
    <t>22658</t>
  </si>
  <si>
    <t>K-541419</t>
  </si>
  <si>
    <t>1790</t>
  </si>
  <si>
    <t>K-541458</t>
  </si>
  <si>
    <t>J-358863</t>
  </si>
  <si>
    <t>K-541552</t>
  </si>
  <si>
    <t>1792</t>
  </si>
  <si>
    <t>K-541806</t>
  </si>
  <si>
    <t>K-541943</t>
  </si>
  <si>
    <t>22659</t>
  </si>
  <si>
    <t>K-542066</t>
  </si>
  <si>
    <t>22660</t>
  </si>
  <si>
    <t>J-358904</t>
  </si>
  <si>
    <t>K-542143</t>
  </si>
  <si>
    <t>K-542250</t>
  </si>
  <si>
    <t>22661</t>
  </si>
  <si>
    <t>J-358934</t>
  </si>
  <si>
    <t>J-358935</t>
  </si>
  <si>
    <t>K-542660</t>
  </si>
  <si>
    <t>K-542798</t>
  </si>
  <si>
    <t>K-542821</t>
  </si>
  <si>
    <t>J-358966</t>
  </si>
  <si>
    <t>J-358973</t>
  </si>
  <si>
    <t>K-543066</t>
  </si>
  <si>
    <t>K-543116</t>
  </si>
  <si>
    <t>1797</t>
  </si>
  <si>
    <t>J-358982</t>
  </si>
  <si>
    <t>K-543415</t>
  </si>
  <si>
    <t>1798</t>
  </si>
  <si>
    <t>J-359009</t>
  </si>
  <si>
    <t>J-359020</t>
  </si>
  <si>
    <t>K-543853</t>
  </si>
  <si>
    <t>1799</t>
  </si>
  <si>
    <t>J-359023</t>
  </si>
  <si>
    <t>J-359165</t>
  </si>
  <si>
    <t>K-543977</t>
  </si>
  <si>
    <t>22662</t>
  </si>
  <si>
    <t>K-544067</t>
  </si>
  <si>
    <t>22663</t>
  </si>
  <si>
    <t>K-544195</t>
  </si>
  <si>
    <t>22664</t>
  </si>
  <si>
    <t>K-544652</t>
  </si>
  <si>
    <t>1800</t>
  </si>
  <si>
    <t>J-359220</t>
  </si>
  <si>
    <t>K-544798</t>
  </si>
  <si>
    <t>22665</t>
  </si>
  <si>
    <t>K-544969</t>
  </si>
  <si>
    <t>22666</t>
  </si>
  <si>
    <t>J-359031</t>
  </si>
  <si>
    <t>03/2026 Mortgages 120-164</t>
  </si>
  <si>
    <t>J-359040</t>
  </si>
  <si>
    <t>J-359244</t>
  </si>
  <si>
    <t>J-360719</t>
  </si>
  <si>
    <t>Park Mgmt Fees Mar 2026</t>
  </si>
  <si>
    <t>J-363831</t>
  </si>
  <si>
    <t>03/01/2026 Daily Deposit</t>
  </si>
  <si>
    <t>03/03/2026 Daily Deposit</t>
  </si>
  <si>
    <t>03/02/2026 Daily Deposit</t>
  </si>
  <si>
    <t>02-26 SWAP/PB Casa Verde-Deposit</t>
  </si>
  <si>
    <t>T/F from PARKS to LS Lend B to LSM to pay WF inventory loan interest-02/28/26</t>
  </si>
  <si>
    <t>03/04/2026 Daily Deposit</t>
  </si>
  <si>
    <t>Blue Hen Dispose all Inc (v0007697)</t>
  </si>
  <si>
    <t>03/05/2026 Daily Deposit</t>
  </si>
  <si>
    <t>03/06/2026 Daily Deposit</t>
  </si>
  <si>
    <t>Complete Tree Care, Inc. (v0007846)</t>
  </si>
  <si>
    <t>Sharon Lee Kerr (v0012158)</t>
  </si>
  <si>
    <t>03/09/2026 Daily Deposit</t>
  </si>
  <si>
    <t>Medcor, Inc. (v0001390)</t>
  </si>
  <si>
    <t>HireRight, LLC (v0003026)</t>
  </si>
  <si>
    <t>03/10/2026 Daily Deposit</t>
  </si>
  <si>
    <t>03/11/2026 Daily Deposit</t>
  </si>
  <si>
    <t>03/12/2026 Daily Deposit</t>
  </si>
  <si>
    <t>Hearn Group LLC (v0011939)</t>
  </si>
  <si>
    <t>CSC - Corporation Service Company (v0000317)</t>
  </si>
  <si>
    <t>03/13/2026 Daily Deposit</t>
  </si>
  <si>
    <t>03/15/2026 Daily Deposit</t>
  </si>
  <si>
    <t>03/16/2026 Daily Deposit</t>
  </si>
  <si>
    <t>Delmarva Beachgrass LLC (v0012207)</t>
  </si>
  <si>
    <t>03/17/2026 Daily Deposit</t>
  </si>
  <si>
    <t>03/18/2026 Daily Deposit</t>
  </si>
  <si>
    <t>03/19/2026 Daily Deposit</t>
  </si>
  <si>
    <t>03/20/2026 Daily Deposit</t>
  </si>
  <si>
    <t>03/21/2026 Daily Deposit</t>
  </si>
  <si>
    <t>03/23/2026 Daily Deposit</t>
  </si>
  <si>
    <t>Park Draw#824 for Park Capex Expenditures</t>
  </si>
  <si>
    <t>03/24/2026 Daily Deposit</t>
  </si>
  <si>
    <t>Guardian Property Services (v0011491)</t>
  </si>
  <si>
    <t>03/25/2026 Daily Deposit</t>
  </si>
  <si>
    <t>03/26/2026 Daily Deposit</t>
  </si>
  <si>
    <t>Convenient Payments Mar'26</t>
  </si>
  <si>
    <t>03/27/2026 Daily Deposit</t>
  </si>
  <si>
    <t>03/30/2026 Daily Deposit</t>
  </si>
  <si>
    <t>Accrue Casa Verde MAR 2026 swap PB :Reversed by J-359045</t>
  </si>
  <si>
    <t>03/31/2026 Daily Deposit</t>
  </si>
  <si>
    <t>Park Mgmt Fees Mar 2026 :Reversed by J-360866</t>
  </si>
  <si>
    <t>EFT Deposit 03/01/2026</t>
  </si>
  <si>
    <t>CKS 03/03/2026 Batch 492d9ecb-668c-44b6-ba25-ef3e5fff0f5a</t>
  </si>
  <si>
    <t>CKS 03/03/2026 Batch 8098fa8c-a621-43f8-b081-0a3faef75d53</t>
  </si>
  <si>
    <t>CKS 03/03/2026 Batch f6d34f9b-0efa-43f8-a64c-85f28d86660b</t>
  </si>
  <si>
    <t>RP : ACH Deposit 02/28/2026</t>
  </si>
  <si>
    <t>RP : ACH Deposit 03/01/2026</t>
  </si>
  <si>
    <t>RP : ACH Deposit 03/02/2026</t>
  </si>
  <si>
    <t>RP : CC Deposit 03/03/2026</t>
  </si>
  <si>
    <t>Utility Invoice Processing (UEM) 01/01/2026 - 01/31/2026 Inv# 1376009</t>
  </si>
  <si>
    <t>Gloria  Lamonaca</t>
  </si>
  <si>
    <t>Lakeshore</t>
  </si>
  <si>
    <t>MAR26 Health  Dental</t>
  </si>
  <si>
    <t>MAR26 Life STD &amp; OTH</t>
  </si>
  <si>
    <t>MAR26 Vision</t>
  </si>
  <si>
    <t>CKS 03/02/2026 Batch 24ffb80d-b7e0-4260-8426-15ad59ab57d2</t>
  </si>
  <si>
    <t>CKS 03/02/2026 Batch 30fefc53-bba8-4829-bf50-21396635460a</t>
  </si>
  <si>
    <t>CKS 03/02/2026 Batch 7aa3a2d6-0c7b-4e38-8a28-843b623b8791</t>
  </si>
  <si>
    <t>CKS 03/02/2026 Batch aa0ec41a-9ad4-40dc-a77d-20dfcd91486c</t>
  </si>
  <si>
    <t>CKS 03/02/2026 Batch f74d5bd3-5a71-4db3-a08b-a622aaa2874d</t>
  </si>
  <si>
    <t>RP : ACH Deposit 02/27/2026</t>
  </si>
  <si>
    <t>CAT ENV AND MAIL SERVICE/PREP.</t>
  </si>
  <si>
    <t>CAT ENV, MAIL SERVICE/PREP AND CERTIFICATION</t>
  </si>
  <si>
    <t>PB FOR RESULT TECH INV # 2500</t>
  </si>
  <si>
    <t>Record 03.03.26 Deposit Casa Verde  SWAP PB-161</t>
  </si>
  <si>
    <t>DEPT 15310 ppe 02/28/26</t>
  </si>
  <si>
    <t>DEPT 15340 ppe 02/28/26</t>
  </si>
  <si>
    <t>DEPT 35200 ppe 02/28/26</t>
  </si>
  <si>
    <t>CKS 03/04/2026 Batch 7b243880-0f5a-48cc-baaf-86157a3198c4</t>
  </si>
  <si>
    <t>RP : ACH Deposit 03/03/2026</t>
  </si>
  <si>
    <t>02/01/2026-02/28/2026-Trash-BD12760-TRASH 1-34677 LONG NECK RD</t>
  </si>
  <si>
    <t>PB YARDI INVOICE # 5177909 APRIL 2026</t>
  </si>
  <si>
    <t>MA PAYBACK MARCH 2026</t>
  </si>
  <si>
    <t>CKS 03/05/2026 Batch 22c2a7c5-53fa-4854-8e99-9e05f6ce6e70</t>
  </si>
  <si>
    <t>CKS 03/05/2026 Batch d5c9766c-50e5-48da-8952-b21d78ef6d7b</t>
  </si>
  <si>
    <t>CKS 03/05/2026 Batch e5b3bb27-42fa-4268-89c6-03f31fa163f3</t>
  </si>
  <si>
    <t>CKS 03/05/2026 Batch f16a5c18-4883-4fdb-b48f-ade53d1bed06</t>
  </si>
  <si>
    <t>EFT Deposit 03/05/2026</t>
  </si>
  <si>
    <t>NSF CKS 01/09/2026 Batch 5283f534-73a2-4efb-974a-4b70bbdb281b</t>
  </si>
  <si>
    <t>RP : ACH Deposit 03/04/2026</t>
  </si>
  <si>
    <t>Slip #1 Deposit 03/05/2026</t>
  </si>
  <si>
    <t>CKS 03/06/2026 Batch 2910bb83-4328-450c-aba5-22dfb437b0bc</t>
  </si>
  <si>
    <t>CKS 03/06/2026 Batch dd708e4a-0a21-488b-a8b1-4f8b1f6d44a7</t>
  </si>
  <si>
    <t>RP : ACH Deposit 03/05/2026</t>
  </si>
  <si>
    <t>ORDER# 7675744817-000-001 BY GLORIA LAMONACA</t>
  </si>
  <si>
    <t>01/28/2026-02/26/2026-Water-003997-L3997-LAGOON BALD CYPRESS ST</t>
  </si>
  <si>
    <t>01/28/2026-02/26/2026-Water-003996-L3996-BC S. CANAL ST LAGOON</t>
  </si>
  <si>
    <t>LOT# 230 TREE REMOVAL TAKE DOWN AND REMOVE 18'' DBH OAK ACROSS.</t>
  </si>
  <si>
    <t>LOT# 172 TREE TRIMMING/PRUNING REMOVE DEAD LIMBS FROM PINE TREE.</t>
  </si>
  <si>
    <t>LOT# 191 TREE TRIMMING/PRUNING ELEVATE THREE PINES</t>
  </si>
  <si>
    <t>LOT# 168 TREE TRIMMING/PRUNING REMOVE DEAD LIMBS</t>
  </si>
  <si>
    <t>LOTS# 141/140 TREE REMOVAL TAKE DOWN AND REMOVE MULTI TRUNK MAPLE</t>
  </si>
  <si>
    <t>LOT# 103A TREE REMOVAL TAKE DOWN AND REMOVE DEELING MAPLE</t>
  </si>
  <si>
    <t>PB YARDI INVOICE #5184559 FEBRUARY 2026</t>
  </si>
  <si>
    <t>161 Credit Balance Refund Site 137</t>
  </si>
  <si>
    <t>CKS 03/09/2026 Batch 0a81d384-e81f-4ad8-8831-b96e09627819</t>
  </si>
  <si>
    <t>CKS 03/09/2026 Batch 91438ba7-d796-4cc4-b4a0-ea81bddca75f</t>
  </si>
  <si>
    <t>RP : ACH Deposit 03/06/2026</t>
  </si>
  <si>
    <t>RP : CC Deposit 03/09/2026</t>
  </si>
  <si>
    <t>PB FOR PAINT THE WEB INV # 1414</t>
  </si>
  <si>
    <t>TRANSLATION FEE 02/01/2026-02/28/2026</t>
  </si>
  <si>
    <t>Screening 2/01/26-2/28/26</t>
  </si>
  <si>
    <t>CKS 03/10/2026 Batch cc73e427-2d36-4906-bc2c-bb71e4f5335f</t>
  </si>
  <si>
    <t>RP : ACH Deposit 03/07/2026</t>
  </si>
  <si>
    <t>CKS 03/11/2026 Batch d5339ac2-54db-49b9-96da-99ca7f9eb463</t>
  </si>
  <si>
    <t>CKS 03/11/2026 Batch f9720b43-72ee-449c-8d29-c1b37a975bb2</t>
  </si>
  <si>
    <t>RP : CC Deposit 03/11/2026</t>
  </si>
  <si>
    <t>mh village ads 01.07.26</t>
  </si>
  <si>
    <t>RP : ACH Deposit 03/11/2026</t>
  </si>
  <si>
    <t>CX-LOT# D23 INSTALL 100 AMP BREAKER</t>
  </si>
  <si>
    <t>CX-LOT# D20 INSTALL 100 AMP BREAKER</t>
  </si>
  <si>
    <t>CX-LOT# D21 INSTALL 100 AMP BREAKER</t>
  </si>
  <si>
    <t>CX-LOT# E4 INSTALL 100 AMP BREAKER</t>
  </si>
  <si>
    <t>CX-LOT# E6 INSTALL 100 AMP BREAKER</t>
  </si>
  <si>
    <t>CX-LOT# E11 INSTALL 100 AMP BREAKER</t>
  </si>
  <si>
    <t>Current Billing</t>
  </si>
  <si>
    <t>Delinquient accounts</t>
  </si>
  <si>
    <t>Interest</t>
  </si>
  <si>
    <t>2026 JUNE DE LLCLPGP RENEWALS</t>
  </si>
  <si>
    <t>Jan 26 Invoices</t>
  </si>
  <si>
    <t>PB YARDI INVOICE # 5195692 FEBRUARY 2026</t>
  </si>
  <si>
    <t>CKS 03/13/2026 Batch 181dc2ac-a91e-452f-ab66-a0fc89ffd81b</t>
  </si>
  <si>
    <t>CKS 03/13/2026 Batch 44df5d69-199c-4dc0-aacc-0fb655b812e2</t>
  </si>
  <si>
    <t>CKS 03/13/2026 Batch 84702480-a1d3-4bce-be5c-b628682c9c6d</t>
  </si>
  <si>
    <t>CKS 03/13/2026 Batch 870d5ae0-9373-4269-97c1-fe5aad40197a</t>
  </si>
  <si>
    <t>CKS 03/13/2026 Batch 9843ec20-17d1-48f1-980f-f7f1eacb7449</t>
  </si>
  <si>
    <t>RP : CC Deposit 03/15/2026</t>
  </si>
  <si>
    <t>02/12/2026-03/12/2026-Electric-16424000-76702171</t>
  </si>
  <si>
    <t>Feb 26 Invoices</t>
  </si>
  <si>
    <t>Preston Miller</t>
  </si>
  <si>
    <t>PB for LeadCrossing INV-000657</t>
  </si>
  <si>
    <t>PB for LeadCrossing INV-000658</t>
  </si>
  <si>
    <t>HOWARD SPOR</t>
  </si>
  <si>
    <t>ESTATE OF TED MCDONALD</t>
  </si>
  <si>
    <t>ORDER# 7676090590-000-001 BY GLORIA LAMONACA</t>
  </si>
  <si>
    <t>ORDER# 7676086064-000-001 BY GLORIA LAMONACA</t>
  </si>
  <si>
    <t>ORDER# 7676086064-000-002 BY GLORIA LAMONACA</t>
  </si>
  <si>
    <t>CKS 03/16/2026 Batch 128e35f1-7eed-474b-bad4-3741fc99f583</t>
  </si>
  <si>
    <t>CKS 03/16/2026 Batch 3a9568c4-3b8d-49ca-9626-bcbb44901629</t>
  </si>
  <si>
    <t>CKS 03/16/2026 Batch 8e1e768f-d3c3-4eea-b0db-841163c5a9e4</t>
  </si>
  <si>
    <t>PPV CKS 02/18/2026 Batch 34a7af52-e035-4973-b3d6-ec6f3a3e07f1</t>
  </si>
  <si>
    <t>RP : ACH Deposit 03/13/2026</t>
  </si>
  <si>
    <t>Slip #2 Deposit 03/16/2026</t>
  </si>
  <si>
    <t>Beach Grass</t>
  </si>
  <si>
    <t>03/01/2026-03/31/2026-Water-003997-L3997-LAGOON BALD CYPRESS ST</t>
  </si>
  <si>
    <t>Electric-16423500-120-02/11/2026-03/12/2026 - 30 Days Vacant</t>
  </si>
  <si>
    <t>Electric-5170602-140-02/11/2026-03/12/2026 - 30 Days Vacant</t>
  </si>
  <si>
    <t>Electric-5221609-E7-02/12/2026-03/12/2026 - 29 Days Vacant</t>
  </si>
  <si>
    <t>Electric-16423200-91-02/11/2026-03/12/2026 - 30 Days Vacant</t>
  </si>
  <si>
    <t>Electric-5184204-159-02/12/2026-03/12/2026 - 29 Days Vacant</t>
  </si>
  <si>
    <t>Electric-5184602-161-02/11/2026-03/12/2026 - 30 Days Vacant</t>
  </si>
  <si>
    <t>LOT# 81 KEVIN TEEPLE</t>
  </si>
  <si>
    <t>LOT# G06 ADRIANA GUDINHO</t>
  </si>
  <si>
    <t>LOT# 207 SHANE RICHARD</t>
  </si>
  <si>
    <t>RP : ACH Deposit 03/16/2026</t>
  </si>
  <si>
    <t>RP : CC Deposit 03/17/2026</t>
  </si>
  <si>
    <t>DEPT 15310 ppe 03/14/26</t>
  </si>
  <si>
    <t>DEPT 15340 ppe 03/14/26</t>
  </si>
  <si>
    <t>DEPT 35100 ppe 03/14/26</t>
  </si>
  <si>
    <t>DEPT 35200 ppe 03/14/26</t>
  </si>
  <si>
    <t>03/01/2026-03/31/2026-Water-003998-L3998-BC BAYVIEW DR LAGOON</t>
  </si>
  <si>
    <t>CKS 03/18/2026 Batch f4e864e2-66df-4406-8278-1913d1425647</t>
  </si>
  <si>
    <t>RP : ACH Deposit 03/17/2026</t>
  </si>
  <si>
    <t>RP : CC Deposit 03/18/2026</t>
  </si>
  <si>
    <t>161 Credit Balance Refund Boat-E87</t>
  </si>
  <si>
    <t>ACCOUNT# 357-194-549-0001-49 03/07/2026-04/06/2026 PHONE SERVICE</t>
  </si>
  <si>
    <t>PB FOR STATE LISTING INV # 20202870</t>
  </si>
  <si>
    <t>PB FOR MARCH 26?ADT</t>
  </si>
  <si>
    <t>CKS 03/19/2026 Batch 44db4a30-5447-45a9-8be8-69e0f1c02223</t>
  </si>
  <si>
    <t>RP : ACH Deposit 03/18/2026</t>
  </si>
  <si>
    <t>Signs</t>
  </si>
  <si>
    <t>PB -067 Mar 2026 MTG Tax Escrow</t>
  </si>
  <si>
    <t>CKS 03/20/2026 Batch 92e2d93a-27b9-453e-ab54-992f26e228bd</t>
  </si>
  <si>
    <t>RP : ACH Deposit 03/19/2026</t>
  </si>
  <si>
    <t>RP : CC Deposit 03/21/2026</t>
  </si>
  <si>
    <t>ORDER# 7676922913-000-001 BY GLORIA LAMONACA</t>
  </si>
  <si>
    <t>CKS 03/23/2026 Batch 9b783bc9-13c0-4f8b-97ed-c8cd47421879</t>
  </si>
  <si>
    <t>NSF CKS 03/19/2026 Batch 44db4a30-5447-45a9-8be8-69e0f1c02223</t>
  </si>
  <si>
    <t>RP : ACH Deposit 03/20/2026</t>
  </si>
  <si>
    <t>CKS 03/24/2026 Batch d64d3c43-32ec-4ba9-ac67-1eae960e9ede</t>
  </si>
  <si>
    <t>50% DEPOSIT OFFICE GUTTERS</t>
  </si>
  <si>
    <t>RP : ACH Deposit 03/23/2026</t>
  </si>
  <si>
    <t>CKS 03/26/2026 Batch 81beb0aa-a537-439e-a4a9-651db515c6c2</t>
  </si>
  <si>
    <t>RP : ACH Deposit 03/24/2026</t>
  </si>
  <si>
    <t>RP : ACH Deposit 03/25/2026</t>
  </si>
  <si>
    <t>02/19/2026-03/12/2026-Electric-16422800-85186878-35873 S Canal St</t>
  </si>
  <si>
    <t>CKS 03/27/2026 Batch b56beb9b-a480-4ca6-abe9-ddcca791eb6e</t>
  </si>
  <si>
    <t>RP : ACH Deposit 03/26/2026</t>
  </si>
  <si>
    <t>RP : CC Deposit 03/27/2026</t>
  </si>
  <si>
    <t>Enterprise Batch381316 3/30/26</t>
  </si>
  <si>
    <t>Tina Carlton</t>
  </si>
  <si>
    <t>T-Mobile Invoices Through 2.28.26</t>
  </si>
  <si>
    <t>02/24/2026-03/25/2026-Electric-5220205-ELECTRIC 1-BAY CITY</t>
  </si>
  <si>
    <t>RP : ACH Deposit 03/27/2026</t>
  </si>
  <si>
    <t>RP : CC Deposit 03/30/2026</t>
  </si>
  <si>
    <t>candy for the office</t>
  </si>
  <si>
    <t>Security cameras</t>
  </si>
  <si>
    <t>Ring doorbell subscription</t>
  </si>
  <si>
    <t>QBR breakfast</t>
  </si>
  <si>
    <t>Yard of the Month Gift Card</t>
  </si>
  <si>
    <t>Flashlight for safety board</t>
  </si>
  <si>
    <t>Lumber for mailboxes</t>
  </si>
  <si>
    <t>Mailboxes and screws</t>
  </si>
  <si>
    <t>Window sign holders</t>
  </si>
  <si>
    <t>Drinkssnacks for the office</t>
  </si>
  <si>
    <t>Purchase water due to frozen water pipes in office</t>
  </si>
  <si>
    <t>Mailed rental increase certified mail</t>
  </si>
  <si>
    <t>Mailed violation letters</t>
  </si>
  <si>
    <t>Mailed Resident Application</t>
  </si>
  <si>
    <t>QBR lunch</t>
  </si>
  <si>
    <t>Gift Card for Resident Raffle</t>
  </si>
  <si>
    <t>Propane gas</t>
  </si>
  <si>
    <t>Car wash for maintenance truck</t>
  </si>
  <si>
    <t>Hydrolic fluid for the Tractor</t>
  </si>
  <si>
    <t>Blade saw for eqpt</t>
  </si>
  <si>
    <t>equipment maintenance supplies</t>
  </si>
  <si>
    <t>Folding sawhorse</t>
  </si>
  <si>
    <t>Circular saw blades for dock work</t>
  </si>
  <si>
    <t>Treated lumber for new mailboxes</t>
  </si>
  <si>
    <t>For mailbox installation</t>
  </si>
  <si>
    <t>Crush and run gravel for maintenance equipment area</t>
  </si>
  <si>
    <t>Stone for maintenance equipment area</t>
  </si>
  <si>
    <t>diesel fuel</t>
  </si>
  <si>
    <t>Nextiva VoIP Feb</t>
  </si>
  <si>
    <t>AMBS Call Center Feb</t>
  </si>
  <si>
    <t>1st Qrt snowstorm site vistes</t>
  </si>
  <si>
    <t>Mail Increase NoticesLeases</t>
  </si>
  <si>
    <t>Breakfast</t>
  </si>
  <si>
    <t>lunchdinner during property visit for new homes</t>
  </si>
  <si>
    <t>stakes to mark new electric pedestal placement</t>
  </si>
  <si>
    <t>Staging inventory home towels pillows comforter glass ware vase</t>
  </si>
  <si>
    <t>Center Card regional allocation</t>
  </si>
  <si>
    <t>Accrue (161) Casa Verde MAR 2026 swap PB</t>
  </si>
  <si>
    <t>CKS 03/31/2026 Batch 25d90c5d-639e-4cbe-8519-4e81f290d32a</t>
  </si>
  <si>
    <t>CKS 03/31/2026 Batch 607460c1-14c4-46a8-bbc3-8c0dbf165773</t>
  </si>
  <si>
    <t>CKS 03/31/2026 Batch a6f02ce9-9ac0-4816-9ed3-b55af71c8d07</t>
  </si>
  <si>
    <t>CKS 03/31/2026 Batch e9d5295e-2f13-4ef6-a9a7-496f265fece0</t>
  </si>
  <si>
    <t>CKS 03/31/2026 Batch ee14b80a-ceea-4d74-997c-82beb6b7a3a7</t>
  </si>
  <si>
    <t>RP : ACH Deposit 03/28/2026</t>
  </si>
  <si>
    <t>RP : ACH Deposit 03/30/2026</t>
  </si>
  <si>
    <t>RP : CC Deposit 03/31/2026</t>
  </si>
  <si>
    <t>Draw #9</t>
  </si>
  <si>
    <t>Draw #10</t>
  </si>
  <si>
    <t>Will be reversed on 04/01/2026</t>
  </si>
  <si>
    <t>Will be reversed on 04/01/2026 with J-359045</t>
  </si>
  <si>
    <t>Will be reversed on 04/01/2026 with J-360866</t>
  </si>
  <si>
    <t>Will be cleared on 04/01/2026 with bank transaction</t>
  </si>
  <si>
    <t>Not found in bank</t>
  </si>
  <si>
    <t>Showing outstanding status in bank</t>
  </si>
  <si>
    <t>Will be cleared on 04/07/2026 with bank transaction</t>
  </si>
  <si>
    <t>Will be cleared on 04/09/2026 with bank transaction</t>
  </si>
  <si>
    <t>Will be cleared on 04/06/2026 with bank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</si>
</sst>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/dd/yy"/>
    <numFmt numFmtId="166" formatCode="[$-409]mm\/dd\/yy"/>
    <numFmt numFmtId="167" formatCode="mm/dd/yyyy"/>
    <numFmt numFmtId="168" formatCode="&quot;$&quot;#,##0.00"/>
    <numFmt numFmtId="169" formatCode="\$#,##0.00_);[Red]&quot;($&quot;#,##0.00\)"/>
    <numFmt numFmtId="170" formatCode="_(* #,##0.00_);_(* \(#,##0.00\);_(* \-??_);_(@_)"/>
  </numFmts>
  <fonts count="25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Mang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66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3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4" fillId="0" borderId="0"/>
    <xf numFmtId="9" fontId="2" fillId="0" borderId="0" applyFont="0" applyFill="0" applyBorder="0" applyAlignment="0" applyProtection="0"/>
    <xf numFmtId="0" fontId="15" fillId="0" borderId="0"/>
    <xf numFmtId="0" fontId="16" fillId="0" borderId="0"/>
    <xf numFmtId="0" fontId="2" fillId="0" borderId="0"/>
    <xf numFmtId="9" fontId="19" fillId="0" borderId="0" applyFont="0" applyFill="0" applyBorder="0" applyAlignment="0" applyProtection="0"/>
    <xf numFmtId="0" fontId="22" fillId="0" borderId="0"/>
    <xf numFmtId="0" fontId="23" fillId="0" borderId="0"/>
    <xf numFmtId="170" fontId="24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227">
    <xf numFmtId="0" fontId="0" fillId="0" borderId="0" xfId="0" applyAlignment="1">
      <alignment horizontal="left" vertical="top"/>
    </xf>
    <xf numFmtId="40" fontId="2" fillId="0" borderId="8" xfId="2" applyNumberFormat="1" applyBorder="1" applyAlignment="1">
      <alignment horizontal="left"/>
    </xf>
    <xf numFmtId="0" fontId="2" fillId="0" borderId="10" xfId="2" applyBorder="1" applyAlignment="1">
      <alignment horizontal="left"/>
    </xf>
    <xf numFmtId="0" fontId="2" fillId="0" borderId="10" xfId="4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5" fillId="0" borderId="10" xfId="4" applyFont="1" applyBorder="1" applyAlignment="1">
      <alignment horizontal="left"/>
    </xf>
    <xf numFmtId="40" fontId="2" fillId="0" borderId="0" xfId="6" applyNumberFormat="1" applyFont="1" applyFill="1" applyBorder="1" applyAlignment="1">
      <alignment horizontal="right"/>
    </xf>
    <xf numFmtId="0" fontId="3" fillId="0" borderId="10" xfId="2" applyFont="1" applyBorder="1" applyAlignment="1">
      <alignment horizontal="right"/>
    </xf>
    <xf numFmtId="0" fontId="2" fillId="0" borderId="5" xfId="2" applyBorder="1" applyAlignment="1">
      <alignment horizontal="left"/>
    </xf>
    <xf numFmtId="39" fontId="2" fillId="0" borderId="6" xfId="2" applyNumberFormat="1" applyBorder="1" applyAlignment="1">
      <alignment horizontal="left"/>
    </xf>
    <xf numFmtId="165" fontId="7" fillId="3" borderId="2" xfId="2" applyNumberFormat="1" applyFont="1" applyFill="1" applyBorder="1" applyAlignment="1">
      <alignment horizontal="left"/>
    </xf>
    <xf numFmtId="0" fontId="8" fillId="3" borderId="3" xfId="2" applyFont="1" applyFill="1" applyBorder="1" applyAlignment="1">
      <alignment horizontal="left"/>
    </xf>
    <xf numFmtId="40" fontId="8" fillId="3" borderId="3" xfId="2" applyNumberFormat="1" applyFont="1" applyFill="1" applyBorder="1" applyAlignment="1">
      <alignment horizontal="left"/>
    </xf>
    <xf numFmtId="0" fontId="7" fillId="3" borderId="2" xfId="2" applyFont="1" applyFill="1" applyBorder="1" applyAlignment="1">
      <alignment horizontal="left"/>
    </xf>
    <xf numFmtId="0" fontId="9" fillId="0" borderId="0" xfId="0" applyFont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14" fontId="2" fillId="0" borderId="10" xfId="4" quotePrefix="1" applyNumberFormat="1" applyFont="1" applyBorder="1" applyAlignment="1">
      <alignment horizontal="left"/>
    </xf>
    <xf numFmtId="40" fontId="3" fillId="0" borderId="0" xfId="6" applyNumberFormat="1" applyFont="1" applyFill="1" applyBorder="1" applyAlignment="1">
      <alignment horizontal="right"/>
    </xf>
    <xf numFmtId="0" fontId="9" fillId="0" borderId="0" xfId="0" applyFont="1" applyAlignment="1">
      <alignment horizontal="right" vertical="top"/>
    </xf>
    <xf numFmtId="40" fontId="2" fillId="0" borderId="0" xfId="6" applyNumberFormat="1" applyFont="1" applyFill="1" applyBorder="1" applyAlignment="1">
      <alignment horizontal="left"/>
    </xf>
    <xf numFmtId="8" fontId="9" fillId="0" borderId="0" xfId="0" applyNumberFormat="1" applyFont="1" applyAlignment="1">
      <alignment horizontal="left" vertical="top"/>
    </xf>
    <xf numFmtId="14" fontId="9" fillId="0" borderId="0" xfId="0" applyNumberFormat="1" applyFont="1" applyAlignment="1">
      <alignment horizontal="right" vertical="top"/>
    </xf>
    <xf numFmtId="8" fontId="9" fillId="0" borderId="0" xfId="0" applyNumberFormat="1" applyFont="1" applyAlignment="1">
      <alignment horizontal="right" vertical="top"/>
    </xf>
    <xf numFmtId="0" fontId="2" fillId="0" borderId="0" xfId="9" applyFont="1"/>
    <xf numFmtId="14" fontId="5" fillId="0" borderId="10" xfId="4" quotePrefix="1" applyNumberFormat="1" applyFont="1" applyBorder="1" applyAlignment="1">
      <alignment horizontal="left"/>
    </xf>
    <xf numFmtId="0" fontId="9" fillId="0" borderId="0" xfId="0" applyFont="1" applyAlignment="1">
      <alignment horizontal="center" vertical="top"/>
    </xf>
    <xf numFmtId="40" fontId="9" fillId="0" borderId="0" xfId="0" applyNumberFormat="1" applyFont="1" applyAlignment="1">
      <alignment horizontal="left" vertical="top"/>
    </xf>
    <xf numFmtId="0" fontId="9" fillId="0" borderId="0" xfId="0" applyFont="1"/>
    <xf numFmtId="8" fontId="2" fillId="0" borderId="0" xfId="9" applyNumberFormat="1" applyFont="1"/>
    <xf numFmtId="0" fontId="9" fillId="0" borderId="0" xfId="3" applyFont="1" applyAlignment="1">
      <alignment horizontal="left" vertical="top"/>
    </xf>
    <xf numFmtId="8" fontId="2" fillId="0" borderId="0" xfId="6" applyNumberFormat="1" applyFont="1" applyFill="1" applyBorder="1" applyAlignment="1" applyProtection="1">
      <alignment horizontal="center"/>
    </xf>
    <xf numFmtId="8" fontId="2" fillId="0" borderId="0" xfId="8" applyNumberFormat="1" applyFont="1" applyFill="1" applyBorder="1" applyAlignment="1" applyProtection="1">
      <alignment horizontal="center"/>
    </xf>
    <xf numFmtId="0" fontId="2" fillId="0" borderId="0" xfId="3" applyFont="1" applyAlignment="1">
      <alignment horizontal="left" vertical="top"/>
    </xf>
    <xf numFmtId="8" fontId="2" fillId="0" borderId="6" xfId="2" applyNumberFormat="1" applyBorder="1"/>
    <xf numFmtId="8" fontId="2" fillId="0" borderId="12" xfId="2" applyNumberFormat="1" applyBorder="1"/>
    <xf numFmtId="0" fontId="3" fillId="0" borderId="0" xfId="9" applyFont="1"/>
    <xf numFmtId="40" fontId="3" fillId="0" borderId="0" xfId="9" applyNumberFormat="1" applyFont="1"/>
    <xf numFmtId="14" fontId="2" fillId="0" borderId="0" xfId="9" applyNumberFormat="1" applyFont="1"/>
    <xf numFmtId="40" fontId="2" fillId="0" borderId="0" xfId="9" applyNumberFormat="1" applyFont="1"/>
    <xf numFmtId="0" fontId="6" fillId="0" borderId="0" xfId="0" applyFont="1" applyAlignment="1">
      <alignment horizontal="left" vertical="top"/>
    </xf>
    <xf numFmtId="0" fontId="2" fillId="0" borderId="0" xfId="20"/>
    <xf numFmtId="164" fontId="3" fillId="0" borderId="0" xfId="20" applyNumberFormat="1" applyFont="1" applyAlignment="1">
      <alignment vertical="top"/>
    </xf>
    <xf numFmtId="49" fontId="3" fillId="0" borderId="0" xfId="20" applyNumberFormat="1" applyFont="1" applyAlignment="1">
      <alignment vertical="top"/>
    </xf>
    <xf numFmtId="49" fontId="2" fillId="0" borderId="0" xfId="20" applyNumberFormat="1" applyAlignment="1">
      <alignment vertical="top"/>
    </xf>
    <xf numFmtId="49" fontId="3" fillId="0" borderId="0" xfId="20" applyNumberFormat="1" applyFont="1" applyAlignment="1">
      <alignment horizontal="right" vertical="top"/>
    </xf>
    <xf numFmtId="164" fontId="2" fillId="0" borderId="0" xfId="2" applyNumberFormat="1"/>
    <xf numFmtId="164" fontId="2" fillId="0" borderId="0" xfId="20" applyNumberFormat="1"/>
    <xf numFmtId="8" fontId="2" fillId="0" borderId="0" xfId="20" applyNumberFormat="1"/>
    <xf numFmtId="8" fontId="3" fillId="0" borderId="0" xfId="0" applyNumberFormat="1" applyFont="1" applyAlignment="1">
      <alignment horizontal="right" vertical="top"/>
    </xf>
    <xf numFmtId="8" fontId="2" fillId="0" borderId="0" xfId="2" applyNumberFormat="1"/>
    <xf numFmtId="8" fontId="6" fillId="0" borderId="1" xfId="1" applyNumberFormat="1" applyFont="1" applyFill="1" applyBorder="1" applyAlignment="1">
      <alignment horizontal="right" vertical="top"/>
    </xf>
    <xf numFmtId="8" fontId="6" fillId="0" borderId="0" xfId="0" applyNumberFormat="1" applyFont="1" applyAlignment="1">
      <alignment horizontal="left" vertical="top"/>
    </xf>
    <xf numFmtId="0" fontId="3" fillId="0" borderId="0" xfId="20" applyFont="1" applyAlignment="1">
      <alignment vertical="top"/>
    </xf>
    <xf numFmtId="0" fontId="2" fillId="0" borderId="0" xfId="20" applyAlignment="1">
      <alignment vertical="top"/>
    </xf>
    <xf numFmtId="0" fontId="17" fillId="0" borderId="0" xfId="20" applyFont="1" applyAlignment="1">
      <alignment vertical="top"/>
    </xf>
    <xf numFmtId="14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7" fillId="4" borderId="0" xfId="9" applyFont="1" applyFill="1"/>
    <xf numFmtId="14" fontId="7" fillId="4" borderId="0" xfId="9" applyNumberFormat="1" applyFont="1" applyFill="1" applyAlignment="1">
      <alignment horizontal="center"/>
    </xf>
    <xf numFmtId="8" fontId="7" fillId="4" borderId="0" xfId="9" applyNumberFormat="1" applyFont="1" applyFill="1" applyAlignment="1">
      <alignment horizontal="center"/>
    </xf>
    <xf numFmtId="0" fontId="7" fillId="4" borderId="0" xfId="9" applyFont="1" applyFill="1" applyAlignment="1">
      <alignment horizontal="center"/>
    </xf>
    <xf numFmtId="49" fontId="3" fillId="0" borderId="0" xfId="19" applyNumberFormat="1" applyFont="1" applyAlignment="1">
      <alignment vertical="top"/>
    </xf>
    <xf numFmtId="0" fontId="7" fillId="4" borderId="0" xfId="20" applyFont="1" applyFill="1"/>
    <xf numFmtId="49" fontId="7" fillId="4" borderId="0" xfId="20" applyNumberFormat="1" applyFont="1" applyFill="1" applyAlignment="1">
      <alignment horizontal="center"/>
    </xf>
    <xf numFmtId="0" fontId="7" fillId="4" borderId="0" xfId="2" applyFont="1" applyFill="1" applyAlignment="1">
      <alignment horizontal="center"/>
    </xf>
    <xf numFmtId="8" fontId="9" fillId="0" borderId="0" xfId="0" applyNumberFormat="1" applyFont="1" applyAlignment="1">
      <alignment horizontal="right"/>
    </xf>
    <xf numFmtId="0" fontId="7" fillId="4" borderId="16" xfId="2" applyFont="1" applyFill="1" applyBorder="1" applyAlignment="1">
      <alignment horizontal="center"/>
    </xf>
    <xf numFmtId="164" fontId="7" fillId="4" borderId="16" xfId="2" applyNumberFormat="1" applyFont="1" applyFill="1" applyBorder="1" applyAlignment="1">
      <alignment horizontal="center"/>
    </xf>
    <xf numFmtId="8" fontId="7" fillId="4" borderId="16" xfId="2" applyNumberFormat="1" applyFont="1" applyFill="1" applyBorder="1" applyAlignment="1">
      <alignment horizontal="center"/>
    </xf>
    <xf numFmtId="8" fontId="7" fillId="4" borderId="16" xfId="0" applyNumberFormat="1" applyFont="1" applyFill="1" applyBorder="1" applyAlignment="1">
      <alignment horizontal="center" vertical="top"/>
    </xf>
    <xf numFmtId="0" fontId="7" fillId="4" borderId="16" xfId="0" applyFont="1" applyFill="1" applyBorder="1" applyAlignment="1">
      <alignment horizontal="center" vertical="top"/>
    </xf>
    <xf numFmtId="164" fontId="7" fillId="4" borderId="16" xfId="2" applyNumberFormat="1" applyFont="1" applyFill="1" applyBorder="1" applyAlignment="1">
      <alignment horizontal="left"/>
    </xf>
    <xf numFmtId="14" fontId="7" fillId="4" borderId="15" xfId="2" applyNumberFormat="1" applyFont="1" applyFill="1" applyBorder="1"/>
    <xf numFmtId="8" fontId="2" fillId="0" borderId="8" xfId="2" applyNumberFormat="1" applyBorder="1" applyAlignment="1">
      <alignment horizontal="right"/>
    </xf>
    <xf numFmtId="8" fontId="2" fillId="0" borderId="9" xfId="2" applyNumberFormat="1" applyBorder="1" applyAlignment="1">
      <alignment horizontal="right"/>
    </xf>
    <xf numFmtId="8" fontId="2" fillId="0" borderId="11" xfId="5" applyNumberFormat="1" applyFont="1" applyFill="1" applyBorder="1" applyAlignment="1" applyProtection="1">
      <alignment horizontal="right"/>
    </xf>
    <xf numFmtId="8" fontId="2" fillId="0" borderId="11" xfId="2" applyNumberFormat="1" applyBorder="1" applyAlignment="1">
      <alignment horizontal="right"/>
    </xf>
    <xf numFmtId="8" fontId="8" fillId="3" borderId="3" xfId="2" applyNumberFormat="1" applyFont="1" applyFill="1" applyBorder="1" applyAlignment="1">
      <alignment horizontal="right"/>
    </xf>
    <xf numFmtId="8" fontId="8" fillId="3" borderId="4" xfId="2" applyNumberFormat="1" applyFont="1" applyFill="1" applyBorder="1" applyAlignment="1">
      <alignment horizontal="right"/>
    </xf>
    <xf numFmtId="8" fontId="2" fillId="0" borderId="0" xfId="8" applyNumberFormat="1" applyFont="1" applyFill="1" applyBorder="1" applyAlignment="1" applyProtection="1">
      <alignment horizontal="right"/>
    </xf>
    <xf numFmtId="8" fontId="2" fillId="0" borderId="0" xfId="6" applyNumberFormat="1" applyFont="1" applyFill="1" applyBorder="1" applyAlignment="1" applyProtection="1">
      <alignment horizontal="right"/>
    </xf>
    <xf numFmtId="8" fontId="2" fillId="0" borderId="11" xfId="6" applyNumberFormat="1" applyFont="1" applyFill="1" applyBorder="1" applyAlignment="1">
      <alignment horizontal="right"/>
    </xf>
    <xf numFmtId="8" fontId="2" fillId="0" borderId="0" xfId="20" applyNumberFormat="1" applyAlignment="1">
      <alignment vertical="top"/>
    </xf>
    <xf numFmtId="8" fontId="7" fillId="4" borderId="0" xfId="20" applyNumberFormat="1" applyFont="1" applyFill="1" applyAlignment="1">
      <alignment horizontal="center"/>
    </xf>
    <xf numFmtId="8" fontId="7" fillId="4" borderId="0" xfId="20" applyNumberFormat="1" applyFont="1" applyFill="1"/>
    <xf numFmtId="8" fontId="3" fillId="0" borderId="11" xfId="5" applyNumberFormat="1" applyFont="1" applyFill="1" applyBorder="1" applyAlignment="1" applyProtection="1">
      <alignment horizontal="right"/>
    </xf>
    <xf numFmtId="8" fontId="2" fillId="0" borderId="17" xfId="5" applyNumberFormat="1" applyFont="1" applyFill="1" applyBorder="1" applyAlignment="1" applyProtection="1">
      <alignment horizontal="right"/>
    </xf>
    <xf numFmtId="8" fontId="2" fillId="0" borderId="13" xfId="8" applyNumberFormat="1" applyFont="1" applyFill="1" applyBorder="1" applyAlignment="1" applyProtection="1">
      <alignment horizontal="right"/>
    </xf>
    <xf numFmtId="8" fontId="2" fillId="0" borderId="13" xfId="6" applyNumberFormat="1" applyFont="1" applyFill="1" applyBorder="1" applyAlignment="1">
      <alignment horizontal="right"/>
    </xf>
    <xf numFmtId="8" fontId="2" fillId="0" borderId="14" xfId="6" applyNumberFormat="1" applyFont="1" applyFill="1" applyBorder="1" applyAlignment="1" applyProtection="1">
      <alignment horizontal="right"/>
    </xf>
    <xf numFmtId="8" fontId="3" fillId="2" borderId="17" xfId="5" applyNumberFormat="1" applyFont="1" applyFill="1" applyBorder="1" applyAlignment="1" applyProtection="1">
      <alignment horizontal="right"/>
    </xf>
    <xf numFmtId="0" fontId="9" fillId="0" borderId="0" xfId="3" applyFont="1" applyAlignment="1">
      <alignment horizontal="center" vertical="top"/>
    </xf>
    <xf numFmtId="165" fontId="7" fillId="3" borderId="3" xfId="2" applyNumberFormat="1" applyFont="1" applyFill="1" applyBorder="1" applyAlignment="1">
      <alignment horizontal="center"/>
    </xf>
    <xf numFmtId="40" fontId="3" fillId="0" borderId="8" xfId="2" applyNumberFormat="1" applyFont="1" applyBorder="1" applyAlignment="1">
      <alignment horizontal="center"/>
    </xf>
    <xf numFmtId="40" fontId="2" fillId="0" borderId="0" xfId="6" applyNumberFormat="1" applyFont="1" applyFill="1" applyBorder="1" applyAlignment="1">
      <alignment horizontal="center"/>
    </xf>
    <xf numFmtId="40" fontId="7" fillId="3" borderId="3" xfId="2" applyNumberFormat="1" applyFont="1" applyFill="1" applyBorder="1" applyAlignment="1">
      <alignment horizontal="center"/>
    </xf>
    <xf numFmtId="0" fontId="2" fillId="0" borderId="6" xfId="2" applyBorder="1" applyAlignment="1">
      <alignment horizontal="center"/>
    </xf>
    <xf numFmtId="165" fontId="3" fillId="0" borderId="8" xfId="2" applyNumberFormat="1" applyFont="1" applyBorder="1" applyAlignment="1">
      <alignment horizontal="center"/>
    </xf>
    <xf numFmtId="0" fontId="7" fillId="3" borderId="3" xfId="2" applyFont="1" applyFill="1" applyBorder="1" applyAlignment="1">
      <alignment horizontal="center"/>
    </xf>
    <xf numFmtId="0" fontId="3" fillId="0" borderId="8" xfId="2" applyFont="1" applyBorder="1" applyAlignment="1">
      <alignment horizontal="center"/>
    </xf>
    <xf numFmtId="8" fontId="3" fillId="0" borderId="13" xfId="20" applyNumberFormat="1" applyFont="1" applyBorder="1" applyAlignment="1">
      <alignment horizontal="right" vertical="top"/>
    </xf>
    <xf numFmtId="8" fontId="3" fillId="0" borderId="13" xfId="20" applyNumberFormat="1" applyFont="1" applyBorder="1" applyAlignment="1">
      <alignment vertical="top"/>
    </xf>
    <xf numFmtId="8" fontId="3" fillId="0" borderId="13" xfId="20" applyNumberFormat="1" applyFont="1" applyBorder="1"/>
    <xf numFmtId="8" fontId="9" fillId="0" borderId="0" xfId="0" applyNumberFormat="1" applyFont="1"/>
    <xf numFmtId="0" fontId="3" fillId="0" borderId="0" xfId="20" applyFont="1"/>
    <xf numFmtId="8" fontId="3" fillId="0" borderId="1" xfId="9" applyNumberFormat="1" applyFont="1" applyBorder="1"/>
    <xf numFmtId="8" fontId="3" fillId="0" borderId="0" xfId="9" applyNumberFormat="1" applyFont="1"/>
    <xf numFmtId="167" fontId="9" fillId="0" borderId="0" xfId="0" applyNumberFormat="1" applyFont="1" applyAlignment="1">
      <alignment horizontal="left"/>
    </xf>
    <xf numFmtId="0" fontId="6" fillId="0" borderId="0" xfId="3" applyFont="1" applyAlignment="1">
      <alignment horizontal="left" vertical="top"/>
    </xf>
    <xf numFmtId="40" fontId="3" fillId="0" borderId="8" xfId="2" applyNumberFormat="1" applyFont="1" applyBorder="1" applyAlignment="1">
      <alignment horizontal="left"/>
    </xf>
    <xf numFmtId="8" fontId="3" fillId="0" borderId="8" xfId="2" applyNumberFormat="1" applyFont="1" applyBorder="1" applyAlignment="1">
      <alignment horizontal="right"/>
    </xf>
    <xf numFmtId="8" fontId="3" fillId="0" borderId="9" xfId="2" applyNumberFormat="1" applyFont="1" applyBorder="1" applyAlignment="1">
      <alignment horizontal="right"/>
    </xf>
    <xf numFmtId="0" fontId="7" fillId="4" borderId="10" xfId="2" applyFont="1" applyFill="1" applyBorder="1" applyAlignment="1">
      <alignment horizontal="left"/>
    </xf>
    <xf numFmtId="164" fontId="7" fillId="4" borderId="0" xfId="2" applyNumberFormat="1" applyFont="1" applyFill="1" applyAlignment="1">
      <alignment horizontal="center"/>
    </xf>
    <xf numFmtId="8" fontId="7" fillId="4" borderId="0" xfId="2" applyNumberFormat="1" applyFont="1" applyFill="1" applyAlignment="1">
      <alignment horizontal="center"/>
    </xf>
    <xf numFmtId="0" fontId="2" fillId="0" borderId="0" xfId="2"/>
    <xf numFmtId="9" fontId="6" fillId="0" borderId="0" xfId="21" applyFont="1" applyAlignment="1">
      <alignment horizontal="left" vertical="top"/>
    </xf>
    <xf numFmtId="8" fontId="21" fillId="0" borderId="0" xfId="3" applyNumberFormat="1" applyFont="1" applyAlignment="1">
      <alignment horizontal="left" vertical="top"/>
    </xf>
    <xf numFmtId="0" fontId="21" fillId="0" borderId="0" xfId="3" applyFont="1" applyAlignment="1">
      <alignment horizontal="left" vertical="top"/>
    </xf>
    <xf numFmtId="8" fontId="2" fillId="0" borderId="0" xfId="20" applyNumberFormat="1" applyAlignment="1">
      <alignment horizontal="center" vertical="center"/>
    </xf>
    <xf numFmtId="8" fontId="2" fillId="0" borderId="1" xfId="20" applyNumberFormat="1" applyBorder="1" applyAlignment="1">
      <alignment horizontal="right" vertical="center"/>
    </xf>
    <xf numFmtId="8" fontId="7" fillId="4" borderId="16" xfId="2" applyNumberFormat="1" applyFont="1" applyFill="1" applyBorder="1" applyAlignment="1">
      <alignment horizontal="right"/>
    </xf>
    <xf numFmtId="8" fontId="3" fillId="0" borderId="0" xfId="5" applyNumberFormat="1" applyFont="1" applyFill="1" applyBorder="1" applyAlignment="1" applyProtection="1">
      <alignment horizontal="right"/>
    </xf>
    <xf numFmtId="8" fontId="9" fillId="0" borderId="11" xfId="24" applyNumberFormat="1" applyFont="1" applyFill="1" applyBorder="1" applyAlignment="1" applyProtection="1">
      <alignment horizontal="right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4" fontId="7" fillId="4" borderId="16" xfId="2" applyNumberFormat="1" applyFont="1" applyFill="1" applyBorder="1" applyAlignment="1">
      <alignment horizontal="right" vertical="center"/>
    </xf>
    <xf numFmtId="164" fontId="9" fillId="0" borderId="0" xfId="0" applyNumberFormat="1" applyFont="1" applyAlignment="1">
      <alignment horizontal="right" vertical="top"/>
    </xf>
    <xf numFmtId="9" fontId="6" fillId="0" borderId="10" xfId="21" applyFont="1" applyBorder="1" applyAlignment="1">
      <alignment horizontal="left" vertical="top"/>
    </xf>
    <xf numFmtId="8" fontId="2" fillId="0" borderId="1" xfId="20" applyNumberFormat="1" applyBorder="1" applyAlignment="1">
      <alignment vertical="center"/>
    </xf>
    <xf numFmtId="167" fontId="2" fillId="0" borderId="10" xfId="4" applyNumberFormat="1" applyFont="1" applyBorder="1" applyAlignment="1">
      <alignment horizontal="right"/>
    </xf>
    <xf numFmtId="167" fontId="2" fillId="0" borderId="0" xfId="20" applyNumberFormat="1"/>
    <xf numFmtId="166" fontId="2" fillId="0" borderId="0" xfId="20" applyNumberFormat="1" applyAlignment="1">
      <alignment vertical="top"/>
    </xf>
    <xf numFmtId="8" fontId="8" fillId="3" borderId="4" xfId="2" applyNumberFormat="1" applyFont="1" applyFill="1" applyBorder="1" applyAlignment="1">
      <alignment horizontal="left"/>
    </xf>
    <xf numFmtId="165" fontId="3" fillId="0" borderId="7" xfId="2" applyNumberFormat="1" applyFont="1" applyBorder="1" applyAlignment="1">
      <alignment horizontal="left"/>
    </xf>
    <xf numFmtId="0" fontId="5" fillId="0" borderId="10" xfId="2" applyFont="1" applyBorder="1" applyAlignment="1">
      <alignment horizontal="left"/>
    </xf>
    <xf numFmtId="14" fontId="5" fillId="0" borderId="10" xfId="2" applyNumberFormat="1" applyFont="1" applyBorder="1"/>
    <xf numFmtId="0" fontId="9" fillId="0" borderId="0" xfId="0" applyFont="1" applyAlignment="1">
      <alignment horizontal="left" vertical="center"/>
    </xf>
    <xf numFmtId="8" fontId="9" fillId="0" borderId="0" xfId="0" applyNumberFormat="1" applyFont="1" applyAlignment="1">
      <alignment horizontal="left" vertical="center"/>
    </xf>
    <xf numFmtId="0" fontId="2" fillId="0" borderId="0" xfId="20" applyAlignment="1">
      <alignment horizontal="left" vertical="center"/>
    </xf>
    <xf numFmtId="0" fontId="9" fillId="0" borderId="0" xfId="0" applyFont="1" applyAlignment="1">
      <alignment vertical="top"/>
    </xf>
    <xf numFmtId="8" fontId="9" fillId="0" borderId="1" xfId="0" applyNumberFormat="1" applyFont="1" applyBorder="1" applyAlignment="1">
      <alignment horizontal="right" vertical="top"/>
    </xf>
    <xf numFmtId="8" fontId="2" fillId="0" borderId="0" xfId="20" applyNumberFormat="1" applyAlignment="1">
      <alignment horizontal="center"/>
    </xf>
    <xf numFmtId="0" fontId="7" fillId="4" borderId="0" xfId="20" applyFont="1" applyFill="1" applyAlignment="1">
      <alignment horizontal="left"/>
    </xf>
    <xf numFmtId="0" fontId="2" fillId="0" borderId="0" xfId="6" applyNumberFormat="1" applyFont="1" applyFill="1" applyBorder="1" applyAlignment="1" applyProtection="1">
      <alignment horizontal="center" vertical="center"/>
    </xf>
    <xf numFmtId="0" fontId="2" fillId="0" borderId="0" xfId="6" applyNumberFormat="1" applyFont="1" applyFill="1" applyBorder="1" applyAlignment="1" applyProtection="1">
      <alignment horizontal="center"/>
    </xf>
    <xf numFmtId="8" fontId="2" fillId="0" borderId="0" xfId="20" applyNumberFormat="1" applyAlignment="1">
      <alignment vertical="center"/>
    </xf>
    <xf numFmtId="8" fontId="2" fillId="0" borderId="0" xfId="20" applyNumberFormat="1" applyAlignment="1">
      <alignment horizontal="left" vertical="center"/>
    </xf>
    <xf numFmtId="0" fontId="3" fillId="0" borderId="0" xfId="22" applyFont="1"/>
    <xf numFmtId="8" fontId="6" fillId="0" borderId="1" xfId="0" applyNumberFormat="1" applyFont="1" applyBorder="1" applyAlignment="1">
      <alignment horizontal="right"/>
    </xf>
    <xf numFmtId="164" fontId="3" fillId="0" borderId="0" xfId="20" applyNumberFormat="1" applyFont="1" applyAlignment="1">
      <alignment horizontal="left"/>
    </xf>
    <xf numFmtId="49" fontId="2" fillId="0" borderId="0" xfId="19" applyNumberFormat="1" applyFont="1" applyAlignment="1">
      <alignment horizontal="left"/>
    </xf>
    <xf numFmtId="49" fontId="17" fillId="0" borderId="0" xfId="19" applyNumberFormat="1" applyFont="1" applyAlignment="1">
      <alignment horizontal="left"/>
    </xf>
    <xf numFmtId="8" fontId="2" fillId="0" borderId="0" xfId="19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68" fontId="9" fillId="0" borderId="0" xfId="0" applyNumberFormat="1" applyFont="1" applyAlignment="1">
      <alignment horizontal="left"/>
    </xf>
    <xf numFmtId="8" fontId="2" fillId="0" borderId="0" xfId="20" applyNumberFormat="1" applyAlignment="1">
      <alignment horizontal="left"/>
    </xf>
    <xf numFmtId="164" fontId="2" fillId="0" borderId="0" xfId="20" applyNumberFormat="1" applyAlignment="1">
      <alignment horizontal="left"/>
    </xf>
    <xf numFmtId="8" fontId="2" fillId="0" borderId="0" xfId="5" applyNumberFormat="1" applyFont="1" applyFill="1" applyBorder="1" applyAlignment="1" applyProtection="1">
      <alignment horizontal="right"/>
    </xf>
    <xf numFmtId="0" fontId="2" fillId="0" borderId="0" xfId="2" applyAlignment="1">
      <alignment horizontal="center"/>
    </xf>
    <xf numFmtId="40" fontId="3" fillId="0" borderId="0" xfId="4" applyNumberFormat="1" applyFont="1" applyAlignment="1">
      <alignment horizontal="center"/>
    </xf>
    <xf numFmtId="40" fontId="3" fillId="0" borderId="0" xfId="4" applyNumberFormat="1" applyFont="1" applyAlignment="1">
      <alignment horizontal="right"/>
    </xf>
    <xf numFmtId="8" fontId="3" fillId="0" borderId="0" xfId="4" applyNumberFormat="1" applyFont="1" applyAlignment="1">
      <alignment horizontal="right"/>
    </xf>
    <xf numFmtId="14" fontId="9" fillId="0" borderId="10" xfId="0" applyNumberFormat="1" applyFont="1" applyBorder="1" applyAlignment="1">
      <alignment horizontal="right" vertical="top"/>
    </xf>
    <xf numFmtId="8" fontId="2" fillId="0" borderId="0" xfId="2" applyNumberFormat="1" applyAlignment="1">
      <alignment horizontal="right"/>
    </xf>
    <xf numFmtId="40" fontId="2" fillId="0" borderId="0" xfId="4" applyNumberFormat="1" applyFont="1" applyAlignment="1">
      <alignment horizontal="center"/>
    </xf>
    <xf numFmtId="8" fontId="2" fillId="0" borderId="0" xfId="4" applyNumberFormat="1" applyFont="1" applyAlignment="1">
      <alignment horizontal="right"/>
    </xf>
    <xf numFmtId="0" fontId="9" fillId="0" borderId="0" xfId="23" applyFont="1" applyAlignment="1">
      <alignment horizontal="center"/>
    </xf>
    <xf numFmtId="0" fontId="2" fillId="0" borderId="0" xfId="2" applyAlignment="1">
      <alignment horizontal="left" vertical="center"/>
    </xf>
    <xf numFmtId="169" fontId="9" fillId="0" borderId="0" xfId="22" applyNumberFormat="1" applyFont="1" applyAlignment="1">
      <alignment horizontal="right"/>
    </xf>
    <xf numFmtId="0" fontId="2" fillId="0" borderId="0" xfId="3" applyFont="1" applyAlignment="1">
      <alignment horizontal="center" vertical="top"/>
    </xf>
    <xf numFmtId="40" fontId="2" fillId="0" borderId="0" xfId="4" applyNumberFormat="1" applyFont="1"/>
    <xf numFmtId="8" fontId="9" fillId="0" borderId="0" xfId="3" applyNumberFormat="1" applyFont="1" applyAlignment="1">
      <alignment horizontal="right" vertical="top"/>
    </xf>
    <xf numFmtId="40" fontId="3" fillId="0" borderId="0" xfId="2" applyNumberFormat="1" applyFont="1" applyAlignment="1">
      <alignment horizontal="right"/>
    </xf>
    <xf numFmtId="40" fontId="2" fillId="0" borderId="0" xfId="2" applyNumberFormat="1" applyAlignment="1">
      <alignment horizontal="center"/>
    </xf>
    <xf numFmtId="40" fontId="2" fillId="0" borderId="0" xfId="2" applyNumberFormat="1" applyAlignment="1">
      <alignment horizontal="left"/>
    </xf>
    <xf numFmtId="0" fontId="2" fillId="0" borderId="0" xfId="4" applyFont="1" applyAlignment="1">
      <alignment horizontal="center"/>
    </xf>
    <xf numFmtId="40" fontId="2" fillId="0" borderId="0" xfId="2" applyNumberFormat="1" applyAlignment="1">
      <alignment horizontal="right"/>
    </xf>
    <xf numFmtId="0" fontId="2" fillId="0" borderId="0" xfId="4" quotePrefix="1" applyFont="1" applyAlignment="1">
      <alignment horizontal="center"/>
    </xf>
    <xf numFmtId="0" fontId="5" fillId="0" borderId="0" xfId="4" applyFont="1" applyAlignment="1">
      <alignment horizontal="center"/>
    </xf>
    <xf numFmtId="167" fontId="2" fillId="0" borderId="10" xfId="20" applyNumberFormat="1" applyBorder="1"/>
    <xf numFmtId="0" fontId="9" fillId="0" borderId="0" xfId="3" applyFont="1" applyAlignment="1">
      <alignment horizontal="center" vertical="center"/>
    </xf>
    <xf numFmtId="0" fontId="2" fillId="0" borderId="0" xfId="20" applyAlignment="1">
      <alignment horizontal="center" vertical="center"/>
    </xf>
    <xf numFmtId="40" fontId="2" fillId="0" borderId="0" xfId="4" quotePrefix="1" applyNumberFormat="1" applyFont="1" applyAlignment="1">
      <alignment horizontal="center"/>
    </xf>
    <xf numFmtId="40" fontId="5" fillId="0" borderId="0" xfId="4" applyNumberFormat="1" applyFont="1" applyAlignment="1">
      <alignment horizontal="center"/>
    </xf>
    <xf numFmtId="0" fontId="3" fillId="0" borderId="0" xfId="2" applyFont="1" applyAlignment="1">
      <alignment horizontal="center"/>
    </xf>
    <xf numFmtId="40" fontId="3" fillId="0" borderId="0" xfId="4" applyNumberFormat="1" applyFont="1" applyAlignment="1">
      <alignment horizontal="left"/>
    </xf>
    <xf numFmtId="8" fontId="9" fillId="0" borderId="0" xfId="0" applyNumberFormat="1" applyFont="1" applyAlignment="1">
      <alignment horizontal="center" vertical="top"/>
    </xf>
    <xf numFmtId="0" fontId="2" fillId="0" borderId="0" xfId="4" applyFont="1" applyAlignment="1">
      <alignment horizontal="center" vertical="center"/>
    </xf>
    <xf numFmtId="0" fontId="2" fillId="0" borderId="0" xfId="6" applyNumberFormat="1" applyFont="1" applyFill="1" applyBorder="1" applyAlignment="1">
      <alignment horizontal="left" vertical="center"/>
    </xf>
    <xf numFmtId="0" fontId="2" fillId="0" borderId="0" xfId="20" applyAlignment="1">
      <alignment horizontal="right"/>
    </xf>
    <xf numFmtId="167" fontId="2" fillId="0" borderId="0" xfId="20" applyNumberFormat="1" applyAlignment="1">
      <alignment horizontal="right"/>
    </xf>
    <xf numFmtId="0" fontId="20" fillId="0" borderId="0" xfId="0" applyFont="1" applyAlignment="1">
      <alignment horizontal="right"/>
    </xf>
    <xf numFmtId="8" fontId="2" fillId="5" borderId="0" xfId="20" applyNumberFormat="1" applyFill="1" applyAlignment="1">
      <alignment vertical="top"/>
    </xf>
    <xf numFmtId="8" fontId="2" fillId="6" borderId="0" xfId="20" applyNumberFormat="1" applyFill="1" applyAlignment="1">
      <alignment vertical="top"/>
    </xf>
    <xf numFmtId="8" fontId="9" fillId="6" borderId="0" xfId="0" applyNumberFormat="1" applyFont="1" applyFill="1" applyAlignment="1">
      <alignment horizontal="right"/>
    </xf>
    <xf numFmtId="8" fontId="9" fillId="5" borderId="0" xfId="0" applyNumberFormat="1" applyFont="1" applyFill="1" applyAlignment="1">
      <alignment horizontal="right"/>
    </xf>
    <xf numFmtId="8" fontId="2" fillId="8" borderId="0" xfId="20" applyNumberFormat="1" applyFill="1" applyAlignment="1">
      <alignment vertical="top"/>
    </xf>
    <xf numFmtId="8" fontId="9" fillId="8" borderId="0" xfId="0" applyNumberFormat="1" applyFont="1" applyFill="1" applyAlignment="1">
      <alignment horizontal="right"/>
    </xf>
    <xf numFmtId="8" fontId="2" fillId="9" borderId="0" xfId="20" applyNumberFormat="1" applyFill="1" applyAlignment="1">
      <alignment vertical="top"/>
    </xf>
    <xf numFmtId="8" fontId="2" fillId="10" borderId="0" xfId="20" applyNumberFormat="1" applyFill="1" applyAlignment="1">
      <alignment vertical="top"/>
    </xf>
    <xf numFmtId="8" fontId="9" fillId="10" borderId="0" xfId="0" applyNumberFormat="1" applyFont="1" applyFill="1" applyAlignment="1">
      <alignment horizontal="right"/>
    </xf>
    <xf numFmtId="8" fontId="9" fillId="9" borderId="0" xfId="0" applyNumberFormat="1" applyFont="1" applyFill="1" applyAlignment="1">
      <alignment horizontal="right"/>
    </xf>
    <xf numFmtId="8" fontId="2" fillId="11" borderId="0" xfId="20" applyNumberFormat="1" applyFill="1" applyAlignment="1">
      <alignment vertical="top"/>
    </xf>
    <xf numFmtId="8" fontId="9" fillId="11" borderId="0" xfId="0" applyNumberFormat="1" applyFont="1" applyFill="1" applyAlignment="1">
      <alignment horizontal="right"/>
    </xf>
    <xf numFmtId="8" fontId="2" fillId="12" borderId="0" xfId="20" applyNumberFormat="1" applyFill="1"/>
    <xf numFmtId="8" fontId="9" fillId="12" borderId="0" xfId="0" applyNumberFormat="1" applyFont="1" applyFill="1" applyAlignment="1">
      <alignment horizontal="right"/>
    </xf>
    <xf numFmtId="8" fontId="2" fillId="7" borderId="0" xfId="20" applyNumberFormat="1" applyFill="1"/>
    <xf numFmtId="8" fontId="9" fillId="7" borderId="0" xfId="0" applyNumberFormat="1" applyFont="1" applyFill="1" applyAlignment="1">
      <alignment horizontal="right"/>
    </xf>
    <xf numFmtId="8" fontId="2" fillId="13" borderId="0" xfId="20" applyNumberFormat="1" applyFill="1"/>
    <xf numFmtId="8" fontId="9" fillId="13" borderId="0" xfId="0" applyNumberFormat="1" applyFont="1" applyFill="1" applyAlignment="1">
      <alignment horizontal="right"/>
    </xf>
    <xf numFmtId="0" fontId="2" fillId="0" borderId="0" xfId="20" applyAlignment="1">
      <alignment vertical="center"/>
    </xf>
    <xf numFmtId="8" fontId="2" fillId="14" borderId="0" xfId="20" applyNumberFormat="1" applyFill="1"/>
    <xf numFmtId="8" fontId="9" fillId="14" borderId="0" xfId="0" applyNumberFormat="1" applyFont="1" applyFill="1" applyAlignment="1">
      <alignment horizontal="right"/>
    </xf>
    <xf numFmtId="8" fontId="9" fillId="15" borderId="0" xfId="0" applyNumberFormat="1" applyFont="1" applyFill="1" applyAlignment="1">
      <alignment horizontal="right"/>
    </xf>
    <xf numFmtId="8" fontId="2" fillId="15" borderId="0" xfId="20" applyNumberFormat="1" applyFill="1" applyAlignment="1">
      <alignment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17" fontId="3" fillId="0" borderId="2" xfId="2" applyNumberFormat="1" applyFont="1" applyBorder="1" applyAlignment="1">
      <alignment horizontal="center"/>
    </xf>
    <xf numFmtId="49" fontId="18" fillId="0" borderId="0" xfId="20" applyNumberFormat="1" applyFont="1" applyAlignment="1">
      <alignment horizontal="center" vertical="top"/>
    </xf>
    <xf numFmtId="49" fontId="2" fillId="0" borderId="0" xfId="19" applyNumberFormat="1" applyFont="1" applyAlignment="1">
      <alignment horizontal="center" vertical="top"/>
    </xf>
    <xf numFmtId="49" fontId="17" fillId="0" borderId="0" xfId="19" applyNumberFormat="1" applyFont="1" applyAlignment="1">
      <alignment horizontal="center" vertical="top"/>
    </xf>
    <xf numFmtId="0" fontId="2" fillId="0" borderId="0" xfId="20" applyAlignment="1">
      <alignment horizontal="left" vertical="center"/>
    </xf>
  </cellXfs>
  <cellStyles count="31">
    <cellStyle name="Comma" xfId="1" builtinId="3"/>
    <cellStyle name="Comma 2" xfId="6" xr:uid="{00000000-0005-0000-0000-000001000000}"/>
    <cellStyle name="Comma 2 10" xfId="8" xr:uid="{00000000-0005-0000-0000-000002000000}"/>
    <cellStyle name="Comma 2 3" xfId="24" xr:uid="{00000000-0005-0000-0000-000003000000}"/>
    <cellStyle name="Currency 2" xfId="5" xr:uid="{00000000-0005-0000-0000-000004000000}"/>
    <cellStyle name="Currency 2 3" xfId="7" xr:uid="{00000000-0005-0000-0000-000005000000}"/>
    <cellStyle name="Normal" xfId="0" builtinId="0"/>
    <cellStyle name="Normal 12" xfId="20" xr:uid="{00000000-0005-0000-0000-000007000000}"/>
    <cellStyle name="Normal 12 2" xfId="25" xr:uid="{00000000-0005-0000-0000-000008000000}"/>
    <cellStyle name="Normal 2" xfId="9" xr:uid="{00000000-0005-0000-0000-000009000000}"/>
    <cellStyle name="Normal 2 2 2" xfId="2" xr:uid="{00000000-0005-0000-0000-00000A000000}"/>
    <cellStyle name="Normal 2 2 2 2" xfId="12" xr:uid="{00000000-0005-0000-0000-00000B000000}"/>
    <cellStyle name="Normal 2 2 2 3" xfId="22" xr:uid="{00000000-0005-0000-0000-00000C000000}"/>
    <cellStyle name="Normal 3" xfId="3" xr:uid="{00000000-0005-0000-0000-00000D000000}"/>
    <cellStyle name="Normal 4" xfId="10" xr:uid="{00000000-0005-0000-0000-00000E000000}"/>
    <cellStyle name="Normal 4 2" xfId="13" xr:uid="{00000000-0005-0000-0000-00000F000000}"/>
    <cellStyle name="Normal 5" xfId="11" xr:uid="{00000000-0005-0000-0000-000010000000}"/>
    <cellStyle name="Normal 5 2" xfId="14" xr:uid="{00000000-0005-0000-0000-000011000000}"/>
    <cellStyle name="Normal 6" xfId="15" xr:uid="{00000000-0005-0000-0000-000012000000}"/>
    <cellStyle name="Normal 6 2" xfId="26" xr:uid="{00000000-0005-0000-0000-000013000000}"/>
    <cellStyle name="Normal 7" xfId="16" xr:uid="{00000000-0005-0000-0000-000014000000}"/>
    <cellStyle name="Normal 7 2" xfId="27" xr:uid="{00000000-0005-0000-0000-000015000000}"/>
    <cellStyle name="Normal 8" xfId="18" xr:uid="{00000000-0005-0000-0000-000016000000}"/>
    <cellStyle name="Normal 8 2" xfId="28" xr:uid="{00000000-0005-0000-0000-000017000000}"/>
    <cellStyle name="Normal 9" xfId="19" xr:uid="{00000000-0005-0000-0000-000018000000}"/>
    <cellStyle name="Normal 9 2" xfId="29" xr:uid="{00000000-0005-0000-0000-000019000000}"/>
    <cellStyle name="Normal_1101BK" xfId="4" xr:uid="{00000000-0005-0000-0000-00001A000000}"/>
    <cellStyle name="Normal_1101BK 2" xfId="23" xr:uid="{00000000-0005-0000-0000-00001B000000}"/>
    <cellStyle name="Percent" xfId="21" builtinId="5"/>
    <cellStyle name="Percent 2" xfId="17" xr:uid="{00000000-0005-0000-0000-00001D000000}"/>
    <cellStyle name="Percent 3" xfId="30" xr:uid="{00000000-0005-0000-0000-00001E000000}"/>
  </cellStyles>
  <dxfs count="0"/>
  <tableStyles count="0" defaultTableStyle="TableStyleMedium9" defaultPivotStyle="PivotStyleLight16"/>
  <colors>
    <mruColors>
      <color rgb="FFCC6600"/>
      <color rgb="FF00FFFF"/>
      <color rgb="FFCC66FF"/>
      <color rgb="FF009999"/>
      <color rgb="FF00FF00"/>
      <color rgb="FFFF5050"/>
      <color rgb="FF993366"/>
      <color rgb="FFCCFF66"/>
      <color rgb="FFFF7C8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6"/>
  <sheetViews>
    <sheetView showGridLines="0" tabSelected="1" zoomScale="85" zoomScaleNormal="85" zoomScaleSheetLayoutView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2.83203125" style="29" customWidth="1"/>
    <col min="2" max="2" width="25" style="29" customWidth="1"/>
    <col min="3" max="3" width="9" style="91" customWidth="1"/>
    <col min="4" max="4" width="13.1640625" style="91" bestFit="1" customWidth="1"/>
    <col min="5" max="5" width="48.1640625" style="29" customWidth="1"/>
    <col min="6" max="6" width="16.1640625" style="29" customWidth="1"/>
    <col min="7" max="7" width="14.5" style="29" customWidth="1"/>
    <col min="8" max="8" width="16.6640625" style="29" customWidth="1"/>
    <col min="9" max="9" width="10.1640625" style="29" bestFit="1" customWidth="1"/>
    <col min="10" max="10" width="9.33203125" style="29"/>
    <col min="11" max="11" width="11.5" style="29" bestFit="1" customWidth="1"/>
    <col min="12" max="12" width="12.6640625" style="29" bestFit="1" customWidth="1"/>
    <col min="13" max="16" width="9.33203125" style="29"/>
    <col min="17" max="17" width="11.5" style="29" customWidth="1"/>
    <col min="18" max="16384" width="9.33203125" style="29"/>
  </cols>
  <sheetData>
    <row r="1" spans="1:9" ht="13.5" thickBot="1" x14ac:dyDescent="0.25">
      <c r="A1" s="29" t="s">
        <v>0</v>
      </c>
    </row>
    <row r="2" spans="1:9" ht="13.5" thickBot="1" x14ac:dyDescent="0.25">
      <c r="B2" s="216" t="s">
        <v>1</v>
      </c>
      <c r="C2" s="217"/>
      <c r="D2" s="217"/>
      <c r="E2" s="217"/>
      <c r="F2" s="217"/>
      <c r="G2" s="217"/>
      <c r="H2" s="218"/>
    </row>
    <row r="3" spans="1:9" ht="13.5" thickBot="1" x14ac:dyDescent="0.25">
      <c r="B3" s="219" t="s">
        <v>2</v>
      </c>
      <c r="C3" s="220"/>
      <c r="D3" s="220"/>
      <c r="E3" s="220"/>
      <c r="F3" s="220"/>
      <c r="G3" s="220"/>
      <c r="H3" s="221"/>
    </row>
    <row r="4" spans="1:9" ht="13.5" thickBot="1" x14ac:dyDescent="0.25">
      <c r="B4" s="222">
        <v>46082</v>
      </c>
      <c r="C4" s="220"/>
      <c r="D4" s="220"/>
      <c r="E4" s="220"/>
      <c r="F4" s="220"/>
      <c r="G4" s="220"/>
      <c r="H4" s="221"/>
    </row>
    <row r="5" spans="1:9" ht="13.5" thickBot="1" x14ac:dyDescent="0.25">
      <c r="B5" s="10" t="s">
        <v>3</v>
      </c>
      <c r="C5" s="92"/>
      <c r="D5" s="92"/>
      <c r="E5" s="11"/>
      <c r="F5" s="11"/>
      <c r="G5" s="12"/>
      <c r="H5" s="133"/>
    </row>
    <row r="6" spans="1:9" s="108" customFormat="1" x14ac:dyDescent="0.2">
      <c r="A6" s="29"/>
      <c r="B6" s="134"/>
      <c r="C6" s="97"/>
      <c r="D6" s="93"/>
      <c r="E6" s="109"/>
      <c r="F6" s="109"/>
      <c r="G6" s="110"/>
      <c r="H6" s="111"/>
    </row>
    <row r="7" spans="1:9" x14ac:dyDescent="0.2">
      <c r="B7" s="2"/>
      <c r="C7" s="159"/>
      <c r="D7" s="160"/>
      <c r="F7" s="161" t="s">
        <v>4</v>
      </c>
      <c r="G7" s="162"/>
      <c r="H7" s="85">
        <v>0</v>
      </c>
    </row>
    <row r="8" spans="1:9" x14ac:dyDescent="0.2">
      <c r="B8" s="2"/>
      <c r="C8" s="159"/>
      <c r="D8" s="160"/>
      <c r="E8" s="161"/>
      <c r="F8" s="161"/>
      <c r="G8" s="162"/>
      <c r="H8" s="75"/>
    </row>
    <row r="9" spans="1:9" x14ac:dyDescent="0.2">
      <c r="B9" s="135" t="s">
        <v>5</v>
      </c>
      <c r="C9" s="159"/>
      <c r="D9" s="160"/>
      <c r="E9" s="161"/>
      <c r="F9" s="161"/>
      <c r="G9" s="162"/>
      <c r="H9" s="75"/>
    </row>
    <row r="10" spans="1:9" x14ac:dyDescent="0.2">
      <c r="B10" s="2"/>
      <c r="C10" s="159"/>
      <c r="D10" s="160"/>
      <c r="E10" s="161"/>
      <c r="F10" s="161"/>
      <c r="G10" s="162"/>
      <c r="H10" s="75"/>
    </row>
    <row r="11" spans="1:9" x14ac:dyDescent="0.2">
      <c r="B11" s="163"/>
      <c r="C11" s="31"/>
      <c r="D11" s="94"/>
      <c r="G11" s="164"/>
      <c r="H11" s="76"/>
    </row>
    <row r="12" spans="1:9" x14ac:dyDescent="0.2">
      <c r="B12" s="136" t="s">
        <v>6</v>
      </c>
      <c r="C12" s="159"/>
      <c r="D12" s="165"/>
      <c r="E12" s="161"/>
      <c r="F12" s="161"/>
      <c r="G12" s="166"/>
      <c r="H12" s="75"/>
    </row>
    <row r="13" spans="1:9" x14ac:dyDescent="0.2">
      <c r="B13" s="136"/>
      <c r="C13" s="159"/>
      <c r="D13" s="165"/>
      <c r="E13" s="161"/>
      <c r="F13" s="161"/>
      <c r="G13" s="65"/>
      <c r="H13" s="75"/>
    </row>
    <row r="14" spans="1:9" s="118" customFormat="1" x14ac:dyDescent="0.2">
      <c r="A14" s="158"/>
      <c r="B14" s="163" t="s">
        <v>197</v>
      </c>
      <c r="C14" s="145" t="s">
        <v>7</v>
      </c>
      <c r="D14" s="167"/>
      <c r="E14" s="168" t="s">
        <v>8</v>
      </c>
      <c r="F14" s="169"/>
      <c r="G14" s="65">
        <v>-428548.32</v>
      </c>
      <c r="H14" s="123"/>
      <c r="I14" s="117"/>
    </row>
    <row r="15" spans="1:9" s="32" customFormat="1" x14ac:dyDescent="0.2">
      <c r="A15" s="29"/>
      <c r="B15" s="163"/>
      <c r="C15" s="159"/>
      <c r="D15" s="170"/>
      <c r="E15" s="171"/>
      <c r="F15" s="171"/>
      <c r="G15" s="166"/>
      <c r="H15" s="75"/>
    </row>
    <row r="16" spans="1:9" x14ac:dyDescent="0.2">
      <c r="B16" s="3"/>
      <c r="F16" s="161" t="s">
        <v>9</v>
      </c>
      <c r="G16" s="172"/>
      <c r="H16" s="89">
        <f>+SUM(G9:G14)</f>
        <v>-428548.32</v>
      </c>
    </row>
    <row r="17" spans="2:8" x14ac:dyDescent="0.2">
      <c r="B17" s="3"/>
      <c r="F17" s="161"/>
      <c r="G17" s="172"/>
      <c r="H17" s="75"/>
    </row>
    <row r="18" spans="2:8" ht="13.5" thickBot="1" x14ac:dyDescent="0.25">
      <c r="B18" s="2"/>
      <c r="F18" s="173" t="s">
        <v>10</v>
      </c>
      <c r="G18" s="172"/>
      <c r="H18" s="86">
        <f>+H7-H16</f>
        <v>428548.32</v>
      </c>
    </row>
    <row r="19" spans="2:8" ht="14.25" thickTop="1" thickBot="1" x14ac:dyDescent="0.25">
      <c r="B19" s="8"/>
      <c r="C19" s="159"/>
      <c r="D19" s="174"/>
      <c r="E19" s="175"/>
      <c r="F19" s="175"/>
      <c r="G19" s="164"/>
      <c r="H19" s="76"/>
    </row>
    <row r="20" spans="2:8" ht="13.5" thickBot="1" x14ac:dyDescent="0.25">
      <c r="B20" s="13" t="s">
        <v>11</v>
      </c>
      <c r="C20" s="98"/>
      <c r="D20" s="95"/>
      <c r="E20" s="12"/>
      <c r="F20" s="12"/>
      <c r="G20" s="77"/>
      <c r="H20" s="78"/>
    </row>
    <row r="21" spans="2:8" x14ac:dyDescent="0.2">
      <c r="B21" s="4"/>
      <c r="C21" s="99"/>
      <c r="D21" s="93"/>
      <c r="E21" s="1"/>
      <c r="F21" s="1"/>
      <c r="G21" s="73"/>
      <c r="H21" s="74"/>
    </row>
    <row r="22" spans="2:8" x14ac:dyDescent="0.2">
      <c r="B22" s="2"/>
      <c r="C22" s="159"/>
      <c r="D22" s="174"/>
      <c r="F22" s="161" t="s">
        <v>12</v>
      </c>
      <c r="G22" s="162"/>
      <c r="H22" s="85">
        <f>+'GL '!I311</f>
        <v>344594.37</v>
      </c>
    </row>
    <row r="23" spans="2:8" x14ac:dyDescent="0.2">
      <c r="B23" s="3"/>
      <c r="C23" s="176"/>
      <c r="D23" s="165"/>
      <c r="E23" s="177"/>
      <c r="F23" s="177"/>
      <c r="G23" s="79"/>
      <c r="H23" s="76"/>
    </row>
    <row r="24" spans="2:8" x14ac:dyDescent="0.2">
      <c r="B24" s="5" t="s">
        <v>13</v>
      </c>
      <c r="C24" s="176"/>
      <c r="D24" s="165"/>
      <c r="F24" s="6"/>
      <c r="G24" s="79"/>
      <c r="H24" s="76"/>
    </row>
    <row r="25" spans="2:8" x14ac:dyDescent="0.2">
      <c r="B25" s="5"/>
      <c r="C25" s="176"/>
      <c r="D25" s="165"/>
      <c r="F25" s="6"/>
      <c r="G25" s="79"/>
      <c r="H25" s="76"/>
    </row>
    <row r="26" spans="2:8" x14ac:dyDescent="0.2">
      <c r="B26" s="16"/>
      <c r="C26" s="178"/>
      <c r="D26" s="94"/>
      <c r="F26" s="177"/>
      <c r="G26" s="79"/>
      <c r="H26" s="76"/>
    </row>
    <row r="27" spans="2:8" x14ac:dyDescent="0.2">
      <c r="B27" s="24" t="s">
        <v>14</v>
      </c>
      <c r="D27" s="179" t="s">
        <v>196</v>
      </c>
      <c r="F27" s="177"/>
      <c r="G27" s="79"/>
      <c r="H27" s="76"/>
    </row>
    <row r="28" spans="2:8" x14ac:dyDescent="0.2">
      <c r="B28" s="24"/>
      <c r="D28" s="179"/>
      <c r="F28" s="177"/>
      <c r="G28" s="79"/>
      <c r="H28" s="76"/>
    </row>
    <row r="29" spans="2:8" x14ac:dyDescent="0.2">
      <c r="B29" s="180">
        <v>46112</v>
      </c>
      <c r="C29" s="181" t="s">
        <v>15</v>
      </c>
      <c r="D29" s="182" t="s">
        <v>474</v>
      </c>
      <c r="E29" s="43" t="s">
        <v>710</v>
      </c>
      <c r="F29" s="177"/>
      <c r="G29" s="82">
        <v>49435.06</v>
      </c>
      <c r="H29" s="76"/>
    </row>
    <row r="30" spans="2:8" x14ac:dyDescent="0.2">
      <c r="B30" s="180">
        <v>46112</v>
      </c>
      <c r="C30" s="181" t="s">
        <v>15</v>
      </c>
      <c r="D30" s="182" t="s">
        <v>475</v>
      </c>
      <c r="E30" s="43" t="s">
        <v>711</v>
      </c>
      <c r="F30" s="177"/>
      <c r="G30" s="82">
        <v>13466.4</v>
      </c>
      <c r="H30" s="76"/>
    </row>
    <row r="31" spans="2:8" x14ac:dyDescent="0.2">
      <c r="B31" s="180">
        <v>46112</v>
      </c>
      <c r="C31" s="181" t="s">
        <v>15</v>
      </c>
      <c r="D31" s="182" t="s">
        <v>475</v>
      </c>
      <c r="E31" s="43" t="s">
        <v>712</v>
      </c>
      <c r="F31" s="177"/>
      <c r="G31" s="82">
        <v>7292.75</v>
      </c>
      <c r="H31" s="76"/>
    </row>
    <row r="32" spans="2:8" x14ac:dyDescent="0.2">
      <c r="B32" s="180">
        <v>46112</v>
      </c>
      <c r="C32" s="181" t="s">
        <v>15</v>
      </c>
      <c r="D32" s="182" t="s">
        <v>475</v>
      </c>
      <c r="E32" s="43" t="s">
        <v>713</v>
      </c>
      <c r="F32" s="177"/>
      <c r="G32" s="82">
        <v>13664.27</v>
      </c>
      <c r="H32" s="76"/>
    </row>
    <row r="33" spans="2:8" x14ac:dyDescent="0.2">
      <c r="B33" s="180">
        <v>46112</v>
      </c>
      <c r="C33" s="181" t="s">
        <v>15</v>
      </c>
      <c r="D33" s="182" t="s">
        <v>475</v>
      </c>
      <c r="E33" s="43" t="s">
        <v>714</v>
      </c>
      <c r="F33" s="177"/>
      <c r="G33" s="82">
        <v>1171</v>
      </c>
      <c r="H33" s="76"/>
    </row>
    <row r="34" spans="2:8" x14ac:dyDescent="0.2">
      <c r="B34" s="180">
        <v>46112</v>
      </c>
      <c r="C34" s="181" t="s">
        <v>15</v>
      </c>
      <c r="D34" s="182" t="s">
        <v>475</v>
      </c>
      <c r="E34" s="43" t="s">
        <v>715</v>
      </c>
      <c r="F34" s="177"/>
      <c r="G34" s="82">
        <v>1994.98</v>
      </c>
      <c r="H34" s="76"/>
    </row>
    <row r="35" spans="2:8" x14ac:dyDescent="0.2">
      <c r="B35" s="180">
        <v>46112</v>
      </c>
      <c r="C35" s="181" t="s">
        <v>15</v>
      </c>
      <c r="D35" s="182" t="s">
        <v>475</v>
      </c>
      <c r="E35" s="43" t="s">
        <v>718</v>
      </c>
      <c r="F35" s="177"/>
      <c r="G35" s="82">
        <v>1800</v>
      </c>
      <c r="H35" s="76"/>
    </row>
    <row r="36" spans="2:8" x14ac:dyDescent="0.2">
      <c r="B36" s="16"/>
      <c r="C36" s="176"/>
      <c r="D36" s="183"/>
      <c r="F36" s="177"/>
      <c r="G36" s="79"/>
      <c r="H36" s="76"/>
    </row>
    <row r="37" spans="2:8" x14ac:dyDescent="0.2">
      <c r="B37" s="16"/>
      <c r="C37" s="176"/>
      <c r="D37" s="183"/>
      <c r="F37" s="17" t="s">
        <v>16</v>
      </c>
      <c r="G37" s="87">
        <f>SUM(G29:G36)</f>
        <v>88824.459999999992</v>
      </c>
      <c r="H37" s="76"/>
    </row>
    <row r="38" spans="2:8" x14ac:dyDescent="0.2">
      <c r="B38" s="5" t="s">
        <v>17</v>
      </c>
      <c r="C38" s="179"/>
      <c r="D38" s="184"/>
      <c r="E38" s="177"/>
      <c r="F38" s="177"/>
      <c r="G38" s="79"/>
      <c r="H38" s="76"/>
    </row>
    <row r="39" spans="2:8" x14ac:dyDescent="0.2">
      <c r="B39" s="5"/>
      <c r="C39" s="179"/>
      <c r="D39" s="184"/>
      <c r="E39" s="177"/>
      <c r="F39" s="177"/>
      <c r="G39" s="79"/>
      <c r="H39" s="76"/>
    </row>
    <row r="40" spans="2:8" x14ac:dyDescent="0.2">
      <c r="B40" s="180">
        <v>46055</v>
      </c>
      <c r="C40" s="144" t="s">
        <v>7</v>
      </c>
      <c r="D40" s="182">
        <v>22621</v>
      </c>
      <c r="E40" s="139" t="s">
        <v>55</v>
      </c>
      <c r="F40" s="6"/>
      <c r="G40" s="47">
        <v>-639.52</v>
      </c>
      <c r="H40" s="76"/>
    </row>
    <row r="41" spans="2:8" x14ac:dyDescent="0.2">
      <c r="B41" s="130"/>
      <c r="C41" s="30"/>
      <c r="D41" s="94"/>
      <c r="E41" s="19"/>
      <c r="G41" s="47"/>
      <c r="H41" s="81"/>
    </row>
    <row r="42" spans="2:8" x14ac:dyDescent="0.2">
      <c r="B42" s="5" t="s">
        <v>18</v>
      </c>
      <c r="D42" s="179" t="s">
        <v>196</v>
      </c>
      <c r="E42" s="6"/>
      <c r="F42" s="6"/>
      <c r="G42" s="79"/>
      <c r="H42" s="76"/>
    </row>
    <row r="43" spans="2:8" x14ac:dyDescent="0.2">
      <c r="B43" s="5"/>
      <c r="D43" s="179"/>
      <c r="E43" s="6"/>
      <c r="F43" s="6"/>
      <c r="G43" s="79"/>
      <c r="H43" s="76"/>
    </row>
    <row r="44" spans="2:8" x14ac:dyDescent="0.2">
      <c r="B44" s="180">
        <v>46083</v>
      </c>
      <c r="C44" s="144" t="s">
        <v>7</v>
      </c>
      <c r="D44" s="188">
        <v>1766</v>
      </c>
      <c r="E44" s="189" t="s">
        <v>55</v>
      </c>
      <c r="F44" s="6"/>
      <c r="G44" s="79">
        <v>-554.5</v>
      </c>
      <c r="H44" s="76"/>
    </row>
    <row r="45" spans="2:8" x14ac:dyDescent="0.2">
      <c r="B45" s="180">
        <v>46090</v>
      </c>
      <c r="C45" s="144" t="s">
        <v>7</v>
      </c>
      <c r="D45" s="182">
        <v>1777</v>
      </c>
      <c r="E45" s="139" t="s">
        <v>489</v>
      </c>
      <c r="F45" s="6"/>
      <c r="G45" s="47">
        <v>-928.7</v>
      </c>
      <c r="H45" s="76"/>
    </row>
    <row r="46" spans="2:8" x14ac:dyDescent="0.2">
      <c r="B46" s="180">
        <v>46098</v>
      </c>
      <c r="C46" s="144" t="s">
        <v>7</v>
      </c>
      <c r="D46" s="182">
        <v>1786</v>
      </c>
      <c r="E46" s="139" t="s">
        <v>501</v>
      </c>
      <c r="F46" s="6"/>
      <c r="G46" s="47">
        <v>-413.4</v>
      </c>
      <c r="H46" s="76"/>
    </row>
    <row r="47" spans="2:8" x14ac:dyDescent="0.2">
      <c r="B47" s="180">
        <v>46100</v>
      </c>
      <c r="C47" s="144" t="s">
        <v>7</v>
      </c>
      <c r="D47" s="182">
        <v>1792</v>
      </c>
      <c r="E47" s="139" t="s">
        <v>87</v>
      </c>
      <c r="F47" s="6"/>
      <c r="G47" s="47">
        <v>-100</v>
      </c>
      <c r="H47" s="76"/>
    </row>
    <row r="48" spans="2:8" x14ac:dyDescent="0.2">
      <c r="B48" s="180">
        <v>46105</v>
      </c>
      <c r="C48" s="144" t="s">
        <v>7</v>
      </c>
      <c r="D48" s="182">
        <v>1797</v>
      </c>
      <c r="E48" s="139" t="s">
        <v>88</v>
      </c>
      <c r="F48" s="6"/>
      <c r="G48" s="47">
        <v>-402.88</v>
      </c>
      <c r="H48" s="76"/>
    </row>
    <row r="49" spans="2:8" x14ac:dyDescent="0.2">
      <c r="B49" s="180">
        <v>46106</v>
      </c>
      <c r="C49" s="144" t="s">
        <v>7</v>
      </c>
      <c r="D49" s="188">
        <v>1798</v>
      </c>
      <c r="E49" s="189" t="s">
        <v>510</v>
      </c>
      <c r="F49" s="6"/>
      <c r="G49" s="79">
        <v>-844.5</v>
      </c>
      <c r="H49" s="76"/>
    </row>
    <row r="50" spans="2:8" x14ac:dyDescent="0.2">
      <c r="B50" s="180">
        <v>46108</v>
      </c>
      <c r="C50" s="144" t="s">
        <v>7</v>
      </c>
      <c r="D50" s="182">
        <v>1799</v>
      </c>
      <c r="E50" s="139" t="s">
        <v>57</v>
      </c>
      <c r="F50" s="6"/>
      <c r="G50" s="47">
        <v>-78</v>
      </c>
      <c r="H50" s="76"/>
    </row>
    <row r="51" spans="2:8" x14ac:dyDescent="0.2">
      <c r="B51" s="180">
        <v>46111</v>
      </c>
      <c r="C51" s="144" t="s">
        <v>7</v>
      </c>
      <c r="D51" s="182">
        <v>1800</v>
      </c>
      <c r="E51" s="139" t="s">
        <v>57</v>
      </c>
      <c r="F51" s="6"/>
      <c r="G51" s="47">
        <v>-718.85</v>
      </c>
      <c r="H51" s="76"/>
    </row>
    <row r="52" spans="2:8" x14ac:dyDescent="0.2">
      <c r="B52" s="180">
        <v>46112</v>
      </c>
      <c r="C52" s="144" t="s">
        <v>7</v>
      </c>
      <c r="D52" s="182">
        <v>22665</v>
      </c>
      <c r="E52" s="139" t="s">
        <v>55</v>
      </c>
      <c r="F52" s="6"/>
      <c r="G52" s="47">
        <v>-12.12</v>
      </c>
      <c r="H52" s="76"/>
    </row>
    <row r="53" spans="2:8" x14ac:dyDescent="0.2">
      <c r="B53" s="180">
        <v>46112</v>
      </c>
      <c r="C53" s="144" t="s">
        <v>7</v>
      </c>
      <c r="D53" s="182">
        <v>22666</v>
      </c>
      <c r="E53" s="139" t="s">
        <v>55</v>
      </c>
      <c r="F53" s="6"/>
      <c r="G53" s="47">
        <v>-3690.12</v>
      </c>
      <c r="H53" s="76"/>
    </row>
    <row r="54" spans="2:8" x14ac:dyDescent="0.2">
      <c r="B54" s="180">
        <v>46112</v>
      </c>
      <c r="C54" s="144" t="s">
        <v>7</v>
      </c>
      <c r="D54" s="182" t="s">
        <v>472</v>
      </c>
      <c r="E54" s="139" t="s">
        <v>24</v>
      </c>
      <c r="F54" s="6"/>
      <c r="G54" s="47">
        <v>-151798.66</v>
      </c>
      <c r="H54" s="76"/>
    </row>
    <row r="55" spans="2:8" x14ac:dyDescent="0.2">
      <c r="B55" s="180">
        <v>46112</v>
      </c>
      <c r="C55" s="144" t="s">
        <v>7</v>
      </c>
      <c r="D55" s="182" t="s">
        <v>472</v>
      </c>
      <c r="E55" s="139" t="s">
        <v>24</v>
      </c>
      <c r="F55" s="6"/>
      <c r="G55" s="47">
        <v>-240.83</v>
      </c>
      <c r="H55" s="76"/>
    </row>
    <row r="56" spans="2:8" x14ac:dyDescent="0.2">
      <c r="B56" s="180">
        <v>46112</v>
      </c>
      <c r="C56" s="144" t="s">
        <v>7</v>
      </c>
      <c r="D56" s="182" t="s">
        <v>476</v>
      </c>
      <c r="E56" s="139" t="s">
        <v>518</v>
      </c>
      <c r="F56" s="6"/>
      <c r="G56" s="47">
        <v>-12356.33</v>
      </c>
      <c r="H56" s="76"/>
    </row>
    <row r="57" spans="2:8" x14ac:dyDescent="0.2">
      <c r="B57" s="180"/>
      <c r="C57" s="144"/>
      <c r="D57" s="182"/>
      <c r="E57" s="139"/>
      <c r="F57" s="6"/>
      <c r="G57" s="47"/>
      <c r="H57" s="76"/>
    </row>
    <row r="58" spans="2:8" x14ac:dyDescent="0.2">
      <c r="B58" s="180"/>
      <c r="C58" s="144"/>
      <c r="D58" s="176"/>
      <c r="E58" s="19"/>
      <c r="F58" s="6"/>
      <c r="G58" s="79"/>
      <c r="H58" s="76"/>
    </row>
    <row r="59" spans="2:8" x14ac:dyDescent="0.2">
      <c r="B59" s="3"/>
      <c r="C59" s="176"/>
      <c r="D59" s="165"/>
      <c r="F59" s="17" t="s">
        <v>16</v>
      </c>
      <c r="G59" s="87">
        <f>SUM(G40:G58)</f>
        <v>-172778.40999999997</v>
      </c>
      <c r="H59" s="76"/>
    </row>
    <row r="60" spans="2:8" x14ac:dyDescent="0.2">
      <c r="B60" s="3"/>
      <c r="C60" s="176"/>
      <c r="D60" s="94"/>
      <c r="F60" s="6"/>
      <c r="G60" s="80"/>
      <c r="H60" s="81"/>
    </row>
    <row r="61" spans="2:8" x14ac:dyDescent="0.2">
      <c r="B61" s="7"/>
      <c r="C61" s="185"/>
      <c r="D61" s="94"/>
      <c r="F61" s="17" t="s">
        <v>25</v>
      </c>
      <c r="G61" s="88">
        <f>+G59+G37</f>
        <v>-83953.949999999983</v>
      </c>
      <c r="H61" s="81"/>
    </row>
    <row r="62" spans="2:8" x14ac:dyDescent="0.2">
      <c r="B62" s="2"/>
      <c r="C62" s="159"/>
      <c r="D62" s="174"/>
      <c r="E62" s="186"/>
      <c r="F62" s="186"/>
      <c r="G62" s="164"/>
      <c r="H62" s="76"/>
    </row>
    <row r="63" spans="2:8" x14ac:dyDescent="0.2">
      <c r="B63" s="2"/>
      <c r="C63" s="159"/>
      <c r="D63" s="174"/>
      <c r="F63" s="161" t="s">
        <v>26</v>
      </c>
      <c r="G63" s="162"/>
      <c r="H63" s="89">
        <f>+H22-G61</f>
        <v>428548.31999999995</v>
      </c>
    </row>
    <row r="64" spans="2:8" x14ac:dyDescent="0.2">
      <c r="B64" s="2"/>
      <c r="C64" s="159"/>
      <c r="D64" s="174"/>
      <c r="E64" s="174"/>
      <c r="F64" s="174"/>
      <c r="G64" s="162"/>
      <c r="H64" s="75"/>
    </row>
    <row r="65" spans="2:8" ht="13.5" thickBot="1" x14ac:dyDescent="0.25">
      <c r="B65" s="2"/>
      <c r="C65" s="159"/>
      <c r="D65" s="174"/>
      <c r="F65" s="161" t="s">
        <v>27</v>
      </c>
      <c r="G65" s="162"/>
      <c r="H65" s="90">
        <f>+H18-H63</f>
        <v>0</v>
      </c>
    </row>
    <row r="66" spans="2:8" ht="14.25" thickTop="1" thickBot="1" x14ac:dyDescent="0.25">
      <c r="B66" s="8"/>
      <c r="C66" s="96"/>
      <c r="D66" s="96"/>
      <c r="E66" s="9"/>
      <c r="F66" s="9"/>
      <c r="G66" s="33"/>
      <c r="H66" s="34"/>
    </row>
  </sheetData>
  <mergeCells count="3">
    <mergeCell ref="B2:H2"/>
    <mergeCell ref="B3:H3"/>
    <mergeCell ref="B4:H4"/>
  </mergeCells>
  <pageMargins left="0.45" right="0.45" top="0.5" bottom="0.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9"/>
  <sheetViews>
    <sheetView zoomScale="85" zoomScaleNormal="85" workbookViewId="0">
      <pane ySplit="1" topLeftCell="A2" activePane="bottomLeft" state="frozen"/>
      <selection activeCell="D54" sqref="D54"/>
      <selection pane="bottomLeft" activeCell="A2" sqref="A2"/>
    </sheetView>
  </sheetViews>
  <sheetFormatPr defaultColWidth="9.33203125" defaultRowHeight="12.75" x14ac:dyDescent="0.2"/>
  <cols>
    <col min="1" max="1" width="14.5" style="37" customWidth="1"/>
    <col min="2" max="2" width="16.6640625" style="28" bestFit="1" customWidth="1"/>
    <col min="3" max="3" width="10.33203125" style="23" customWidth="1"/>
    <col min="4" max="4" width="10.5" style="23" customWidth="1"/>
    <col min="5" max="5" width="135.83203125" style="23" customWidth="1"/>
    <col min="6" max="16384" width="9.33203125" style="23"/>
  </cols>
  <sheetData>
    <row r="1" spans="1:5" x14ac:dyDescent="0.2">
      <c r="A1" s="58" t="s">
        <v>28</v>
      </c>
      <c r="B1" s="59" t="s">
        <v>29</v>
      </c>
      <c r="C1" s="57" t="s">
        <v>30</v>
      </c>
      <c r="D1" s="60" t="s">
        <v>31</v>
      </c>
      <c r="E1" s="57" t="s">
        <v>32</v>
      </c>
    </row>
    <row r="2" spans="1:5" s="115" customFormat="1" x14ac:dyDescent="0.2">
      <c r="A2" s="21" t="s">
        <v>326</v>
      </c>
      <c r="B2" s="65">
        <v>-230639.6</v>
      </c>
      <c r="C2" s="26" t="s">
        <v>33</v>
      </c>
      <c r="D2" s="115">
        <v>-4</v>
      </c>
      <c r="E2" s="115" t="s">
        <v>8</v>
      </c>
    </row>
    <row r="3" spans="1:5" s="115" customFormat="1" x14ac:dyDescent="0.2">
      <c r="A3" s="21" t="s">
        <v>326</v>
      </c>
      <c r="B3" s="65">
        <v>-495.43</v>
      </c>
      <c r="C3" s="26" t="s">
        <v>108</v>
      </c>
      <c r="D3" s="115">
        <v>-3</v>
      </c>
      <c r="E3" s="115" t="s">
        <v>34</v>
      </c>
    </row>
    <row r="4" spans="1:5" s="115" customFormat="1" x14ac:dyDescent="0.2">
      <c r="A4" s="21" t="s">
        <v>326</v>
      </c>
      <c r="B4" s="65">
        <v>-221.4</v>
      </c>
      <c r="C4" s="26" t="s">
        <v>110</v>
      </c>
      <c r="D4" s="115">
        <v>-3</v>
      </c>
      <c r="E4" s="115" t="s">
        <v>34</v>
      </c>
    </row>
    <row r="5" spans="1:5" s="115" customFormat="1" x14ac:dyDescent="0.2">
      <c r="A5" s="21" t="s">
        <v>326</v>
      </c>
      <c r="B5" s="65">
        <v>-180.64</v>
      </c>
      <c r="C5" s="26" t="s">
        <v>114</v>
      </c>
      <c r="D5" s="115">
        <v>-3</v>
      </c>
      <c r="E5" s="115" t="s">
        <v>34</v>
      </c>
    </row>
    <row r="6" spans="1:5" s="115" customFormat="1" x14ac:dyDescent="0.2">
      <c r="A6" s="21" t="s">
        <v>326</v>
      </c>
      <c r="B6" s="65">
        <v>-2704.47</v>
      </c>
      <c r="C6" s="26" t="s">
        <v>33</v>
      </c>
      <c r="D6" s="115">
        <v>-2</v>
      </c>
      <c r="E6" s="115" t="s">
        <v>327</v>
      </c>
    </row>
    <row r="7" spans="1:5" s="115" customFormat="1" x14ac:dyDescent="0.2">
      <c r="A7" s="21" t="s">
        <v>326</v>
      </c>
      <c r="B7" s="65">
        <v>7474.5</v>
      </c>
      <c r="C7" s="26" t="s">
        <v>33</v>
      </c>
      <c r="D7" s="115">
        <v>3</v>
      </c>
      <c r="E7" s="115" t="s">
        <v>328</v>
      </c>
    </row>
    <row r="8" spans="1:5" s="115" customFormat="1" x14ac:dyDescent="0.2">
      <c r="A8" s="21" t="s">
        <v>326</v>
      </c>
      <c r="B8" s="65">
        <v>6564.65</v>
      </c>
      <c r="C8" s="26" t="s">
        <v>33</v>
      </c>
      <c r="D8" s="115">
        <v>2</v>
      </c>
      <c r="E8" s="115" t="s">
        <v>329</v>
      </c>
    </row>
    <row r="9" spans="1:5" s="115" customFormat="1" x14ac:dyDescent="0.2">
      <c r="A9" s="21" t="s">
        <v>326</v>
      </c>
      <c r="B9" s="65">
        <v>741.19</v>
      </c>
      <c r="C9" s="26" t="s">
        <v>33</v>
      </c>
      <c r="D9" s="115">
        <v>3</v>
      </c>
      <c r="E9" s="115" t="s">
        <v>330</v>
      </c>
    </row>
    <row r="10" spans="1:5" s="115" customFormat="1" x14ac:dyDescent="0.2">
      <c r="A10" s="21" t="s">
        <v>326</v>
      </c>
      <c r="B10" s="65">
        <v>684.31</v>
      </c>
      <c r="C10" s="26" t="s">
        <v>33</v>
      </c>
      <c r="D10" s="115">
        <v>3</v>
      </c>
      <c r="E10" s="115" t="s">
        <v>331</v>
      </c>
    </row>
    <row r="11" spans="1:5" s="115" customFormat="1" x14ac:dyDescent="0.2">
      <c r="A11" s="21" t="s">
        <v>326</v>
      </c>
      <c r="B11" s="65">
        <v>436.12</v>
      </c>
      <c r="C11" s="26" t="s">
        <v>33</v>
      </c>
      <c r="D11" s="115">
        <v>2</v>
      </c>
      <c r="E11" s="115" t="s">
        <v>36</v>
      </c>
    </row>
    <row r="12" spans="1:5" s="115" customFormat="1" x14ac:dyDescent="0.2">
      <c r="A12" s="21" t="s">
        <v>326</v>
      </c>
      <c r="B12" s="65">
        <v>218340.77</v>
      </c>
      <c r="C12" s="26" t="s">
        <v>33</v>
      </c>
      <c r="D12" s="115">
        <v>4</v>
      </c>
      <c r="E12" s="115" t="s">
        <v>37</v>
      </c>
    </row>
    <row r="13" spans="1:5" s="115" customFormat="1" x14ac:dyDescent="0.2">
      <c r="A13" s="21" t="s">
        <v>319</v>
      </c>
      <c r="B13" s="65">
        <v>-332738.67</v>
      </c>
      <c r="C13" s="26" t="s">
        <v>33</v>
      </c>
      <c r="D13" s="115">
        <v>-4</v>
      </c>
      <c r="E13" s="115" t="s">
        <v>8</v>
      </c>
    </row>
    <row r="14" spans="1:5" s="115" customFormat="1" x14ac:dyDescent="0.2">
      <c r="A14" s="21" t="s">
        <v>319</v>
      </c>
      <c r="B14" s="65">
        <v>-528.83000000000004</v>
      </c>
      <c r="C14" s="26" t="s">
        <v>106</v>
      </c>
      <c r="D14" s="115">
        <v>-3</v>
      </c>
      <c r="E14" s="115" t="s">
        <v>34</v>
      </c>
    </row>
    <row r="15" spans="1:5" s="115" customFormat="1" x14ac:dyDescent="0.2">
      <c r="A15" s="21" t="s">
        <v>319</v>
      </c>
      <c r="B15" s="65">
        <v>46447.78</v>
      </c>
      <c r="C15" s="26" t="s">
        <v>33</v>
      </c>
      <c r="D15" s="115">
        <v>2</v>
      </c>
      <c r="E15" s="115" t="s">
        <v>35</v>
      </c>
    </row>
    <row r="16" spans="1:5" s="115" customFormat="1" x14ac:dyDescent="0.2">
      <c r="A16" s="21" t="s">
        <v>319</v>
      </c>
      <c r="B16" s="204">
        <v>23104.43</v>
      </c>
      <c r="C16" s="26" t="s">
        <v>33</v>
      </c>
      <c r="D16" s="115">
        <v>2</v>
      </c>
      <c r="E16" s="115" t="s">
        <v>320</v>
      </c>
    </row>
    <row r="17" spans="1:5" s="115" customFormat="1" x14ac:dyDescent="0.2">
      <c r="A17" s="21" t="s">
        <v>319</v>
      </c>
      <c r="B17" s="65">
        <v>12726.06</v>
      </c>
      <c r="C17" s="26" t="s">
        <v>33</v>
      </c>
      <c r="D17" s="115">
        <v>2</v>
      </c>
      <c r="E17" s="115" t="s">
        <v>321</v>
      </c>
    </row>
    <row r="18" spans="1:5" s="115" customFormat="1" x14ac:dyDescent="0.2">
      <c r="A18" s="21" t="s">
        <v>319</v>
      </c>
      <c r="B18" s="65">
        <v>10678.41</v>
      </c>
      <c r="C18" s="26" t="s">
        <v>33</v>
      </c>
      <c r="D18" s="115">
        <v>2</v>
      </c>
      <c r="E18" s="115" t="s">
        <v>322</v>
      </c>
    </row>
    <row r="19" spans="1:5" s="115" customFormat="1" x14ac:dyDescent="0.2">
      <c r="A19" s="21" t="s">
        <v>319</v>
      </c>
      <c r="B19" s="65">
        <v>4967.5600000000004</v>
      </c>
      <c r="C19" s="26" t="s">
        <v>33</v>
      </c>
      <c r="D19" s="115">
        <v>2</v>
      </c>
      <c r="E19" s="115" t="s">
        <v>323</v>
      </c>
    </row>
    <row r="20" spans="1:5" s="115" customFormat="1" x14ac:dyDescent="0.2">
      <c r="A20" s="21" t="s">
        <v>319</v>
      </c>
      <c r="B20" s="65">
        <v>2629.48</v>
      </c>
      <c r="C20" s="26" t="s">
        <v>33</v>
      </c>
      <c r="D20" s="115">
        <v>2</v>
      </c>
      <c r="E20" s="115" t="s">
        <v>324</v>
      </c>
    </row>
    <row r="21" spans="1:5" s="115" customFormat="1" x14ac:dyDescent="0.2">
      <c r="A21" s="21" t="s">
        <v>319</v>
      </c>
      <c r="B21" s="65">
        <v>2074.1799999999998</v>
      </c>
      <c r="C21" s="26" t="s">
        <v>33</v>
      </c>
      <c r="D21" s="115">
        <v>2</v>
      </c>
      <c r="E21" s="115" t="s">
        <v>325</v>
      </c>
    </row>
    <row r="22" spans="1:5" s="115" customFormat="1" x14ac:dyDescent="0.2">
      <c r="A22" s="21" t="s">
        <v>319</v>
      </c>
      <c r="B22" s="65">
        <v>230639.6</v>
      </c>
      <c r="C22" s="26" t="s">
        <v>33</v>
      </c>
      <c r="D22" s="115">
        <v>4</v>
      </c>
      <c r="E22" s="115" t="s">
        <v>37</v>
      </c>
    </row>
    <row r="23" spans="1:5" s="115" customFormat="1" x14ac:dyDescent="0.2">
      <c r="A23" s="21" t="s">
        <v>311</v>
      </c>
      <c r="B23" s="65">
        <v>-350554.61</v>
      </c>
      <c r="C23" s="26" t="s">
        <v>33</v>
      </c>
      <c r="D23" s="115">
        <v>-4</v>
      </c>
      <c r="E23" s="115" t="s">
        <v>8</v>
      </c>
    </row>
    <row r="24" spans="1:5" s="115" customFormat="1" x14ac:dyDescent="0.2">
      <c r="A24" s="21" t="s">
        <v>311</v>
      </c>
      <c r="B24" s="65">
        <v>-50</v>
      </c>
      <c r="C24" s="26" t="s">
        <v>112</v>
      </c>
      <c r="D24" s="115">
        <v>-3</v>
      </c>
      <c r="E24" s="115" t="s">
        <v>34</v>
      </c>
    </row>
    <row r="25" spans="1:5" s="115" customFormat="1" x14ac:dyDescent="0.2">
      <c r="A25" s="21" t="s">
        <v>311</v>
      </c>
      <c r="B25" s="65">
        <v>-9028.2999999999993</v>
      </c>
      <c r="C25" s="26" t="s">
        <v>33</v>
      </c>
      <c r="D25" s="115">
        <v>-2</v>
      </c>
      <c r="E25" s="115" t="s">
        <v>312</v>
      </c>
    </row>
    <row r="26" spans="1:5" s="115" customFormat="1" x14ac:dyDescent="0.2">
      <c r="A26" s="21" t="s">
        <v>311</v>
      </c>
      <c r="B26" s="65">
        <v>-203</v>
      </c>
      <c r="C26" s="26" t="s">
        <v>33</v>
      </c>
      <c r="D26" s="115">
        <v>-2</v>
      </c>
      <c r="E26" s="115" t="s">
        <v>313</v>
      </c>
    </row>
    <row r="27" spans="1:5" s="115" customFormat="1" x14ac:dyDescent="0.2">
      <c r="A27" s="21" t="s">
        <v>311</v>
      </c>
      <c r="B27" s="65">
        <v>11861.62</v>
      </c>
      <c r="C27" s="26" t="s">
        <v>33</v>
      </c>
      <c r="D27" s="115">
        <v>2</v>
      </c>
      <c r="E27" s="115" t="s">
        <v>314</v>
      </c>
    </row>
    <row r="28" spans="1:5" s="115" customFormat="1" x14ac:dyDescent="0.2">
      <c r="A28" s="21" t="s">
        <v>311</v>
      </c>
      <c r="B28" s="65">
        <v>7282.83</v>
      </c>
      <c r="C28" s="26" t="s">
        <v>33</v>
      </c>
      <c r="D28" s="115">
        <v>2</v>
      </c>
      <c r="E28" s="115" t="s">
        <v>315</v>
      </c>
    </row>
    <row r="29" spans="1:5" s="115" customFormat="1" x14ac:dyDescent="0.2">
      <c r="A29" s="21" t="s">
        <v>311</v>
      </c>
      <c r="B29" s="65">
        <v>4707.92</v>
      </c>
      <c r="C29" s="26" t="s">
        <v>33</v>
      </c>
      <c r="D29" s="115">
        <v>2</v>
      </c>
      <c r="E29" s="115" t="s">
        <v>316</v>
      </c>
    </row>
    <row r="30" spans="1:5" s="115" customFormat="1" x14ac:dyDescent="0.2">
      <c r="A30" s="21" t="s">
        <v>311</v>
      </c>
      <c r="B30" s="65">
        <v>2264.91</v>
      </c>
      <c r="C30" s="26" t="s">
        <v>33</v>
      </c>
      <c r="D30" s="115">
        <v>2</v>
      </c>
      <c r="E30" s="115" t="s">
        <v>317</v>
      </c>
    </row>
    <row r="31" spans="1:5" s="115" customFormat="1" x14ac:dyDescent="0.2">
      <c r="A31" s="21" t="s">
        <v>311</v>
      </c>
      <c r="B31" s="65">
        <v>979.96</v>
      </c>
      <c r="C31" s="26" t="s">
        <v>33</v>
      </c>
      <c r="D31" s="115">
        <v>2</v>
      </c>
      <c r="E31" s="115" t="s">
        <v>318</v>
      </c>
    </row>
    <row r="32" spans="1:5" s="115" customFormat="1" x14ac:dyDescent="0.2">
      <c r="A32" s="21" t="s">
        <v>311</v>
      </c>
      <c r="B32" s="65">
        <v>332738.67</v>
      </c>
      <c r="C32" s="26" t="s">
        <v>33</v>
      </c>
      <c r="D32" s="115">
        <v>4</v>
      </c>
      <c r="E32" s="115" t="s">
        <v>37</v>
      </c>
    </row>
    <row r="33" spans="1:5" s="115" customFormat="1" x14ac:dyDescent="0.2">
      <c r="A33" s="21" t="s">
        <v>305</v>
      </c>
      <c r="B33" s="65">
        <v>-217640.06</v>
      </c>
      <c r="C33" s="26" t="s">
        <v>33</v>
      </c>
      <c r="D33" s="115">
        <v>-4</v>
      </c>
      <c r="E33" s="115" t="s">
        <v>8</v>
      </c>
    </row>
    <row r="34" spans="1:5" s="115" customFormat="1" x14ac:dyDescent="0.2">
      <c r="A34" s="21" t="s">
        <v>305</v>
      </c>
      <c r="B34" s="65">
        <v>-137416.29</v>
      </c>
      <c r="C34" s="26" t="s">
        <v>33</v>
      </c>
      <c r="D34" s="115">
        <v>-3</v>
      </c>
      <c r="E34" s="115" t="s">
        <v>306</v>
      </c>
    </row>
    <row r="35" spans="1:5" s="115" customFormat="1" x14ac:dyDescent="0.2">
      <c r="A35" s="21" t="s">
        <v>305</v>
      </c>
      <c r="B35" s="65">
        <v>-6682.75</v>
      </c>
      <c r="C35" s="26" t="s">
        <v>33</v>
      </c>
      <c r="D35" s="115">
        <v>-3</v>
      </c>
      <c r="E35" s="115" t="s">
        <v>307</v>
      </c>
    </row>
    <row r="36" spans="1:5" s="115" customFormat="1" x14ac:dyDescent="0.2">
      <c r="A36" s="21" t="s">
        <v>305</v>
      </c>
      <c r="B36" s="65">
        <v>-218.14</v>
      </c>
      <c r="C36" s="26" t="s">
        <v>33</v>
      </c>
      <c r="D36" s="115">
        <v>-3</v>
      </c>
      <c r="E36" s="115" t="s">
        <v>308</v>
      </c>
    </row>
    <row r="37" spans="1:5" s="115" customFormat="1" x14ac:dyDescent="0.2">
      <c r="A37" s="21" t="s">
        <v>305</v>
      </c>
      <c r="B37" s="214">
        <v>10711.03</v>
      </c>
      <c r="C37" s="26" t="s">
        <v>33</v>
      </c>
      <c r="D37" s="115">
        <v>2</v>
      </c>
      <c r="E37" s="115" t="s">
        <v>309</v>
      </c>
    </row>
    <row r="38" spans="1:5" s="115" customFormat="1" x14ac:dyDescent="0.2">
      <c r="A38" s="21" t="s">
        <v>305</v>
      </c>
      <c r="B38" s="65">
        <v>691.6</v>
      </c>
      <c r="C38" s="26" t="s">
        <v>33</v>
      </c>
      <c r="D38" s="115">
        <v>2</v>
      </c>
      <c r="E38" s="115" t="s">
        <v>310</v>
      </c>
    </row>
    <row r="39" spans="1:5" s="115" customFormat="1" x14ac:dyDescent="0.2">
      <c r="A39" s="21" t="s">
        <v>305</v>
      </c>
      <c r="B39" s="65">
        <v>350554.61</v>
      </c>
      <c r="C39" s="26" t="s">
        <v>33</v>
      </c>
      <c r="D39" s="115">
        <v>4</v>
      </c>
      <c r="E39" s="115" t="s">
        <v>37</v>
      </c>
    </row>
    <row r="40" spans="1:5" s="115" customFormat="1" x14ac:dyDescent="0.2">
      <c r="A40" s="21" t="s">
        <v>299</v>
      </c>
      <c r="B40" s="65">
        <v>-283002.37</v>
      </c>
      <c r="C40" s="26" t="s">
        <v>33</v>
      </c>
      <c r="D40" s="115">
        <v>-4</v>
      </c>
      <c r="E40" s="115" t="s">
        <v>8</v>
      </c>
    </row>
    <row r="41" spans="1:5" s="115" customFormat="1" x14ac:dyDescent="0.2">
      <c r="A41" s="21" t="s">
        <v>299</v>
      </c>
      <c r="B41" s="202">
        <v>55129.63</v>
      </c>
      <c r="C41" s="26" t="s">
        <v>33</v>
      </c>
      <c r="D41" s="115">
        <v>2</v>
      </c>
      <c r="E41" s="115" t="s">
        <v>300</v>
      </c>
    </row>
    <row r="42" spans="1:5" s="115" customFormat="1" x14ac:dyDescent="0.2">
      <c r="A42" s="21" t="s">
        <v>299</v>
      </c>
      <c r="B42" s="65">
        <v>5413.13</v>
      </c>
      <c r="C42" s="26" t="s">
        <v>33</v>
      </c>
      <c r="D42" s="115">
        <v>2</v>
      </c>
      <c r="E42" s="115" t="s">
        <v>301</v>
      </c>
    </row>
    <row r="43" spans="1:5" s="115" customFormat="1" x14ac:dyDescent="0.2">
      <c r="A43" s="21" t="s">
        <v>299</v>
      </c>
      <c r="B43" s="65">
        <v>3233.31</v>
      </c>
      <c r="C43" s="26" t="s">
        <v>33</v>
      </c>
      <c r="D43" s="115">
        <v>2</v>
      </c>
      <c r="E43" s="115" t="s">
        <v>302</v>
      </c>
    </row>
    <row r="44" spans="1:5" s="115" customFormat="1" x14ac:dyDescent="0.2">
      <c r="A44" s="21" t="s">
        <v>299</v>
      </c>
      <c r="B44" s="65">
        <v>900</v>
      </c>
      <c r="C44" s="26" t="s">
        <v>33</v>
      </c>
      <c r="D44" s="115">
        <v>2</v>
      </c>
      <c r="E44" s="115" t="s">
        <v>303</v>
      </c>
    </row>
    <row r="45" spans="1:5" s="115" customFormat="1" x14ac:dyDescent="0.2">
      <c r="A45" s="21" t="s">
        <v>299</v>
      </c>
      <c r="B45" s="65">
        <v>686.24</v>
      </c>
      <c r="C45" s="26" t="s">
        <v>33</v>
      </c>
      <c r="D45" s="115">
        <v>2</v>
      </c>
      <c r="E45" s="115" t="s">
        <v>304</v>
      </c>
    </row>
    <row r="46" spans="1:5" s="115" customFormat="1" x14ac:dyDescent="0.2">
      <c r="A46" s="21" t="s">
        <v>299</v>
      </c>
      <c r="B46" s="65">
        <v>217640.06</v>
      </c>
      <c r="C46" s="26" t="s">
        <v>33</v>
      </c>
      <c r="D46" s="115">
        <v>4</v>
      </c>
      <c r="E46" s="115" t="s">
        <v>37</v>
      </c>
    </row>
    <row r="47" spans="1:5" s="115" customFormat="1" x14ac:dyDescent="0.2">
      <c r="A47" s="21" t="s">
        <v>295</v>
      </c>
      <c r="B47" s="65">
        <v>-293421.64</v>
      </c>
      <c r="C47" s="26" t="s">
        <v>33</v>
      </c>
      <c r="D47" s="115">
        <v>-4</v>
      </c>
      <c r="E47" s="115" t="s">
        <v>8</v>
      </c>
    </row>
    <row r="48" spans="1:5" s="115" customFormat="1" x14ac:dyDescent="0.2">
      <c r="A48" s="21" t="s">
        <v>295</v>
      </c>
      <c r="B48" s="65">
        <v>-718.85</v>
      </c>
      <c r="C48" s="26" t="s">
        <v>120</v>
      </c>
      <c r="D48" s="115">
        <v>-3</v>
      </c>
      <c r="E48" s="115" t="s">
        <v>34</v>
      </c>
    </row>
    <row r="49" spans="1:5" s="115" customFormat="1" x14ac:dyDescent="0.2">
      <c r="A49" s="21" t="s">
        <v>295</v>
      </c>
      <c r="B49" s="65">
        <v>7618.28</v>
      </c>
      <c r="C49" s="26" t="s">
        <v>33</v>
      </c>
      <c r="D49" s="115">
        <v>2</v>
      </c>
      <c r="E49" s="115" t="s">
        <v>296</v>
      </c>
    </row>
    <row r="50" spans="1:5" s="115" customFormat="1" x14ac:dyDescent="0.2">
      <c r="A50" s="21" t="s">
        <v>295</v>
      </c>
      <c r="B50" s="201">
        <v>2656.88</v>
      </c>
      <c r="C50" s="26" t="s">
        <v>33</v>
      </c>
      <c r="D50" s="115">
        <v>2</v>
      </c>
      <c r="E50" s="115" t="s">
        <v>297</v>
      </c>
    </row>
    <row r="51" spans="1:5" s="115" customFormat="1" x14ac:dyDescent="0.2">
      <c r="A51" s="21" t="s">
        <v>295</v>
      </c>
      <c r="B51" s="65">
        <v>862.96</v>
      </c>
      <c r="C51" s="26" t="s">
        <v>33</v>
      </c>
      <c r="D51" s="115">
        <v>2</v>
      </c>
      <c r="E51" s="115" t="s">
        <v>298</v>
      </c>
    </row>
    <row r="52" spans="1:5" s="115" customFormat="1" x14ac:dyDescent="0.2">
      <c r="A52" s="21" t="s">
        <v>295</v>
      </c>
      <c r="B52" s="65">
        <v>283002.37</v>
      </c>
      <c r="C52" s="26" t="s">
        <v>33</v>
      </c>
      <c r="D52" s="115">
        <v>4</v>
      </c>
      <c r="E52" s="115" t="s">
        <v>37</v>
      </c>
    </row>
    <row r="53" spans="1:5" s="115" customFormat="1" x14ac:dyDescent="0.2">
      <c r="A53" s="21" t="s">
        <v>289</v>
      </c>
      <c r="B53" s="65">
        <v>-297876.09999999998</v>
      </c>
      <c r="C53" s="26" t="s">
        <v>33</v>
      </c>
      <c r="D53" s="115">
        <v>-4</v>
      </c>
      <c r="E53" s="115" t="s">
        <v>8</v>
      </c>
    </row>
    <row r="54" spans="1:5" s="115" customFormat="1" x14ac:dyDescent="0.2">
      <c r="A54" s="21" t="s">
        <v>289</v>
      </c>
      <c r="B54" s="65">
        <v>-3425</v>
      </c>
      <c r="C54" s="26" t="s">
        <v>33</v>
      </c>
      <c r="D54" s="115">
        <v>-2</v>
      </c>
      <c r="E54" s="115" t="s">
        <v>290</v>
      </c>
    </row>
    <row r="55" spans="1:5" s="115" customFormat="1" x14ac:dyDescent="0.2">
      <c r="A55" s="21" t="s">
        <v>289</v>
      </c>
      <c r="B55" s="65">
        <v>-450</v>
      </c>
      <c r="C55" s="26" t="s">
        <v>122</v>
      </c>
      <c r="D55" s="115">
        <v>-3</v>
      </c>
      <c r="E55" s="115" t="s">
        <v>34</v>
      </c>
    </row>
    <row r="56" spans="1:5" s="115" customFormat="1" x14ac:dyDescent="0.2">
      <c r="A56" s="21" t="s">
        <v>289</v>
      </c>
      <c r="B56" s="65">
        <v>3655.46</v>
      </c>
      <c r="C56" s="26" t="s">
        <v>33</v>
      </c>
      <c r="D56" s="115">
        <v>2</v>
      </c>
      <c r="E56" s="115" t="s">
        <v>291</v>
      </c>
    </row>
    <row r="57" spans="1:5" s="115" customFormat="1" x14ac:dyDescent="0.2">
      <c r="A57" s="21" t="s">
        <v>289</v>
      </c>
      <c r="B57" s="65">
        <v>1950</v>
      </c>
      <c r="C57" s="26" t="s">
        <v>33</v>
      </c>
      <c r="D57" s="115">
        <v>2</v>
      </c>
      <c r="E57" s="115" t="s">
        <v>292</v>
      </c>
    </row>
    <row r="58" spans="1:5" s="115" customFormat="1" x14ac:dyDescent="0.2">
      <c r="A58" s="21" t="s">
        <v>289</v>
      </c>
      <c r="B58" s="65">
        <v>1750</v>
      </c>
      <c r="C58" s="26" t="s">
        <v>33</v>
      </c>
      <c r="D58" s="115">
        <v>2</v>
      </c>
      <c r="E58" s="115" t="s">
        <v>293</v>
      </c>
    </row>
    <row r="59" spans="1:5" s="115" customFormat="1" x14ac:dyDescent="0.2">
      <c r="A59" s="21" t="s">
        <v>289</v>
      </c>
      <c r="B59" s="65">
        <v>974</v>
      </c>
      <c r="C59" s="26" t="s">
        <v>33</v>
      </c>
      <c r="D59" s="115">
        <v>2</v>
      </c>
      <c r="E59" s="115" t="s">
        <v>294</v>
      </c>
    </row>
    <row r="60" spans="1:5" s="115" customFormat="1" x14ac:dyDescent="0.2">
      <c r="A60" s="21" t="s">
        <v>289</v>
      </c>
      <c r="B60" s="65">
        <v>293421.64</v>
      </c>
      <c r="C60" s="26" t="s">
        <v>33</v>
      </c>
      <c r="D60" s="115">
        <v>4</v>
      </c>
      <c r="E60" s="115" t="s">
        <v>37</v>
      </c>
    </row>
    <row r="61" spans="1:5" s="115" customFormat="1" x14ac:dyDescent="0.2">
      <c r="A61" s="21" t="s">
        <v>286</v>
      </c>
      <c r="B61" s="65">
        <v>-300647.84999999998</v>
      </c>
      <c r="C61" s="26" t="s">
        <v>33</v>
      </c>
      <c r="D61" s="115">
        <v>-4</v>
      </c>
      <c r="E61" s="115" t="s">
        <v>8</v>
      </c>
    </row>
    <row r="62" spans="1:5" s="115" customFormat="1" x14ac:dyDescent="0.2">
      <c r="A62" s="21" t="s">
        <v>286</v>
      </c>
      <c r="B62" s="65">
        <v>-439.7</v>
      </c>
      <c r="C62" s="26" t="s">
        <v>116</v>
      </c>
      <c r="D62" s="115">
        <v>-3</v>
      </c>
      <c r="E62" s="115" t="s">
        <v>34</v>
      </c>
    </row>
    <row r="63" spans="1:5" s="115" customFormat="1" x14ac:dyDescent="0.2">
      <c r="A63" s="21" t="s">
        <v>286</v>
      </c>
      <c r="B63" s="65">
        <v>-157.5</v>
      </c>
      <c r="C63" s="26" t="s">
        <v>287</v>
      </c>
      <c r="D63" s="115">
        <v>-2</v>
      </c>
      <c r="E63" s="115" t="s">
        <v>34</v>
      </c>
    </row>
    <row r="64" spans="1:5" s="115" customFormat="1" x14ac:dyDescent="0.2">
      <c r="A64" s="21" t="s">
        <v>286</v>
      </c>
      <c r="B64" s="65">
        <v>3368.95</v>
      </c>
      <c r="C64" s="26" t="s">
        <v>33</v>
      </c>
      <c r="D64" s="115">
        <v>2</v>
      </c>
      <c r="E64" s="115" t="s">
        <v>288</v>
      </c>
    </row>
    <row r="65" spans="1:5" s="115" customFormat="1" x14ac:dyDescent="0.2">
      <c r="A65" s="21" t="s">
        <v>286</v>
      </c>
      <c r="B65" s="65">
        <v>297876.09999999998</v>
      </c>
      <c r="C65" s="26" t="s">
        <v>33</v>
      </c>
      <c r="D65" s="115">
        <v>4</v>
      </c>
      <c r="E65" s="115" t="s">
        <v>37</v>
      </c>
    </row>
    <row r="66" spans="1:5" s="115" customFormat="1" x14ac:dyDescent="0.2">
      <c r="A66" s="21" t="s">
        <v>277</v>
      </c>
      <c r="B66" s="65">
        <v>-298570.63</v>
      </c>
      <c r="C66" s="26" t="s">
        <v>33</v>
      </c>
      <c r="D66" s="115">
        <v>-4</v>
      </c>
      <c r="E66" s="115" t="s">
        <v>8</v>
      </c>
    </row>
    <row r="67" spans="1:5" s="115" customFormat="1" x14ac:dyDescent="0.2">
      <c r="A67" s="21" t="s">
        <v>277</v>
      </c>
      <c r="B67" s="65">
        <v>-5395</v>
      </c>
      <c r="C67" s="26" t="s">
        <v>278</v>
      </c>
      <c r="D67" s="115">
        <v>-2</v>
      </c>
      <c r="E67" s="115" t="s">
        <v>34</v>
      </c>
    </row>
    <row r="68" spans="1:5" s="115" customFormat="1" x14ac:dyDescent="0.2">
      <c r="A68" s="21" t="s">
        <v>277</v>
      </c>
      <c r="B68" s="65">
        <v>-504.39</v>
      </c>
      <c r="C68" s="26" t="s">
        <v>279</v>
      </c>
      <c r="D68" s="115">
        <v>-2</v>
      </c>
      <c r="E68" s="115" t="s">
        <v>34</v>
      </c>
    </row>
    <row r="69" spans="1:5" s="115" customFormat="1" x14ac:dyDescent="0.2">
      <c r="A69" s="21" t="s">
        <v>277</v>
      </c>
      <c r="B69" s="65">
        <v>-119.95</v>
      </c>
      <c r="C69" s="26" t="s">
        <v>280</v>
      </c>
      <c r="D69" s="115">
        <v>-2</v>
      </c>
      <c r="E69" s="115" t="s">
        <v>34</v>
      </c>
    </row>
    <row r="70" spans="1:5" s="115" customFormat="1" x14ac:dyDescent="0.2">
      <c r="A70" s="21" t="s">
        <v>277</v>
      </c>
      <c r="B70" s="65">
        <v>-1939.68</v>
      </c>
      <c r="C70" s="26" t="s">
        <v>33</v>
      </c>
      <c r="D70" s="115">
        <v>-2</v>
      </c>
      <c r="E70" s="115" t="s">
        <v>281</v>
      </c>
    </row>
    <row r="71" spans="1:5" s="115" customFormat="1" x14ac:dyDescent="0.2">
      <c r="A71" s="21" t="s">
        <v>277</v>
      </c>
      <c r="B71" s="65">
        <v>2150</v>
      </c>
      <c r="C71" s="26" t="s">
        <v>33</v>
      </c>
      <c r="D71" s="115">
        <v>2</v>
      </c>
      <c r="E71" s="115" t="s">
        <v>282</v>
      </c>
    </row>
    <row r="72" spans="1:5" s="115" customFormat="1" x14ac:dyDescent="0.2">
      <c r="A72" s="21" t="s">
        <v>277</v>
      </c>
      <c r="B72" s="65">
        <v>1875</v>
      </c>
      <c r="C72" s="26" t="s">
        <v>33</v>
      </c>
      <c r="D72" s="115">
        <v>2</v>
      </c>
      <c r="E72" s="115" t="s">
        <v>283</v>
      </c>
    </row>
    <row r="73" spans="1:5" s="115" customFormat="1" x14ac:dyDescent="0.2">
      <c r="A73" s="21" t="s">
        <v>277</v>
      </c>
      <c r="B73" s="65">
        <v>1556.8</v>
      </c>
      <c r="C73" s="26" t="s">
        <v>33</v>
      </c>
      <c r="D73" s="115">
        <v>2</v>
      </c>
      <c r="E73" s="115" t="s">
        <v>284</v>
      </c>
    </row>
    <row r="74" spans="1:5" s="115" customFormat="1" x14ac:dyDescent="0.2">
      <c r="A74" s="21" t="s">
        <v>277</v>
      </c>
      <c r="B74" s="65">
        <v>300</v>
      </c>
      <c r="C74" s="26" t="s">
        <v>33</v>
      </c>
      <c r="D74" s="115">
        <v>2</v>
      </c>
      <c r="E74" s="115" t="s">
        <v>285</v>
      </c>
    </row>
    <row r="75" spans="1:5" s="115" customFormat="1" x14ac:dyDescent="0.2">
      <c r="A75" s="21" t="s">
        <v>277</v>
      </c>
      <c r="B75" s="65">
        <v>300647.84999999998</v>
      </c>
      <c r="C75" s="26" t="s">
        <v>33</v>
      </c>
      <c r="D75" s="115">
        <v>4</v>
      </c>
      <c r="E75" s="115" t="s">
        <v>37</v>
      </c>
    </row>
    <row r="76" spans="1:5" s="115" customFormat="1" x14ac:dyDescent="0.2">
      <c r="A76" s="21" t="s">
        <v>275</v>
      </c>
      <c r="B76" s="65">
        <v>-298556.96000000002</v>
      </c>
      <c r="C76" s="26" t="s">
        <v>33</v>
      </c>
      <c r="D76" s="115">
        <v>-4</v>
      </c>
      <c r="E76" s="115" t="s">
        <v>8</v>
      </c>
    </row>
    <row r="77" spans="1:5" s="115" customFormat="1" x14ac:dyDescent="0.2">
      <c r="A77" s="21" t="s">
        <v>275</v>
      </c>
      <c r="B77" s="65">
        <v>-13.67</v>
      </c>
      <c r="C77" s="26" t="s">
        <v>33</v>
      </c>
      <c r="D77" s="115">
        <v>-2</v>
      </c>
      <c r="E77" s="115" t="s">
        <v>276</v>
      </c>
    </row>
    <row r="78" spans="1:5" s="115" customFormat="1" x14ac:dyDescent="0.2">
      <c r="A78" s="21" t="s">
        <v>275</v>
      </c>
      <c r="B78" s="65">
        <v>298570.63</v>
      </c>
      <c r="C78" s="26" t="s">
        <v>33</v>
      </c>
      <c r="D78" s="115">
        <v>4</v>
      </c>
      <c r="E78" s="115" t="s">
        <v>37</v>
      </c>
    </row>
    <row r="79" spans="1:5" s="115" customFormat="1" x14ac:dyDescent="0.2">
      <c r="A79" s="21" t="s">
        <v>263</v>
      </c>
      <c r="B79" s="65">
        <v>-329727.96999999997</v>
      </c>
      <c r="C79" s="26" t="s">
        <v>33</v>
      </c>
      <c r="D79" s="115">
        <v>-4</v>
      </c>
      <c r="E79" s="115" t="s">
        <v>8</v>
      </c>
    </row>
    <row r="80" spans="1:5" s="115" customFormat="1" x14ac:dyDescent="0.2">
      <c r="A80" s="21" t="s">
        <v>263</v>
      </c>
      <c r="B80" s="65">
        <v>-388.15</v>
      </c>
      <c r="C80" s="26" t="s">
        <v>264</v>
      </c>
      <c r="D80" s="115">
        <v>-2</v>
      </c>
      <c r="E80" s="115" t="s">
        <v>34</v>
      </c>
    </row>
    <row r="81" spans="1:5" s="115" customFormat="1" x14ac:dyDescent="0.2">
      <c r="A81" s="21" t="s">
        <v>263</v>
      </c>
      <c r="B81" s="65">
        <v>-67.97</v>
      </c>
      <c r="C81" s="26" t="s">
        <v>265</v>
      </c>
      <c r="D81" s="115">
        <v>-2</v>
      </c>
      <c r="E81" s="115" t="s">
        <v>34</v>
      </c>
    </row>
    <row r="82" spans="1:5" s="115" customFormat="1" x14ac:dyDescent="0.2">
      <c r="A82" s="21" t="s">
        <v>263</v>
      </c>
      <c r="B82" s="65">
        <v>-27</v>
      </c>
      <c r="C82" s="26" t="s">
        <v>266</v>
      </c>
      <c r="D82" s="115">
        <v>-2</v>
      </c>
      <c r="E82" s="115" t="s">
        <v>34</v>
      </c>
    </row>
    <row r="83" spans="1:5" s="115" customFormat="1" x14ac:dyDescent="0.2">
      <c r="A83" s="21" t="s">
        <v>263</v>
      </c>
      <c r="B83" s="206">
        <v>-107.44</v>
      </c>
      <c r="C83" s="26" t="s">
        <v>33</v>
      </c>
      <c r="D83" s="115">
        <v>-2</v>
      </c>
      <c r="E83" s="115" t="s">
        <v>267</v>
      </c>
    </row>
    <row r="84" spans="1:5" s="115" customFormat="1" x14ac:dyDescent="0.2">
      <c r="A84" s="21" t="s">
        <v>263</v>
      </c>
      <c r="B84" s="65">
        <v>8452.17</v>
      </c>
      <c r="C84" s="26" t="s">
        <v>33</v>
      </c>
      <c r="D84" s="115">
        <v>2</v>
      </c>
      <c r="E84" s="115" t="s">
        <v>268</v>
      </c>
    </row>
    <row r="85" spans="1:5" s="115" customFormat="1" x14ac:dyDescent="0.2">
      <c r="A85" s="21" t="s">
        <v>263</v>
      </c>
      <c r="B85" s="65">
        <v>5390.9</v>
      </c>
      <c r="C85" s="26" t="s">
        <v>33</v>
      </c>
      <c r="D85" s="115">
        <v>2</v>
      </c>
      <c r="E85" s="115" t="s">
        <v>269</v>
      </c>
    </row>
    <row r="86" spans="1:5" s="115" customFormat="1" x14ac:dyDescent="0.2">
      <c r="A86" s="21" t="s">
        <v>263</v>
      </c>
      <c r="B86" s="65">
        <v>4650</v>
      </c>
      <c r="C86" s="26" t="s">
        <v>33</v>
      </c>
      <c r="D86" s="115">
        <v>2</v>
      </c>
      <c r="E86" s="115" t="s">
        <v>270</v>
      </c>
    </row>
    <row r="87" spans="1:5" s="115" customFormat="1" x14ac:dyDescent="0.2">
      <c r="A87" s="21" t="s">
        <v>263</v>
      </c>
      <c r="B87" s="65">
        <v>4650</v>
      </c>
      <c r="C87" s="26" t="s">
        <v>33</v>
      </c>
      <c r="D87" s="115">
        <v>2</v>
      </c>
      <c r="E87" s="115" t="s">
        <v>271</v>
      </c>
    </row>
    <row r="88" spans="1:5" s="115" customFormat="1" x14ac:dyDescent="0.2">
      <c r="A88" s="21" t="s">
        <v>263</v>
      </c>
      <c r="B88" s="65">
        <v>4368.5</v>
      </c>
      <c r="C88" s="26" t="s">
        <v>33</v>
      </c>
      <c r="D88" s="115">
        <v>2</v>
      </c>
      <c r="E88" s="115" t="s">
        <v>272</v>
      </c>
    </row>
    <row r="89" spans="1:5" s="115" customFormat="1" x14ac:dyDescent="0.2">
      <c r="A89" s="21" t="s">
        <v>263</v>
      </c>
      <c r="B89" s="65">
        <v>2350</v>
      </c>
      <c r="C89" s="26" t="s">
        <v>33</v>
      </c>
      <c r="D89" s="115">
        <v>2</v>
      </c>
      <c r="E89" s="115" t="s">
        <v>273</v>
      </c>
    </row>
    <row r="90" spans="1:5" s="115" customFormat="1" x14ac:dyDescent="0.2">
      <c r="A90" s="21" t="s">
        <v>263</v>
      </c>
      <c r="B90" s="65">
        <v>1900</v>
      </c>
      <c r="C90" s="26" t="s">
        <v>33</v>
      </c>
      <c r="D90" s="115">
        <v>2</v>
      </c>
      <c r="E90" s="115" t="s">
        <v>274</v>
      </c>
    </row>
    <row r="91" spans="1:5" s="115" customFormat="1" x14ac:dyDescent="0.2">
      <c r="A91" s="21" t="s">
        <v>263</v>
      </c>
      <c r="B91" s="65">
        <v>298556.96000000002</v>
      </c>
      <c r="C91" s="26" t="s">
        <v>33</v>
      </c>
      <c r="D91" s="115">
        <v>4</v>
      </c>
      <c r="E91" s="115" t="s">
        <v>37</v>
      </c>
    </row>
    <row r="92" spans="1:5" s="115" customFormat="1" x14ac:dyDescent="0.2">
      <c r="A92" s="21" t="s">
        <v>252</v>
      </c>
      <c r="B92" s="65">
        <v>-301208.25</v>
      </c>
      <c r="C92" s="26" t="s">
        <v>33</v>
      </c>
      <c r="D92" s="115">
        <v>-4</v>
      </c>
      <c r="E92" s="115" t="s">
        <v>8</v>
      </c>
    </row>
    <row r="93" spans="1:5" s="115" customFormat="1" x14ac:dyDescent="0.2">
      <c r="A93" s="21" t="s">
        <v>252</v>
      </c>
      <c r="B93" s="65">
        <v>-12679.49</v>
      </c>
      <c r="C93" s="26" t="s">
        <v>33</v>
      </c>
      <c r="D93" s="115">
        <v>-2</v>
      </c>
      <c r="E93" s="115" t="s">
        <v>253</v>
      </c>
    </row>
    <row r="94" spans="1:5" s="115" customFormat="1" x14ac:dyDescent="0.2">
      <c r="A94" s="21" t="s">
        <v>252</v>
      </c>
      <c r="B94" s="65">
        <v>-230.64</v>
      </c>
      <c r="C94" s="26" t="s">
        <v>254</v>
      </c>
      <c r="D94" s="115">
        <v>-2</v>
      </c>
      <c r="E94" s="115" t="s">
        <v>34</v>
      </c>
    </row>
    <row r="95" spans="1:5" s="115" customFormat="1" x14ac:dyDescent="0.2">
      <c r="A95" s="21" t="s">
        <v>252</v>
      </c>
      <c r="B95" s="65">
        <v>-147.72999999999999</v>
      </c>
      <c r="C95" s="26" t="s">
        <v>255</v>
      </c>
      <c r="D95" s="115">
        <v>-2</v>
      </c>
      <c r="E95" s="115" t="s">
        <v>34</v>
      </c>
    </row>
    <row r="96" spans="1:5" s="115" customFormat="1" x14ac:dyDescent="0.2">
      <c r="A96" s="21" t="s">
        <v>252</v>
      </c>
      <c r="B96" s="65">
        <v>-11</v>
      </c>
      <c r="C96" s="26" t="s">
        <v>256</v>
      </c>
      <c r="D96" s="115">
        <v>-2</v>
      </c>
      <c r="E96" s="115" t="s">
        <v>34</v>
      </c>
    </row>
    <row r="97" spans="1:5" s="115" customFormat="1" x14ac:dyDescent="0.2">
      <c r="A97" s="21" t="s">
        <v>252</v>
      </c>
      <c r="B97" s="65">
        <v>-27420</v>
      </c>
      <c r="C97" s="26" t="s">
        <v>33</v>
      </c>
      <c r="D97" s="115">
        <v>-2</v>
      </c>
      <c r="E97" s="115" t="s">
        <v>257</v>
      </c>
    </row>
    <row r="98" spans="1:5" s="115" customFormat="1" x14ac:dyDescent="0.2">
      <c r="A98" s="21" t="s">
        <v>252</v>
      </c>
      <c r="B98" s="213">
        <v>-2059.1</v>
      </c>
      <c r="C98" s="26" t="s">
        <v>33</v>
      </c>
      <c r="D98" s="115">
        <v>-2</v>
      </c>
      <c r="E98" s="115" t="s">
        <v>258</v>
      </c>
    </row>
    <row r="99" spans="1:5" s="115" customFormat="1" x14ac:dyDescent="0.2">
      <c r="A99" s="21" t="s">
        <v>252</v>
      </c>
      <c r="B99" s="65">
        <v>11248.24</v>
      </c>
      <c r="C99" s="26" t="s">
        <v>33</v>
      </c>
      <c r="D99" s="115">
        <v>2</v>
      </c>
      <c r="E99" s="115" t="s">
        <v>259</v>
      </c>
    </row>
    <row r="100" spans="1:5" s="115" customFormat="1" x14ac:dyDescent="0.2">
      <c r="A100" s="21" t="s">
        <v>252</v>
      </c>
      <c r="B100" s="65">
        <v>1850</v>
      </c>
      <c r="C100" s="26" t="s">
        <v>33</v>
      </c>
      <c r="D100" s="115">
        <v>2</v>
      </c>
      <c r="E100" s="115" t="s">
        <v>260</v>
      </c>
    </row>
    <row r="101" spans="1:5" s="115" customFormat="1" x14ac:dyDescent="0.2">
      <c r="A101" s="21" t="s">
        <v>252</v>
      </c>
      <c r="B101" s="65">
        <v>900</v>
      </c>
      <c r="C101" s="26" t="s">
        <v>33</v>
      </c>
      <c r="D101" s="115">
        <v>2</v>
      </c>
      <c r="E101" s="115" t="s">
        <v>261</v>
      </c>
    </row>
    <row r="102" spans="1:5" s="115" customFormat="1" x14ac:dyDescent="0.2">
      <c r="A102" s="21" t="s">
        <v>252</v>
      </c>
      <c r="B102" s="65">
        <v>30</v>
      </c>
      <c r="C102" s="26" t="s">
        <v>33</v>
      </c>
      <c r="D102" s="115">
        <v>2</v>
      </c>
      <c r="E102" s="115" t="s">
        <v>262</v>
      </c>
    </row>
    <row r="103" spans="1:5" s="115" customFormat="1" x14ac:dyDescent="0.2">
      <c r="A103" s="21" t="s">
        <v>252</v>
      </c>
      <c r="B103" s="65">
        <v>329727.96999999997</v>
      </c>
      <c r="C103" s="26" t="s">
        <v>33</v>
      </c>
      <c r="D103" s="115">
        <v>4</v>
      </c>
      <c r="E103" s="115" t="s">
        <v>37</v>
      </c>
    </row>
    <row r="104" spans="1:5" s="115" customFormat="1" x14ac:dyDescent="0.2">
      <c r="A104" s="21" t="s">
        <v>246</v>
      </c>
      <c r="B104" s="65">
        <v>-285999.34000000003</v>
      </c>
      <c r="C104" s="26" t="s">
        <v>33</v>
      </c>
      <c r="D104" s="115">
        <v>-4</v>
      </c>
      <c r="E104" s="115" t="s">
        <v>8</v>
      </c>
    </row>
    <row r="105" spans="1:5" s="115" customFormat="1" x14ac:dyDescent="0.2">
      <c r="A105" s="21" t="s">
        <v>246</v>
      </c>
      <c r="B105" s="65">
        <v>-8593.83</v>
      </c>
      <c r="C105" s="26" t="s">
        <v>33</v>
      </c>
      <c r="D105" s="115">
        <v>-2</v>
      </c>
      <c r="E105" s="115" t="s">
        <v>247</v>
      </c>
    </row>
    <row r="106" spans="1:5" s="115" customFormat="1" x14ac:dyDescent="0.2">
      <c r="A106" s="21" t="s">
        <v>246</v>
      </c>
      <c r="B106" s="65">
        <v>-102</v>
      </c>
      <c r="C106" s="26" t="s">
        <v>248</v>
      </c>
      <c r="D106" s="115">
        <v>-2</v>
      </c>
      <c r="E106" s="115" t="s">
        <v>34</v>
      </c>
    </row>
    <row r="107" spans="1:5" s="115" customFormat="1" x14ac:dyDescent="0.2">
      <c r="A107" s="21" t="s">
        <v>246</v>
      </c>
      <c r="B107" s="65">
        <v>-11063.08</v>
      </c>
      <c r="C107" s="26" t="s">
        <v>33</v>
      </c>
      <c r="D107" s="115">
        <v>-2</v>
      </c>
      <c r="E107" s="115" t="s">
        <v>249</v>
      </c>
    </row>
    <row r="108" spans="1:5" s="115" customFormat="1" x14ac:dyDescent="0.2">
      <c r="A108" s="21" t="s">
        <v>246</v>
      </c>
      <c r="B108" s="65">
        <v>3000</v>
      </c>
      <c r="C108" s="26" t="s">
        <v>33</v>
      </c>
      <c r="D108" s="115">
        <v>2</v>
      </c>
      <c r="E108" s="115" t="s">
        <v>250</v>
      </c>
    </row>
    <row r="109" spans="1:5" s="115" customFormat="1" x14ac:dyDescent="0.2">
      <c r="A109" s="21" t="s">
        <v>246</v>
      </c>
      <c r="B109" s="65">
        <v>1550</v>
      </c>
      <c r="C109" s="26" t="s">
        <v>33</v>
      </c>
      <c r="D109" s="115">
        <v>2</v>
      </c>
      <c r="E109" s="115" t="s">
        <v>251</v>
      </c>
    </row>
    <row r="110" spans="1:5" s="115" customFormat="1" x14ac:dyDescent="0.2">
      <c r="A110" s="21" t="s">
        <v>246</v>
      </c>
      <c r="B110" s="65">
        <v>301208.25</v>
      </c>
      <c r="C110" s="26" t="s">
        <v>33</v>
      </c>
      <c r="D110" s="115">
        <v>4</v>
      </c>
      <c r="E110" s="115" t="s">
        <v>37</v>
      </c>
    </row>
    <row r="111" spans="1:5" s="115" customFormat="1" x14ac:dyDescent="0.2">
      <c r="A111" s="21" t="s">
        <v>241</v>
      </c>
      <c r="B111" s="65">
        <v>-295904.73</v>
      </c>
      <c r="C111" s="26" t="s">
        <v>33</v>
      </c>
      <c r="D111" s="115">
        <v>-4</v>
      </c>
      <c r="E111" s="115" t="s">
        <v>8</v>
      </c>
    </row>
    <row r="112" spans="1:5" s="115" customFormat="1" x14ac:dyDescent="0.2">
      <c r="A112" s="21" t="s">
        <v>241</v>
      </c>
      <c r="B112" s="65">
        <v>-2531.86</v>
      </c>
      <c r="C112" s="26" t="s">
        <v>33</v>
      </c>
      <c r="D112" s="115">
        <v>-2</v>
      </c>
      <c r="E112" s="115" t="s">
        <v>242</v>
      </c>
    </row>
    <row r="113" spans="1:5" s="115" customFormat="1" x14ac:dyDescent="0.2">
      <c r="A113" s="21" t="s">
        <v>241</v>
      </c>
      <c r="B113" s="65">
        <v>9327.2900000000009</v>
      </c>
      <c r="C113" s="26" t="s">
        <v>33</v>
      </c>
      <c r="D113" s="115">
        <v>2</v>
      </c>
      <c r="E113" s="115" t="s">
        <v>243</v>
      </c>
    </row>
    <row r="114" spans="1:5" s="115" customFormat="1" x14ac:dyDescent="0.2">
      <c r="A114" s="21" t="s">
        <v>241</v>
      </c>
      <c r="B114" s="65">
        <v>1850</v>
      </c>
      <c r="C114" s="26" t="s">
        <v>33</v>
      </c>
      <c r="D114" s="115">
        <v>2</v>
      </c>
      <c r="E114" s="115" t="s">
        <v>244</v>
      </c>
    </row>
    <row r="115" spans="1:5" s="115" customFormat="1" x14ac:dyDescent="0.2">
      <c r="A115" s="21" t="s">
        <v>241</v>
      </c>
      <c r="B115" s="65">
        <v>1259.96</v>
      </c>
      <c r="C115" s="26" t="s">
        <v>33</v>
      </c>
      <c r="D115" s="115">
        <v>2</v>
      </c>
      <c r="E115" s="115" t="s">
        <v>245</v>
      </c>
    </row>
    <row r="116" spans="1:5" s="115" customFormat="1" x14ac:dyDescent="0.2">
      <c r="A116" s="21" t="s">
        <v>241</v>
      </c>
      <c r="B116" s="65">
        <v>285999.34000000003</v>
      </c>
      <c r="C116" s="26" t="s">
        <v>33</v>
      </c>
      <c r="D116" s="115">
        <v>4</v>
      </c>
      <c r="E116" s="115" t="s">
        <v>37</v>
      </c>
    </row>
    <row r="117" spans="1:5" s="115" customFormat="1" x14ac:dyDescent="0.2">
      <c r="A117" s="21" t="s">
        <v>237</v>
      </c>
      <c r="B117" s="65">
        <v>-304240.03000000003</v>
      </c>
      <c r="C117" s="26" t="s">
        <v>33</v>
      </c>
      <c r="D117" s="115">
        <v>-4</v>
      </c>
      <c r="E117" s="115" t="s">
        <v>8</v>
      </c>
    </row>
    <row r="118" spans="1:5" s="115" customFormat="1" x14ac:dyDescent="0.2">
      <c r="A118" s="21" t="s">
        <v>237</v>
      </c>
      <c r="B118" s="210">
        <v>-167.55</v>
      </c>
      <c r="C118" s="26" t="s">
        <v>33</v>
      </c>
      <c r="D118" s="115">
        <v>-2</v>
      </c>
      <c r="E118" s="115" t="s">
        <v>238</v>
      </c>
    </row>
    <row r="119" spans="1:5" s="115" customFormat="1" x14ac:dyDescent="0.2">
      <c r="A119" s="21" t="s">
        <v>237</v>
      </c>
      <c r="B119" s="65">
        <v>7550</v>
      </c>
      <c r="C119" s="26" t="s">
        <v>33</v>
      </c>
      <c r="D119" s="115">
        <v>2</v>
      </c>
      <c r="E119" s="115" t="s">
        <v>239</v>
      </c>
    </row>
    <row r="120" spans="1:5" s="115" customFormat="1" x14ac:dyDescent="0.2">
      <c r="A120" s="21" t="s">
        <v>237</v>
      </c>
      <c r="B120" s="65">
        <v>952.85</v>
      </c>
      <c r="C120" s="26" t="s">
        <v>33</v>
      </c>
      <c r="D120" s="115">
        <v>2</v>
      </c>
      <c r="E120" s="115" t="s">
        <v>240</v>
      </c>
    </row>
    <row r="121" spans="1:5" s="115" customFormat="1" x14ac:dyDescent="0.2">
      <c r="A121" s="21" t="s">
        <v>237</v>
      </c>
      <c r="B121" s="65">
        <v>295904.73</v>
      </c>
      <c r="C121" s="26" t="s">
        <v>33</v>
      </c>
      <c r="D121" s="115">
        <v>4</v>
      </c>
      <c r="E121" s="115" t="s">
        <v>37</v>
      </c>
    </row>
    <row r="122" spans="1:5" s="115" customFormat="1" x14ac:dyDescent="0.2">
      <c r="A122" s="21" t="s">
        <v>228</v>
      </c>
      <c r="B122" s="65">
        <v>-328213.59000000003</v>
      </c>
      <c r="C122" s="26" t="s">
        <v>33</v>
      </c>
      <c r="D122" s="115">
        <v>-4</v>
      </c>
      <c r="E122" s="115" t="s">
        <v>8</v>
      </c>
    </row>
    <row r="123" spans="1:5" s="115" customFormat="1" x14ac:dyDescent="0.2">
      <c r="A123" s="21" t="s">
        <v>228</v>
      </c>
      <c r="B123" s="65">
        <v>-707.49</v>
      </c>
      <c r="C123" s="26" t="s">
        <v>229</v>
      </c>
      <c r="D123" s="115">
        <v>-2</v>
      </c>
      <c r="E123" s="115" t="s">
        <v>34</v>
      </c>
    </row>
    <row r="124" spans="1:5" s="115" customFormat="1" x14ac:dyDescent="0.2">
      <c r="A124" s="21" t="s">
        <v>228</v>
      </c>
      <c r="B124" s="65">
        <v>-668.14</v>
      </c>
      <c r="C124" s="26" t="s">
        <v>230</v>
      </c>
      <c r="D124" s="115">
        <v>-2</v>
      </c>
      <c r="E124" s="115" t="s">
        <v>34</v>
      </c>
    </row>
    <row r="125" spans="1:5" s="115" customFormat="1" x14ac:dyDescent="0.2">
      <c r="A125" s="21" t="s">
        <v>228</v>
      </c>
      <c r="B125" s="65">
        <v>-222.93</v>
      </c>
      <c r="C125" s="26" t="s">
        <v>231</v>
      </c>
      <c r="D125" s="115">
        <v>-2</v>
      </c>
      <c r="E125" s="115" t="s">
        <v>34</v>
      </c>
    </row>
    <row r="126" spans="1:5" s="115" customFormat="1" x14ac:dyDescent="0.2">
      <c r="A126" s="21" t="s">
        <v>228</v>
      </c>
      <c r="B126" s="65">
        <v>-6000</v>
      </c>
      <c r="C126" s="26" t="s">
        <v>33</v>
      </c>
      <c r="D126" s="115">
        <v>-2</v>
      </c>
      <c r="E126" s="115" t="s">
        <v>232</v>
      </c>
    </row>
    <row r="127" spans="1:5" s="115" customFormat="1" x14ac:dyDescent="0.2">
      <c r="A127" s="21" t="s">
        <v>228</v>
      </c>
      <c r="B127" s="65">
        <v>27420</v>
      </c>
      <c r="C127" s="26" t="s">
        <v>33</v>
      </c>
      <c r="D127" s="115">
        <v>2</v>
      </c>
      <c r="E127" s="115" t="s">
        <v>233</v>
      </c>
    </row>
    <row r="128" spans="1:5" s="115" customFormat="1" x14ac:dyDescent="0.2">
      <c r="A128" s="21" t="s">
        <v>228</v>
      </c>
      <c r="B128" s="65">
        <v>2050</v>
      </c>
      <c r="C128" s="26" t="s">
        <v>33</v>
      </c>
      <c r="D128" s="115">
        <v>2</v>
      </c>
      <c r="E128" s="115" t="s">
        <v>234</v>
      </c>
    </row>
    <row r="129" spans="1:5" s="115" customFormat="1" x14ac:dyDescent="0.2">
      <c r="A129" s="21" t="s">
        <v>228</v>
      </c>
      <c r="B129" s="65">
        <v>1333.63</v>
      </c>
      <c r="C129" s="26" t="s">
        <v>33</v>
      </c>
      <c r="D129" s="115">
        <v>2</v>
      </c>
      <c r="E129" s="115" t="s">
        <v>235</v>
      </c>
    </row>
    <row r="130" spans="1:5" s="115" customFormat="1" x14ac:dyDescent="0.2">
      <c r="A130" s="21" t="s">
        <v>228</v>
      </c>
      <c r="B130" s="65">
        <v>768.49</v>
      </c>
      <c r="C130" s="26" t="s">
        <v>33</v>
      </c>
      <c r="D130" s="115">
        <v>2</v>
      </c>
      <c r="E130" s="115" t="s">
        <v>236</v>
      </c>
    </row>
    <row r="131" spans="1:5" s="115" customFormat="1" x14ac:dyDescent="0.2">
      <c r="A131" s="21" t="s">
        <v>228</v>
      </c>
      <c r="B131" s="65">
        <v>304240.03000000003</v>
      </c>
      <c r="C131" s="26" t="s">
        <v>33</v>
      </c>
      <c r="D131" s="115">
        <v>4</v>
      </c>
      <c r="E131" s="115" t="s">
        <v>37</v>
      </c>
    </row>
    <row r="132" spans="1:5" s="115" customFormat="1" x14ac:dyDescent="0.2">
      <c r="A132" s="21" t="s">
        <v>221</v>
      </c>
      <c r="B132" s="65">
        <v>-330951.21000000002</v>
      </c>
      <c r="C132" s="26" t="s">
        <v>33</v>
      </c>
      <c r="D132" s="115">
        <v>-4</v>
      </c>
      <c r="E132" s="115" t="s">
        <v>8</v>
      </c>
    </row>
    <row r="133" spans="1:5" s="115" customFormat="1" x14ac:dyDescent="0.2">
      <c r="A133" s="21" t="s">
        <v>221</v>
      </c>
      <c r="B133" s="65">
        <v>-1750</v>
      </c>
      <c r="C133" s="26" t="s">
        <v>33</v>
      </c>
      <c r="D133" s="115">
        <v>-2</v>
      </c>
      <c r="E133" s="115" t="s">
        <v>222</v>
      </c>
    </row>
    <row r="134" spans="1:5" s="115" customFormat="1" x14ac:dyDescent="0.2">
      <c r="A134" s="21" t="s">
        <v>221</v>
      </c>
      <c r="B134" s="65">
        <v>-432.45</v>
      </c>
      <c r="C134" s="26" t="s">
        <v>223</v>
      </c>
      <c r="D134" s="115">
        <v>-2</v>
      </c>
      <c r="E134" s="115" t="s">
        <v>34</v>
      </c>
    </row>
    <row r="135" spans="1:5" s="115" customFormat="1" x14ac:dyDescent="0.2">
      <c r="A135" s="21" t="s">
        <v>221</v>
      </c>
      <c r="B135" s="65">
        <v>-38.35</v>
      </c>
      <c r="C135" s="26" t="s">
        <v>224</v>
      </c>
      <c r="D135" s="115">
        <v>-2</v>
      </c>
      <c r="E135" s="115" t="s">
        <v>34</v>
      </c>
    </row>
    <row r="136" spans="1:5" s="115" customFormat="1" x14ac:dyDescent="0.2">
      <c r="A136" s="21" t="s">
        <v>221</v>
      </c>
      <c r="B136" s="65">
        <v>-13.5</v>
      </c>
      <c r="C136" s="26" t="s">
        <v>225</v>
      </c>
      <c r="D136" s="115">
        <v>-2</v>
      </c>
      <c r="E136" s="115" t="s">
        <v>34</v>
      </c>
    </row>
    <row r="137" spans="1:5" s="115" customFormat="1" x14ac:dyDescent="0.2">
      <c r="A137" s="21" t="s">
        <v>221</v>
      </c>
      <c r="B137" s="65">
        <v>-13.5</v>
      </c>
      <c r="C137" s="26" t="s">
        <v>226</v>
      </c>
      <c r="D137" s="115">
        <v>-2</v>
      </c>
      <c r="E137" s="115" t="s">
        <v>34</v>
      </c>
    </row>
    <row r="138" spans="1:5" s="115" customFormat="1" x14ac:dyDescent="0.2">
      <c r="A138" s="21" t="s">
        <v>221</v>
      </c>
      <c r="B138" s="65">
        <v>4985.42</v>
      </c>
      <c r="C138" s="26" t="s">
        <v>33</v>
      </c>
      <c r="D138" s="115">
        <v>2</v>
      </c>
      <c r="E138" s="115" t="s">
        <v>227</v>
      </c>
    </row>
    <row r="139" spans="1:5" s="115" customFormat="1" x14ac:dyDescent="0.2">
      <c r="A139" s="21" t="s">
        <v>221</v>
      </c>
      <c r="B139" s="65">
        <v>328213.59000000003</v>
      </c>
      <c r="C139" s="26" t="s">
        <v>33</v>
      </c>
      <c r="D139" s="115">
        <v>4</v>
      </c>
      <c r="E139" s="115" t="s">
        <v>37</v>
      </c>
    </row>
    <row r="140" spans="1:5" s="115" customFormat="1" x14ac:dyDescent="0.2">
      <c r="A140" s="21" t="s">
        <v>217</v>
      </c>
      <c r="B140" s="65">
        <v>-333050.64</v>
      </c>
      <c r="C140" s="26" t="s">
        <v>33</v>
      </c>
      <c r="D140" s="115">
        <v>-4</v>
      </c>
      <c r="E140" s="115" t="s">
        <v>8</v>
      </c>
    </row>
    <row r="141" spans="1:5" s="115" customFormat="1" x14ac:dyDescent="0.2">
      <c r="A141" s="21" t="s">
        <v>217</v>
      </c>
      <c r="B141" s="65">
        <v>-202.82</v>
      </c>
      <c r="C141" s="26" t="s">
        <v>33</v>
      </c>
      <c r="D141" s="115">
        <v>-2</v>
      </c>
      <c r="E141" s="115" t="s">
        <v>218</v>
      </c>
    </row>
    <row r="142" spans="1:5" s="115" customFormat="1" x14ac:dyDescent="0.2">
      <c r="A142" s="21" t="s">
        <v>217</v>
      </c>
      <c r="B142" s="65">
        <v>1500</v>
      </c>
      <c r="C142" s="26" t="s">
        <v>33</v>
      </c>
      <c r="D142" s="115">
        <v>2</v>
      </c>
      <c r="E142" s="115" t="s">
        <v>219</v>
      </c>
    </row>
    <row r="143" spans="1:5" s="115" customFormat="1" x14ac:dyDescent="0.2">
      <c r="A143" s="21" t="s">
        <v>217</v>
      </c>
      <c r="B143" s="65">
        <v>802.25</v>
      </c>
      <c r="C143" s="26" t="s">
        <v>33</v>
      </c>
      <c r="D143" s="115">
        <v>2</v>
      </c>
      <c r="E143" s="115" t="s">
        <v>220</v>
      </c>
    </row>
    <row r="144" spans="1:5" s="115" customFormat="1" x14ac:dyDescent="0.2">
      <c r="A144" s="21" t="s">
        <v>217</v>
      </c>
      <c r="B144" s="65">
        <v>330951.21000000002</v>
      </c>
      <c r="C144" s="26" t="s">
        <v>33</v>
      </c>
      <c r="D144" s="115">
        <v>4</v>
      </c>
      <c r="E144" s="115" t="s">
        <v>37</v>
      </c>
    </row>
    <row r="145" spans="1:5" s="115" customFormat="1" x14ac:dyDescent="0.2">
      <c r="A145" s="21" t="s">
        <v>215</v>
      </c>
      <c r="B145" s="65">
        <v>-338464.57</v>
      </c>
      <c r="C145" s="26" t="s">
        <v>33</v>
      </c>
      <c r="D145" s="115">
        <v>-4</v>
      </c>
      <c r="E145" s="115" t="s">
        <v>8</v>
      </c>
    </row>
    <row r="146" spans="1:5" s="115" customFormat="1" x14ac:dyDescent="0.2">
      <c r="A146" s="21" t="s">
        <v>215</v>
      </c>
      <c r="B146" s="195">
        <v>5413.93</v>
      </c>
      <c r="C146" s="26" t="s">
        <v>33</v>
      </c>
      <c r="D146" s="115">
        <v>2</v>
      </c>
      <c r="E146" s="115" t="s">
        <v>216</v>
      </c>
    </row>
    <row r="147" spans="1:5" s="115" customFormat="1" x14ac:dyDescent="0.2">
      <c r="A147" s="21" t="s">
        <v>215</v>
      </c>
      <c r="B147" s="65">
        <v>333050.64</v>
      </c>
      <c r="C147" s="26" t="s">
        <v>33</v>
      </c>
      <c r="D147" s="115">
        <v>4</v>
      </c>
      <c r="E147" s="115" t="s">
        <v>37</v>
      </c>
    </row>
    <row r="148" spans="1:5" s="115" customFormat="1" x14ac:dyDescent="0.2">
      <c r="A148" s="21" t="s">
        <v>212</v>
      </c>
      <c r="B148" s="65">
        <v>-342522.52</v>
      </c>
      <c r="C148" s="26" t="s">
        <v>33</v>
      </c>
      <c r="D148" s="115">
        <v>-4</v>
      </c>
      <c r="E148" s="115" t="s">
        <v>8</v>
      </c>
    </row>
    <row r="149" spans="1:5" s="115" customFormat="1" x14ac:dyDescent="0.2">
      <c r="A149" s="21" t="s">
        <v>212</v>
      </c>
      <c r="B149" s="65">
        <v>2213.91</v>
      </c>
      <c r="C149" s="26" t="s">
        <v>33</v>
      </c>
      <c r="D149" s="115">
        <v>2</v>
      </c>
      <c r="E149" s="115" t="s">
        <v>213</v>
      </c>
    </row>
    <row r="150" spans="1:5" s="115" customFormat="1" x14ac:dyDescent="0.2">
      <c r="A150" s="21" t="s">
        <v>212</v>
      </c>
      <c r="B150" s="65">
        <v>1844.04</v>
      </c>
      <c r="C150" s="26" t="s">
        <v>33</v>
      </c>
      <c r="D150" s="115">
        <v>2</v>
      </c>
      <c r="E150" s="115" t="s">
        <v>214</v>
      </c>
    </row>
    <row r="151" spans="1:5" s="115" customFormat="1" x14ac:dyDescent="0.2">
      <c r="A151" s="21" t="s">
        <v>212</v>
      </c>
      <c r="B151" s="65">
        <v>338464.57</v>
      </c>
      <c r="C151" s="26" t="s">
        <v>33</v>
      </c>
      <c r="D151" s="115">
        <v>4</v>
      </c>
      <c r="E151" s="115" t="s">
        <v>37</v>
      </c>
    </row>
    <row r="152" spans="1:5" s="115" customFormat="1" x14ac:dyDescent="0.2">
      <c r="A152" s="21" t="s">
        <v>204</v>
      </c>
      <c r="B152" s="65">
        <v>-346272.32</v>
      </c>
      <c r="C152" s="26" t="s">
        <v>33</v>
      </c>
      <c r="D152" s="115">
        <v>-4</v>
      </c>
      <c r="E152" s="115" t="s">
        <v>8</v>
      </c>
    </row>
    <row r="153" spans="1:5" s="115" customFormat="1" x14ac:dyDescent="0.2">
      <c r="A153" s="21" t="s">
        <v>204</v>
      </c>
      <c r="B153" s="65">
        <v>-10273.92</v>
      </c>
      <c r="C153" s="26" t="s">
        <v>205</v>
      </c>
      <c r="D153" s="115">
        <v>-2</v>
      </c>
      <c r="E153" s="115" t="s">
        <v>34</v>
      </c>
    </row>
    <row r="154" spans="1:5" s="115" customFormat="1" x14ac:dyDescent="0.2">
      <c r="A154" s="21" t="s">
        <v>204</v>
      </c>
      <c r="B154" s="65">
        <v>-899.42</v>
      </c>
      <c r="C154" s="26" t="s">
        <v>206</v>
      </c>
      <c r="D154" s="115">
        <v>-2</v>
      </c>
      <c r="E154" s="115" t="s">
        <v>34</v>
      </c>
    </row>
    <row r="155" spans="1:5" s="115" customFormat="1" x14ac:dyDescent="0.2">
      <c r="A155" s="21" t="s">
        <v>204</v>
      </c>
      <c r="B155" s="65">
        <v>-277.5</v>
      </c>
      <c r="C155" s="26" t="s">
        <v>207</v>
      </c>
      <c r="D155" s="115">
        <v>-2</v>
      </c>
      <c r="E155" s="115" t="s">
        <v>34</v>
      </c>
    </row>
    <row r="156" spans="1:5" s="115" customFormat="1" x14ac:dyDescent="0.2">
      <c r="A156" s="21" t="s">
        <v>204</v>
      </c>
      <c r="B156" s="65">
        <v>-253.8</v>
      </c>
      <c r="C156" s="26" t="s">
        <v>208</v>
      </c>
      <c r="D156" s="115">
        <v>-2</v>
      </c>
      <c r="E156" s="115" t="s">
        <v>34</v>
      </c>
    </row>
    <row r="157" spans="1:5" s="115" customFormat="1" x14ac:dyDescent="0.2">
      <c r="A157" s="21" t="s">
        <v>204</v>
      </c>
      <c r="B157" s="65">
        <v>8295.67</v>
      </c>
      <c r="C157" s="26" t="s">
        <v>33</v>
      </c>
      <c r="D157" s="115">
        <v>2</v>
      </c>
      <c r="E157" s="115" t="s">
        <v>209</v>
      </c>
    </row>
    <row r="158" spans="1:5" s="115" customFormat="1" x14ac:dyDescent="0.2">
      <c r="A158" s="21" t="s">
        <v>204</v>
      </c>
      <c r="B158" s="196">
        <v>5597.54</v>
      </c>
      <c r="C158" s="26" t="s">
        <v>33</v>
      </c>
      <c r="D158" s="115">
        <v>2</v>
      </c>
      <c r="E158" s="115" t="s">
        <v>210</v>
      </c>
    </row>
    <row r="159" spans="1:5" s="115" customFormat="1" x14ac:dyDescent="0.2">
      <c r="A159" s="21" t="s">
        <v>204</v>
      </c>
      <c r="B159" s="65">
        <v>1561.23</v>
      </c>
      <c r="C159" s="26" t="s">
        <v>33</v>
      </c>
      <c r="D159" s="115">
        <v>2</v>
      </c>
      <c r="E159" s="115" t="s">
        <v>211</v>
      </c>
    </row>
    <row r="160" spans="1:5" s="115" customFormat="1" x14ac:dyDescent="0.2">
      <c r="A160" s="21" t="s">
        <v>204</v>
      </c>
      <c r="B160" s="65">
        <v>342522.52</v>
      </c>
      <c r="C160" s="26" t="s">
        <v>33</v>
      </c>
      <c r="D160" s="115">
        <v>4</v>
      </c>
      <c r="E160" s="115" t="s">
        <v>37</v>
      </c>
    </row>
    <row r="161" spans="1:5" s="115" customFormat="1" x14ac:dyDescent="0.2">
      <c r="A161" s="21" t="s">
        <v>197</v>
      </c>
      <c r="B161" s="65">
        <v>-428548.32</v>
      </c>
      <c r="C161" s="26" t="s">
        <v>33</v>
      </c>
      <c r="D161" s="115">
        <v>-1</v>
      </c>
      <c r="E161" s="115" t="s">
        <v>8</v>
      </c>
    </row>
    <row r="162" spans="1:5" s="115" customFormat="1" x14ac:dyDescent="0.2">
      <c r="A162" s="21" t="s">
        <v>197</v>
      </c>
      <c r="B162" s="65">
        <v>-27.48</v>
      </c>
      <c r="C162" s="26" t="s">
        <v>198</v>
      </c>
      <c r="D162" s="115">
        <v>-2</v>
      </c>
      <c r="E162" s="115" t="s">
        <v>34</v>
      </c>
    </row>
    <row r="163" spans="1:5" s="115" customFormat="1" x14ac:dyDescent="0.2">
      <c r="A163" s="21" t="s">
        <v>197</v>
      </c>
      <c r="B163" s="208">
        <v>-1521.47</v>
      </c>
      <c r="C163" s="26" t="s">
        <v>33</v>
      </c>
      <c r="D163" s="115">
        <v>-2</v>
      </c>
      <c r="E163" s="115" t="s">
        <v>199</v>
      </c>
    </row>
    <row r="164" spans="1:5" s="115" customFormat="1" x14ac:dyDescent="0.2">
      <c r="A164" s="21" t="s">
        <v>197</v>
      </c>
      <c r="B164" s="65">
        <v>48462.1</v>
      </c>
      <c r="C164" s="26" t="s">
        <v>33</v>
      </c>
      <c r="D164" s="115">
        <v>2</v>
      </c>
      <c r="E164" s="115" t="s">
        <v>200</v>
      </c>
    </row>
    <row r="165" spans="1:5" s="115" customFormat="1" x14ac:dyDescent="0.2">
      <c r="A165" s="21" t="s">
        <v>197</v>
      </c>
      <c r="B165" s="65">
        <v>27420</v>
      </c>
      <c r="C165" s="26" t="s">
        <v>33</v>
      </c>
      <c r="D165" s="115">
        <v>2</v>
      </c>
      <c r="E165" s="115" t="s">
        <v>201</v>
      </c>
    </row>
    <row r="166" spans="1:5" s="115" customFormat="1" x14ac:dyDescent="0.2">
      <c r="A166" s="21" t="s">
        <v>197</v>
      </c>
      <c r="B166" s="198">
        <v>6242.85</v>
      </c>
      <c r="C166" s="26" t="s">
        <v>33</v>
      </c>
      <c r="D166" s="115">
        <v>2</v>
      </c>
      <c r="E166" s="115" t="s">
        <v>202</v>
      </c>
    </row>
    <row r="167" spans="1:5" s="115" customFormat="1" x14ac:dyDescent="0.2">
      <c r="A167" s="21" t="s">
        <v>197</v>
      </c>
      <c r="B167" s="65">
        <v>1700</v>
      </c>
      <c r="C167" s="26" t="s">
        <v>33</v>
      </c>
      <c r="D167" s="115">
        <v>2</v>
      </c>
      <c r="E167" s="115" t="s">
        <v>203</v>
      </c>
    </row>
    <row r="168" spans="1:5" s="115" customFormat="1" x14ac:dyDescent="0.2">
      <c r="A168" s="21" t="s">
        <v>197</v>
      </c>
      <c r="B168" s="65">
        <v>346272.32</v>
      </c>
      <c r="C168" s="26" t="s">
        <v>33</v>
      </c>
      <c r="D168" s="115">
        <v>4</v>
      </c>
      <c r="E168" s="115" t="s">
        <v>37</v>
      </c>
    </row>
    <row r="169" spans="1:5" s="115" customFormat="1" x14ac:dyDescent="0.2">
      <c r="A169" s="21"/>
      <c r="B169" s="65"/>
      <c r="C169" s="26"/>
    </row>
    <row r="170" spans="1:5" s="115" customFormat="1" x14ac:dyDescent="0.2">
      <c r="A170" s="21"/>
      <c r="B170" s="65"/>
      <c r="C170" s="26"/>
    </row>
    <row r="171" spans="1:5" s="115" customFormat="1" ht="13.5" thickBot="1" x14ac:dyDescent="0.25">
      <c r="A171" s="56">
        <v>1</v>
      </c>
      <c r="B171" s="149">
        <f>+SUMIF(E2:E168,1,B2:B168)</f>
        <v>0</v>
      </c>
      <c r="C171" s="148" t="s">
        <v>38</v>
      </c>
    </row>
    <row r="172" spans="1:5" s="115" customFormat="1" ht="13.5" thickTop="1" x14ac:dyDescent="0.2">
      <c r="A172" s="21"/>
      <c r="B172" s="65"/>
      <c r="C172" s="148"/>
    </row>
    <row r="173" spans="1:5" s="115" customFormat="1" ht="13.5" thickBot="1" x14ac:dyDescent="0.25">
      <c r="A173" s="56">
        <v>-1</v>
      </c>
      <c r="B173" s="149">
        <f>+SUMIF(E2:E168,-1,B2:B168)</f>
        <v>0</v>
      </c>
      <c r="C173" s="148" t="s">
        <v>39</v>
      </c>
    </row>
    <row r="174" spans="1:5" s="115" customFormat="1" ht="13.5" thickTop="1" x14ac:dyDescent="0.2">
      <c r="A174" s="21"/>
      <c r="B174" s="65"/>
      <c r="C174" s="26"/>
    </row>
    <row r="175" spans="1:5" s="115" customFormat="1" x14ac:dyDescent="0.2">
      <c r="A175" s="21"/>
      <c r="B175" s="65"/>
      <c r="C175" s="26"/>
    </row>
    <row r="176" spans="1:5" s="115" customFormat="1" x14ac:dyDescent="0.2">
      <c r="A176" s="21"/>
      <c r="B176" s="65"/>
      <c r="C176" s="26"/>
    </row>
    <row r="177" spans="1:3" s="115" customFormat="1" x14ac:dyDescent="0.2">
      <c r="A177" s="21"/>
      <c r="B177" s="65"/>
      <c r="C177" s="26"/>
    </row>
    <row r="178" spans="1:3" s="115" customFormat="1" x14ac:dyDescent="0.2">
      <c r="A178" s="21"/>
      <c r="B178" s="65"/>
      <c r="C178" s="26"/>
    </row>
    <row r="179" spans="1:3" s="115" customFormat="1" x14ac:dyDescent="0.2">
      <c r="A179" s="21"/>
      <c r="B179" s="65"/>
      <c r="C179" s="26"/>
    </row>
    <row r="180" spans="1:3" s="115" customFormat="1" x14ac:dyDescent="0.2">
      <c r="A180" s="21"/>
      <c r="B180" s="65"/>
      <c r="C180" s="26"/>
    </row>
    <row r="181" spans="1:3" s="115" customFormat="1" x14ac:dyDescent="0.2">
      <c r="A181" s="21"/>
      <c r="B181" s="65"/>
      <c r="C181" s="26"/>
    </row>
    <row r="182" spans="1:3" s="115" customFormat="1" x14ac:dyDescent="0.2">
      <c r="A182" s="21"/>
      <c r="B182" s="65"/>
      <c r="C182" s="26"/>
    </row>
    <row r="183" spans="1:3" s="115" customFormat="1" x14ac:dyDescent="0.2">
      <c r="A183" s="21"/>
      <c r="B183" s="65"/>
      <c r="C183" s="26"/>
    </row>
    <row r="184" spans="1:3" s="115" customFormat="1" x14ac:dyDescent="0.2">
      <c r="A184" s="21"/>
      <c r="B184" s="65"/>
      <c r="C184" s="26"/>
    </row>
    <row r="185" spans="1:3" s="115" customFormat="1" x14ac:dyDescent="0.2">
      <c r="A185" s="21"/>
      <c r="B185" s="65"/>
      <c r="C185" s="26"/>
    </row>
    <row r="186" spans="1:3" s="115" customFormat="1" x14ac:dyDescent="0.2">
      <c r="A186" s="21"/>
      <c r="B186" s="65"/>
      <c r="C186" s="26"/>
    </row>
    <row r="187" spans="1:3" s="115" customFormat="1" x14ac:dyDescent="0.2">
      <c r="A187" s="21"/>
      <c r="B187" s="65"/>
      <c r="C187" s="26"/>
    </row>
    <row r="188" spans="1:3" s="115" customFormat="1" x14ac:dyDescent="0.2">
      <c r="A188" s="21"/>
      <c r="B188" s="65"/>
      <c r="C188" s="26"/>
    </row>
    <row r="189" spans="1:3" s="115" customFormat="1" x14ac:dyDescent="0.2">
      <c r="A189" s="21"/>
      <c r="B189" s="65"/>
      <c r="C189" s="26"/>
    </row>
    <row r="190" spans="1:3" s="115" customFormat="1" x14ac:dyDescent="0.2">
      <c r="A190" s="21"/>
      <c r="B190" s="65"/>
      <c r="C190" s="26"/>
    </row>
    <row r="191" spans="1:3" s="115" customFormat="1" x14ac:dyDescent="0.2">
      <c r="A191" s="21"/>
      <c r="B191" s="65"/>
      <c r="C191" s="26"/>
    </row>
    <row r="192" spans="1:3" s="115" customFormat="1" x14ac:dyDescent="0.2">
      <c r="A192" s="21"/>
      <c r="B192" s="65"/>
      <c r="C192" s="26"/>
    </row>
    <row r="193" spans="1:3" s="115" customFormat="1" x14ac:dyDescent="0.2">
      <c r="A193" s="21"/>
      <c r="B193" s="65"/>
      <c r="C193" s="26"/>
    </row>
    <row r="194" spans="1:3" s="115" customFormat="1" x14ac:dyDescent="0.2">
      <c r="A194" s="21"/>
      <c r="B194" s="65"/>
      <c r="C194" s="26"/>
    </row>
    <row r="195" spans="1:3" s="115" customFormat="1" x14ac:dyDescent="0.2">
      <c r="A195" s="21"/>
      <c r="B195" s="65"/>
      <c r="C195" s="26"/>
    </row>
    <row r="196" spans="1:3" s="115" customFormat="1" x14ac:dyDescent="0.2">
      <c r="A196" s="21"/>
      <c r="B196" s="65"/>
      <c r="C196" s="26"/>
    </row>
    <row r="197" spans="1:3" s="115" customFormat="1" x14ac:dyDescent="0.2">
      <c r="A197" s="21"/>
      <c r="B197" s="65"/>
      <c r="C197" s="26"/>
    </row>
    <row r="198" spans="1:3" s="115" customFormat="1" x14ac:dyDescent="0.2">
      <c r="A198" s="21"/>
      <c r="B198" s="65"/>
      <c r="C198" s="26"/>
    </row>
    <row r="199" spans="1:3" s="115" customFormat="1" x14ac:dyDescent="0.2">
      <c r="A199" s="21"/>
      <c r="B199" s="65"/>
      <c r="C199" s="26"/>
    </row>
    <row r="200" spans="1:3" s="115" customFormat="1" x14ac:dyDescent="0.2">
      <c r="A200" s="21"/>
      <c r="B200" s="65"/>
      <c r="C200" s="26"/>
    </row>
    <row r="201" spans="1:3" s="115" customFormat="1" x14ac:dyDescent="0.2">
      <c r="A201" s="21"/>
      <c r="B201" s="65"/>
      <c r="C201" s="26"/>
    </row>
    <row r="202" spans="1:3" s="115" customFormat="1" x14ac:dyDescent="0.2">
      <c r="A202" s="21"/>
      <c r="B202" s="65"/>
      <c r="C202" s="26"/>
    </row>
    <row r="203" spans="1:3" s="115" customFormat="1" x14ac:dyDescent="0.2">
      <c r="A203" s="21"/>
      <c r="B203" s="65"/>
      <c r="C203" s="26"/>
    </row>
    <row r="204" spans="1:3" s="115" customFormat="1" x14ac:dyDescent="0.2">
      <c r="A204" s="21"/>
      <c r="B204" s="65"/>
      <c r="C204" s="26"/>
    </row>
    <row r="205" spans="1:3" s="115" customFormat="1" x14ac:dyDescent="0.2">
      <c r="A205" s="21"/>
      <c r="B205" s="65"/>
      <c r="C205" s="26"/>
    </row>
    <row r="206" spans="1:3" s="115" customFormat="1" x14ac:dyDescent="0.2">
      <c r="A206" s="21"/>
      <c r="B206" s="65"/>
      <c r="C206" s="26"/>
    </row>
    <row r="207" spans="1:3" s="115" customFormat="1" x14ac:dyDescent="0.2">
      <c r="A207" s="21"/>
      <c r="B207" s="65"/>
      <c r="C207" s="26"/>
    </row>
    <row r="208" spans="1:3" s="115" customFormat="1" x14ac:dyDescent="0.2">
      <c r="A208" s="21"/>
      <c r="B208" s="65"/>
      <c r="C208" s="26"/>
    </row>
    <row r="209" spans="1:3" s="115" customFormat="1" x14ac:dyDescent="0.2">
      <c r="A209" s="21"/>
      <c r="B209" s="65"/>
      <c r="C209" s="26"/>
    </row>
    <row r="210" spans="1:3" s="115" customFormat="1" x14ac:dyDescent="0.2">
      <c r="A210" s="21"/>
      <c r="B210" s="65"/>
      <c r="C210" s="26"/>
    </row>
    <row r="211" spans="1:3" s="115" customFormat="1" x14ac:dyDescent="0.2">
      <c r="A211" s="21"/>
      <c r="B211" s="65"/>
      <c r="C211" s="26"/>
    </row>
    <row r="212" spans="1:3" s="115" customFormat="1" x14ac:dyDescent="0.2">
      <c r="A212" s="21"/>
      <c r="B212" s="65"/>
      <c r="C212" s="26"/>
    </row>
    <row r="213" spans="1:3" s="115" customFormat="1" x14ac:dyDescent="0.2">
      <c r="A213" s="21"/>
      <c r="B213" s="65"/>
      <c r="C213" s="26"/>
    </row>
    <row r="214" spans="1:3" s="115" customFormat="1" x14ac:dyDescent="0.2">
      <c r="A214" s="21"/>
      <c r="B214" s="65"/>
      <c r="C214" s="26"/>
    </row>
    <row r="215" spans="1:3" s="115" customFormat="1" x14ac:dyDescent="0.2">
      <c r="A215" s="21"/>
      <c r="B215" s="65"/>
      <c r="C215" s="26"/>
    </row>
    <row r="216" spans="1:3" s="115" customFormat="1" x14ac:dyDescent="0.2">
      <c r="A216" s="21"/>
      <c r="B216" s="65"/>
      <c r="C216" s="26"/>
    </row>
    <row r="217" spans="1:3" s="115" customFormat="1" x14ac:dyDescent="0.2">
      <c r="A217" s="21"/>
      <c r="B217" s="65"/>
      <c r="C217" s="26"/>
    </row>
    <row r="218" spans="1:3" s="115" customFormat="1" x14ac:dyDescent="0.2">
      <c r="A218" s="21"/>
      <c r="B218" s="65"/>
      <c r="C218" s="26"/>
    </row>
    <row r="219" spans="1:3" s="115" customFormat="1" x14ac:dyDescent="0.2">
      <c r="A219" s="21"/>
      <c r="B219" s="65"/>
      <c r="C219" s="26"/>
    </row>
    <row r="220" spans="1:3" s="115" customFormat="1" x14ac:dyDescent="0.2">
      <c r="A220" s="21"/>
      <c r="B220" s="65"/>
      <c r="C220" s="26"/>
    </row>
    <row r="221" spans="1:3" s="115" customFormat="1" x14ac:dyDescent="0.2">
      <c r="A221" s="21"/>
      <c r="B221" s="65"/>
      <c r="C221" s="26"/>
    </row>
    <row r="222" spans="1:3" s="115" customFormat="1" x14ac:dyDescent="0.2">
      <c r="A222" s="21"/>
      <c r="B222" s="65"/>
      <c r="C222" s="26"/>
    </row>
    <row r="223" spans="1:3" s="115" customFormat="1" x14ac:dyDescent="0.2">
      <c r="A223" s="21"/>
      <c r="B223" s="65"/>
      <c r="C223" s="26"/>
    </row>
    <row r="224" spans="1:3" s="115" customFormat="1" x14ac:dyDescent="0.2">
      <c r="A224" s="21"/>
      <c r="B224" s="65"/>
      <c r="C224" s="26"/>
    </row>
    <row r="225" spans="1:3" s="115" customFormat="1" x14ac:dyDescent="0.2">
      <c r="A225" s="21"/>
      <c r="B225" s="65"/>
      <c r="C225" s="26"/>
    </row>
    <row r="226" spans="1:3" s="115" customFormat="1" x14ac:dyDescent="0.2">
      <c r="A226" s="21"/>
      <c r="B226" s="65"/>
      <c r="C226" s="26"/>
    </row>
    <row r="227" spans="1:3" s="115" customFormat="1" x14ac:dyDescent="0.2">
      <c r="A227" s="21"/>
      <c r="B227" s="65"/>
      <c r="C227" s="26"/>
    </row>
    <row r="228" spans="1:3" s="115" customFormat="1" x14ac:dyDescent="0.2">
      <c r="A228" s="21"/>
      <c r="B228" s="65"/>
      <c r="C228" s="26"/>
    </row>
    <row r="229" spans="1:3" s="115" customFormat="1" x14ac:dyDescent="0.2">
      <c r="A229" s="21"/>
      <c r="B229" s="65"/>
      <c r="C229" s="26"/>
    </row>
    <row r="230" spans="1:3" s="115" customFormat="1" x14ac:dyDescent="0.2">
      <c r="A230" s="21"/>
      <c r="B230" s="65"/>
      <c r="C230" s="26"/>
    </row>
    <row r="231" spans="1:3" s="115" customFormat="1" x14ac:dyDescent="0.2">
      <c r="A231" s="21"/>
      <c r="B231" s="65"/>
      <c r="C231" s="26"/>
    </row>
    <row r="232" spans="1:3" s="115" customFormat="1" x14ac:dyDescent="0.2">
      <c r="A232" s="21"/>
      <c r="B232" s="65"/>
      <c r="C232" s="26"/>
    </row>
    <row r="233" spans="1:3" s="115" customFormat="1" x14ac:dyDescent="0.2">
      <c r="A233" s="21"/>
      <c r="B233" s="65"/>
      <c r="C233" s="26"/>
    </row>
    <row r="234" spans="1:3" s="115" customFormat="1" x14ac:dyDescent="0.2">
      <c r="A234" s="21"/>
      <c r="B234" s="65"/>
      <c r="C234" s="26"/>
    </row>
    <row r="235" spans="1:3" s="115" customFormat="1" x14ac:dyDescent="0.2">
      <c r="A235" s="21"/>
      <c r="B235" s="65"/>
      <c r="C235" s="26"/>
    </row>
    <row r="236" spans="1:3" s="115" customFormat="1" x14ac:dyDescent="0.2">
      <c r="A236" s="21"/>
      <c r="B236" s="65"/>
      <c r="C236" s="26"/>
    </row>
    <row r="237" spans="1:3" s="115" customFormat="1" x14ac:dyDescent="0.2">
      <c r="A237" s="21"/>
      <c r="B237" s="65"/>
      <c r="C237" s="26"/>
    </row>
    <row r="238" spans="1:3" s="115" customFormat="1" x14ac:dyDescent="0.2">
      <c r="A238" s="21"/>
      <c r="B238" s="65"/>
      <c r="C238" s="26"/>
    </row>
    <row r="239" spans="1:3" s="115" customFormat="1" x14ac:dyDescent="0.2">
      <c r="A239" s="21"/>
      <c r="B239" s="65"/>
      <c r="C239" s="26"/>
    </row>
    <row r="240" spans="1:3" s="115" customFormat="1" x14ac:dyDescent="0.2">
      <c r="A240" s="21"/>
      <c r="B240" s="65"/>
      <c r="C240" s="26"/>
    </row>
    <row r="241" spans="1:3" s="115" customFormat="1" x14ac:dyDescent="0.2">
      <c r="A241" s="21"/>
      <c r="B241" s="65"/>
      <c r="C241" s="26"/>
    </row>
    <row r="242" spans="1:3" s="115" customFormat="1" x14ac:dyDescent="0.2">
      <c r="A242" s="21"/>
      <c r="B242" s="65"/>
      <c r="C242" s="26"/>
    </row>
    <row r="243" spans="1:3" s="115" customFormat="1" x14ac:dyDescent="0.2">
      <c r="A243" s="21"/>
      <c r="B243" s="65"/>
      <c r="C243" s="26"/>
    </row>
    <row r="244" spans="1:3" s="115" customFormat="1" x14ac:dyDescent="0.2">
      <c r="A244" s="21"/>
      <c r="B244" s="65"/>
      <c r="C244" s="26"/>
    </row>
    <row r="245" spans="1:3" s="115" customFormat="1" x14ac:dyDescent="0.2">
      <c r="A245" s="21"/>
      <c r="B245" s="65"/>
      <c r="C245" s="26"/>
    </row>
    <row r="246" spans="1:3" s="115" customFormat="1" x14ac:dyDescent="0.2">
      <c r="A246" s="21"/>
      <c r="B246" s="65"/>
      <c r="C246" s="26"/>
    </row>
    <row r="247" spans="1:3" s="115" customFormat="1" x14ac:dyDescent="0.2">
      <c r="A247" s="21"/>
      <c r="B247" s="65"/>
      <c r="C247" s="26"/>
    </row>
    <row r="248" spans="1:3" s="115" customFormat="1" x14ac:dyDescent="0.2">
      <c r="A248" s="21"/>
      <c r="B248" s="65"/>
      <c r="C248" s="26"/>
    </row>
    <row r="249" spans="1:3" s="115" customFormat="1" x14ac:dyDescent="0.2">
      <c r="A249" s="21"/>
      <c r="B249" s="65"/>
      <c r="C249" s="26"/>
    </row>
    <row r="250" spans="1:3" s="115" customFormat="1" x14ac:dyDescent="0.2">
      <c r="A250" s="21"/>
      <c r="B250" s="65"/>
      <c r="C250" s="26"/>
    </row>
    <row r="251" spans="1:3" s="115" customFormat="1" x14ac:dyDescent="0.2">
      <c r="A251" s="21"/>
      <c r="B251" s="65"/>
      <c r="C251" s="26"/>
    </row>
    <row r="252" spans="1:3" s="115" customFormat="1" x14ac:dyDescent="0.2">
      <c r="A252" s="21"/>
      <c r="B252" s="65"/>
      <c r="C252" s="26"/>
    </row>
    <row r="253" spans="1:3" s="115" customFormat="1" x14ac:dyDescent="0.2">
      <c r="A253" s="21"/>
      <c r="B253" s="65"/>
      <c r="C253" s="26"/>
    </row>
    <row r="254" spans="1:3" s="115" customFormat="1" x14ac:dyDescent="0.2">
      <c r="A254" s="21"/>
      <c r="B254" s="65"/>
      <c r="C254" s="26"/>
    </row>
    <row r="255" spans="1:3" s="115" customFormat="1" x14ac:dyDescent="0.2">
      <c r="A255" s="21"/>
      <c r="B255" s="65"/>
      <c r="C255" s="26"/>
    </row>
    <row r="256" spans="1:3" s="115" customFormat="1" x14ac:dyDescent="0.2">
      <c r="A256" s="21"/>
      <c r="B256" s="65"/>
      <c r="C256" s="26"/>
    </row>
    <row r="257" spans="1:3" s="115" customFormat="1" x14ac:dyDescent="0.2">
      <c r="A257" s="21"/>
      <c r="B257" s="65"/>
      <c r="C257" s="26"/>
    </row>
    <row r="258" spans="1:3" s="115" customFormat="1" x14ac:dyDescent="0.2">
      <c r="A258" s="21"/>
      <c r="B258" s="65"/>
      <c r="C258" s="26"/>
    </row>
    <row r="259" spans="1:3" s="115" customFormat="1" x14ac:dyDescent="0.2">
      <c r="A259" s="21"/>
      <c r="B259" s="65"/>
      <c r="C259" s="26"/>
    </row>
    <row r="260" spans="1:3" s="115" customFormat="1" x14ac:dyDescent="0.2">
      <c r="A260" s="21"/>
      <c r="B260" s="65"/>
      <c r="C260" s="26"/>
    </row>
    <row r="261" spans="1:3" s="115" customFormat="1" x14ac:dyDescent="0.2">
      <c r="A261" s="21"/>
      <c r="B261" s="65"/>
      <c r="C261" s="26"/>
    </row>
    <row r="262" spans="1:3" s="115" customFormat="1" x14ac:dyDescent="0.2">
      <c r="A262" s="21"/>
      <c r="B262" s="65"/>
      <c r="C262" s="26"/>
    </row>
    <row r="263" spans="1:3" s="115" customFormat="1" x14ac:dyDescent="0.2">
      <c r="A263" s="21"/>
      <c r="B263" s="65"/>
      <c r="C263" s="26"/>
    </row>
    <row r="264" spans="1:3" s="115" customFormat="1" x14ac:dyDescent="0.2">
      <c r="A264" s="21"/>
      <c r="B264" s="65"/>
      <c r="C264" s="26"/>
    </row>
    <row r="265" spans="1:3" s="115" customFormat="1" x14ac:dyDescent="0.2">
      <c r="A265" s="21"/>
      <c r="B265" s="65"/>
      <c r="C265" s="26"/>
    </row>
    <row r="266" spans="1:3" s="115" customFormat="1" x14ac:dyDescent="0.2">
      <c r="A266" s="21"/>
      <c r="B266" s="65"/>
      <c r="C266" s="26"/>
    </row>
    <row r="267" spans="1:3" s="115" customFormat="1" x14ac:dyDescent="0.2">
      <c r="A267" s="21"/>
      <c r="B267" s="65"/>
      <c r="C267" s="26"/>
    </row>
    <row r="268" spans="1:3" s="115" customFormat="1" x14ac:dyDescent="0.2">
      <c r="A268" s="21"/>
      <c r="B268" s="65"/>
      <c r="C268" s="26"/>
    </row>
    <row r="269" spans="1:3" s="115" customFormat="1" x14ac:dyDescent="0.2">
      <c r="A269" s="21"/>
      <c r="B269" s="65"/>
      <c r="C269" s="26"/>
    </row>
    <row r="270" spans="1:3" s="115" customFormat="1" x14ac:dyDescent="0.2">
      <c r="A270" s="21"/>
      <c r="B270" s="65"/>
      <c r="C270" s="26"/>
    </row>
    <row r="271" spans="1:3" s="115" customFormat="1" x14ac:dyDescent="0.2">
      <c r="A271" s="21"/>
      <c r="B271" s="65"/>
      <c r="C271" s="26"/>
    </row>
    <row r="272" spans="1:3" s="115" customFormat="1" x14ac:dyDescent="0.2">
      <c r="A272" s="21"/>
      <c r="B272" s="65"/>
      <c r="C272" s="26"/>
    </row>
    <row r="273" spans="1:3" s="115" customFormat="1" x14ac:dyDescent="0.2">
      <c r="A273" s="21"/>
      <c r="B273" s="65"/>
      <c r="C273" s="26"/>
    </row>
    <row r="274" spans="1:3" s="115" customFormat="1" x14ac:dyDescent="0.2">
      <c r="A274" s="21"/>
      <c r="B274" s="65"/>
      <c r="C274" s="26"/>
    </row>
    <row r="275" spans="1:3" s="115" customFormat="1" x14ac:dyDescent="0.2">
      <c r="A275" s="21"/>
      <c r="B275" s="65"/>
      <c r="C275" s="26"/>
    </row>
    <row r="276" spans="1:3" s="115" customFormat="1" x14ac:dyDescent="0.2">
      <c r="A276" s="21"/>
      <c r="B276" s="65"/>
      <c r="C276" s="26"/>
    </row>
    <row r="277" spans="1:3" s="115" customFormat="1" x14ac:dyDescent="0.2">
      <c r="A277" s="21"/>
      <c r="B277" s="65"/>
      <c r="C277" s="26"/>
    </row>
    <row r="278" spans="1:3" s="115" customFormat="1" x14ac:dyDescent="0.2">
      <c r="A278" s="21"/>
      <c r="B278" s="65"/>
      <c r="C278" s="26"/>
    </row>
    <row r="279" spans="1:3" s="115" customFormat="1" x14ac:dyDescent="0.2">
      <c r="A279" s="21"/>
      <c r="B279" s="65"/>
      <c r="C279" s="26"/>
    </row>
    <row r="280" spans="1:3" s="115" customFormat="1" x14ac:dyDescent="0.2">
      <c r="A280" s="21"/>
      <c r="B280" s="65"/>
      <c r="C280" s="26"/>
    </row>
    <row r="281" spans="1:3" s="115" customFormat="1" x14ac:dyDescent="0.2">
      <c r="A281" s="21"/>
      <c r="B281" s="65"/>
      <c r="C281" s="26"/>
    </row>
    <row r="282" spans="1:3" s="115" customFormat="1" x14ac:dyDescent="0.2">
      <c r="A282" s="21"/>
      <c r="B282" s="65"/>
      <c r="C282" s="26"/>
    </row>
    <row r="283" spans="1:3" s="115" customFormat="1" x14ac:dyDescent="0.2">
      <c r="A283" s="21"/>
      <c r="B283" s="65"/>
      <c r="C283" s="26"/>
    </row>
    <row r="284" spans="1:3" s="115" customFormat="1" x14ac:dyDescent="0.2">
      <c r="A284" s="21"/>
      <c r="B284" s="65"/>
      <c r="C284" s="26"/>
    </row>
    <row r="285" spans="1:3" s="115" customFormat="1" x14ac:dyDescent="0.2">
      <c r="A285" s="21"/>
      <c r="B285" s="65"/>
      <c r="C285" s="26"/>
    </row>
    <row r="286" spans="1:3" s="115" customFormat="1" x14ac:dyDescent="0.2">
      <c r="A286" s="21"/>
      <c r="B286" s="65"/>
      <c r="C286" s="26"/>
    </row>
    <row r="287" spans="1:3" s="115" customFormat="1" x14ac:dyDescent="0.2">
      <c r="A287" s="21"/>
      <c r="B287" s="65"/>
      <c r="C287" s="26"/>
    </row>
    <row r="288" spans="1:3" s="115" customFormat="1" x14ac:dyDescent="0.2">
      <c r="A288" s="21"/>
      <c r="B288" s="65"/>
      <c r="C288" s="26"/>
    </row>
    <row r="289" spans="1:3" s="115" customFormat="1" x14ac:dyDescent="0.2">
      <c r="A289" s="21"/>
      <c r="B289" s="65"/>
      <c r="C289" s="26"/>
    </row>
    <row r="290" spans="1:3" s="115" customFormat="1" x14ac:dyDescent="0.2">
      <c r="A290" s="21"/>
      <c r="B290" s="65"/>
      <c r="C290" s="26"/>
    </row>
    <row r="291" spans="1:3" s="115" customFormat="1" x14ac:dyDescent="0.2">
      <c r="A291" s="21"/>
      <c r="B291" s="65"/>
      <c r="C291" s="26"/>
    </row>
    <row r="292" spans="1:3" s="115" customFormat="1" x14ac:dyDescent="0.2">
      <c r="A292" s="21"/>
      <c r="B292" s="65"/>
      <c r="C292" s="26"/>
    </row>
    <row r="293" spans="1:3" s="115" customFormat="1" x14ac:dyDescent="0.2">
      <c r="A293" s="21"/>
      <c r="B293" s="65"/>
      <c r="C293" s="26"/>
    </row>
    <row r="294" spans="1:3" s="115" customFormat="1" x14ac:dyDescent="0.2">
      <c r="A294" s="21"/>
      <c r="B294" s="65"/>
      <c r="C294" s="26"/>
    </row>
    <row r="295" spans="1:3" s="115" customFormat="1" x14ac:dyDescent="0.2">
      <c r="A295" s="21"/>
      <c r="B295" s="65"/>
      <c r="C295" s="26"/>
    </row>
    <row r="296" spans="1:3" s="115" customFormat="1" x14ac:dyDescent="0.2">
      <c r="A296" s="21"/>
      <c r="B296" s="65"/>
      <c r="C296" s="26"/>
    </row>
    <row r="297" spans="1:3" s="115" customFormat="1" x14ac:dyDescent="0.2">
      <c r="A297" s="21"/>
      <c r="B297" s="65"/>
      <c r="C297" s="26"/>
    </row>
    <row r="298" spans="1:3" s="115" customFormat="1" x14ac:dyDescent="0.2">
      <c r="A298" s="21"/>
      <c r="B298" s="65"/>
      <c r="C298" s="26"/>
    </row>
    <row r="299" spans="1:3" s="115" customFormat="1" x14ac:dyDescent="0.2">
      <c r="A299" s="21"/>
      <c r="B299" s="65"/>
      <c r="C299" s="26"/>
    </row>
    <row r="300" spans="1:3" s="115" customFormat="1" x14ac:dyDescent="0.2">
      <c r="A300" s="21"/>
      <c r="B300" s="65"/>
      <c r="C300" s="26"/>
    </row>
    <row r="301" spans="1:3" s="115" customFormat="1" x14ac:dyDescent="0.2">
      <c r="A301" s="21"/>
      <c r="B301" s="65"/>
      <c r="C301" s="26"/>
    </row>
    <row r="302" spans="1:3" s="115" customFormat="1" x14ac:dyDescent="0.2">
      <c r="A302" s="21"/>
      <c r="B302" s="65"/>
      <c r="C302" s="26"/>
    </row>
    <row r="303" spans="1:3" s="115" customFormat="1" x14ac:dyDescent="0.2">
      <c r="A303" s="21"/>
      <c r="B303" s="65"/>
      <c r="C303" s="26"/>
    </row>
    <row r="304" spans="1:3" s="115" customFormat="1" x14ac:dyDescent="0.2">
      <c r="A304" s="21"/>
      <c r="B304" s="65"/>
      <c r="C304" s="26"/>
    </row>
    <row r="305" spans="1:3" s="115" customFormat="1" x14ac:dyDescent="0.2">
      <c r="A305" s="21"/>
      <c r="B305" s="65"/>
      <c r="C305" s="26"/>
    </row>
    <row r="306" spans="1:3" s="115" customFormat="1" x14ac:dyDescent="0.2">
      <c r="A306" s="21"/>
      <c r="B306" s="65"/>
      <c r="C306" s="26"/>
    </row>
    <row r="307" spans="1:3" s="115" customFormat="1" x14ac:dyDescent="0.2">
      <c r="A307" s="21"/>
      <c r="B307" s="65"/>
      <c r="C307" s="26"/>
    </row>
    <row r="308" spans="1:3" s="115" customFormat="1" x14ac:dyDescent="0.2">
      <c r="A308" s="21"/>
      <c r="B308" s="65"/>
      <c r="C308" s="26"/>
    </row>
    <row r="309" spans="1:3" s="115" customFormat="1" x14ac:dyDescent="0.2">
      <c r="A309" s="21"/>
      <c r="B309" s="65"/>
      <c r="C309" s="26"/>
    </row>
    <row r="310" spans="1:3" s="115" customFormat="1" x14ac:dyDescent="0.2">
      <c r="A310" s="21"/>
      <c r="B310" s="65"/>
      <c r="C310" s="26"/>
    </row>
    <row r="311" spans="1:3" s="115" customFormat="1" x14ac:dyDescent="0.2">
      <c r="A311" s="21"/>
      <c r="B311" s="65"/>
      <c r="C311" s="26"/>
    </row>
    <row r="312" spans="1:3" s="115" customFormat="1" x14ac:dyDescent="0.2">
      <c r="A312" s="21"/>
      <c r="B312" s="65"/>
      <c r="C312" s="26"/>
    </row>
    <row r="313" spans="1:3" x14ac:dyDescent="0.2">
      <c r="C313" s="38"/>
    </row>
    <row r="314" spans="1:3" ht="13.5" thickBot="1" x14ac:dyDescent="0.25">
      <c r="A314" s="35">
        <v>1</v>
      </c>
      <c r="B314" s="105">
        <f>SUMIF(D2:D311,1,B2:B311)</f>
        <v>0</v>
      </c>
      <c r="C314" s="35" t="s">
        <v>40</v>
      </c>
    </row>
    <row r="315" spans="1:3" ht="13.5" thickTop="1" x14ac:dyDescent="0.2">
      <c r="A315" s="35"/>
      <c r="B315" s="106"/>
      <c r="C315" s="36"/>
    </row>
    <row r="316" spans="1:3" ht="13.5" thickBot="1" x14ac:dyDescent="0.25">
      <c r="A316" s="35">
        <v>-1</v>
      </c>
      <c r="B316" s="105">
        <f>SUMIF(D2:D311,-1,B2:B311)</f>
        <v>-428548.32</v>
      </c>
      <c r="C316" s="35" t="s">
        <v>41</v>
      </c>
    </row>
    <row r="317" spans="1:3" ht="13.5" thickTop="1" x14ac:dyDescent="0.2"/>
    <row r="318" spans="1:3" x14ac:dyDescent="0.2">
      <c r="A318" s="23"/>
    </row>
    <row r="319" spans="1:3" x14ac:dyDescent="0.2">
      <c r="A319" s="23"/>
    </row>
  </sheetData>
  <sortState xmlns:xlrd2="http://schemas.microsoft.com/office/spreadsheetml/2017/richdata2" ref="A2:E168">
    <sortCondition ref="A2:A168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7"/>
  <sheetViews>
    <sheetView zoomScale="85" zoomScaleNormal="85" workbookViewId="0">
      <pane ySplit="5" topLeftCell="A6" activePane="bottomLeft" state="frozen"/>
      <selection activeCell="G9" sqref="G9:G10"/>
      <selection pane="bottomLeft" activeCell="A6" sqref="A6"/>
    </sheetView>
  </sheetViews>
  <sheetFormatPr defaultRowHeight="12.75" x14ac:dyDescent="0.2"/>
  <cols>
    <col min="1" max="1" width="16" style="40" bestFit="1" customWidth="1"/>
    <col min="2" max="2" width="12.6640625" style="40" customWidth="1"/>
    <col min="3" max="3" width="12.83203125" style="40" bestFit="1" customWidth="1"/>
    <col min="4" max="4" width="16.33203125" style="40" customWidth="1"/>
    <col min="5" max="5" width="38.5" style="40" customWidth="1"/>
    <col min="6" max="6" width="73.1640625" style="40" customWidth="1"/>
    <col min="7" max="7" width="15.83203125" style="46" bestFit="1" customWidth="1"/>
    <col min="8" max="8" width="17.5" style="46" customWidth="1"/>
    <col min="9" max="9" width="15.83203125" style="46" bestFit="1" customWidth="1"/>
    <col min="10" max="10" width="17.5" style="157" bestFit="1" customWidth="1"/>
    <col min="11" max="11" width="14.6640625" style="40" customWidth="1"/>
    <col min="12" max="12" width="10.5" style="40" bestFit="1" customWidth="1"/>
    <col min="13" max="238" width="9.33203125" style="40"/>
    <col min="239" max="239" width="3.83203125" style="40" customWidth="1"/>
    <col min="240" max="240" width="8.6640625" style="40" customWidth="1"/>
    <col min="241" max="241" width="9.33203125" style="40" customWidth="1"/>
    <col min="242" max="242" width="14.6640625" style="40" customWidth="1"/>
    <col min="243" max="243" width="2.83203125" style="40" customWidth="1"/>
    <col min="244" max="244" width="9.1640625" style="40" customWidth="1"/>
    <col min="245" max="245" width="14.5" style="40" customWidth="1"/>
    <col min="246" max="246" width="4.1640625" style="40" customWidth="1"/>
    <col min="247" max="247" width="5.5" style="40" customWidth="1"/>
    <col min="248" max="248" width="13.33203125" style="40" customWidth="1"/>
    <col min="249" max="249" width="6.33203125" style="40" customWidth="1"/>
    <col min="250" max="251" width="12.33203125" style="40" customWidth="1"/>
    <col min="252" max="252" width="12" style="40" customWidth="1"/>
    <col min="253" max="253" width="2.83203125" style="40" customWidth="1"/>
    <col min="254" max="254" width="9" style="40" customWidth="1"/>
    <col min="255" max="494" width="9.33203125" style="40"/>
    <col min="495" max="495" width="3.83203125" style="40" customWidth="1"/>
    <col min="496" max="496" width="8.6640625" style="40" customWidth="1"/>
    <col min="497" max="497" width="9.33203125" style="40" customWidth="1"/>
    <col min="498" max="498" width="14.6640625" style="40" customWidth="1"/>
    <col min="499" max="499" width="2.83203125" style="40" customWidth="1"/>
    <col min="500" max="500" width="9.1640625" style="40" customWidth="1"/>
    <col min="501" max="501" width="14.5" style="40" customWidth="1"/>
    <col min="502" max="502" width="4.1640625" style="40" customWidth="1"/>
    <col min="503" max="503" width="5.5" style="40" customWidth="1"/>
    <col min="504" max="504" width="13.33203125" style="40" customWidth="1"/>
    <col min="505" max="505" width="6.33203125" style="40" customWidth="1"/>
    <col min="506" max="507" width="12.33203125" style="40" customWidth="1"/>
    <col min="508" max="508" width="12" style="40" customWidth="1"/>
    <col min="509" max="509" width="2.83203125" style="40" customWidth="1"/>
    <col min="510" max="510" width="9" style="40" customWidth="1"/>
    <col min="511" max="750" width="9.33203125" style="40"/>
    <col min="751" max="751" width="3.83203125" style="40" customWidth="1"/>
    <col min="752" max="752" width="8.6640625" style="40" customWidth="1"/>
    <col min="753" max="753" width="9.33203125" style="40" customWidth="1"/>
    <col min="754" max="754" width="14.6640625" style="40" customWidth="1"/>
    <col min="755" max="755" width="2.83203125" style="40" customWidth="1"/>
    <col min="756" max="756" width="9.1640625" style="40" customWidth="1"/>
    <col min="757" max="757" width="14.5" style="40" customWidth="1"/>
    <col min="758" max="758" width="4.1640625" style="40" customWidth="1"/>
    <col min="759" max="759" width="5.5" style="40" customWidth="1"/>
    <col min="760" max="760" width="13.33203125" style="40" customWidth="1"/>
    <col min="761" max="761" width="6.33203125" style="40" customWidth="1"/>
    <col min="762" max="763" width="12.33203125" style="40" customWidth="1"/>
    <col min="764" max="764" width="12" style="40" customWidth="1"/>
    <col min="765" max="765" width="2.83203125" style="40" customWidth="1"/>
    <col min="766" max="766" width="9" style="40" customWidth="1"/>
    <col min="767" max="1006" width="9.33203125" style="40"/>
    <col min="1007" max="1007" width="3.83203125" style="40" customWidth="1"/>
    <col min="1008" max="1008" width="8.6640625" style="40" customWidth="1"/>
    <col min="1009" max="1009" width="9.33203125" style="40" customWidth="1"/>
    <col min="1010" max="1010" width="14.6640625" style="40" customWidth="1"/>
    <col min="1011" max="1011" width="2.83203125" style="40" customWidth="1"/>
    <col min="1012" max="1012" width="9.1640625" style="40" customWidth="1"/>
    <col min="1013" max="1013" width="14.5" style="40" customWidth="1"/>
    <col min="1014" max="1014" width="4.1640625" style="40" customWidth="1"/>
    <col min="1015" max="1015" width="5.5" style="40" customWidth="1"/>
    <col min="1016" max="1016" width="13.33203125" style="40" customWidth="1"/>
    <col min="1017" max="1017" width="6.33203125" style="40" customWidth="1"/>
    <col min="1018" max="1019" width="12.33203125" style="40" customWidth="1"/>
    <col min="1020" max="1020" width="12" style="40" customWidth="1"/>
    <col min="1021" max="1021" width="2.83203125" style="40" customWidth="1"/>
    <col min="1022" max="1022" width="9" style="40" customWidth="1"/>
    <col min="1023" max="1262" width="9.33203125" style="40"/>
    <col min="1263" max="1263" width="3.83203125" style="40" customWidth="1"/>
    <col min="1264" max="1264" width="8.6640625" style="40" customWidth="1"/>
    <col min="1265" max="1265" width="9.33203125" style="40" customWidth="1"/>
    <col min="1266" max="1266" width="14.6640625" style="40" customWidth="1"/>
    <col min="1267" max="1267" width="2.83203125" style="40" customWidth="1"/>
    <col min="1268" max="1268" width="9.1640625" style="40" customWidth="1"/>
    <col min="1269" max="1269" width="14.5" style="40" customWidth="1"/>
    <col min="1270" max="1270" width="4.1640625" style="40" customWidth="1"/>
    <col min="1271" max="1271" width="5.5" style="40" customWidth="1"/>
    <col min="1272" max="1272" width="13.33203125" style="40" customWidth="1"/>
    <col min="1273" max="1273" width="6.33203125" style="40" customWidth="1"/>
    <col min="1274" max="1275" width="12.33203125" style="40" customWidth="1"/>
    <col min="1276" max="1276" width="12" style="40" customWidth="1"/>
    <col min="1277" max="1277" width="2.83203125" style="40" customWidth="1"/>
    <col min="1278" max="1278" width="9" style="40" customWidth="1"/>
    <col min="1279" max="1518" width="9.33203125" style="40"/>
    <col min="1519" max="1519" width="3.83203125" style="40" customWidth="1"/>
    <col min="1520" max="1520" width="8.6640625" style="40" customWidth="1"/>
    <col min="1521" max="1521" width="9.33203125" style="40" customWidth="1"/>
    <col min="1522" max="1522" width="14.6640625" style="40" customWidth="1"/>
    <col min="1523" max="1523" width="2.83203125" style="40" customWidth="1"/>
    <col min="1524" max="1524" width="9.1640625" style="40" customWidth="1"/>
    <col min="1525" max="1525" width="14.5" style="40" customWidth="1"/>
    <col min="1526" max="1526" width="4.1640625" style="40" customWidth="1"/>
    <col min="1527" max="1527" width="5.5" style="40" customWidth="1"/>
    <col min="1528" max="1528" width="13.33203125" style="40" customWidth="1"/>
    <col min="1529" max="1529" width="6.33203125" style="40" customWidth="1"/>
    <col min="1530" max="1531" width="12.33203125" style="40" customWidth="1"/>
    <col min="1532" max="1532" width="12" style="40" customWidth="1"/>
    <col min="1533" max="1533" width="2.83203125" style="40" customWidth="1"/>
    <col min="1534" max="1534" width="9" style="40" customWidth="1"/>
    <col min="1535" max="1774" width="9.33203125" style="40"/>
    <col min="1775" max="1775" width="3.83203125" style="40" customWidth="1"/>
    <col min="1776" max="1776" width="8.6640625" style="40" customWidth="1"/>
    <col min="1777" max="1777" width="9.33203125" style="40" customWidth="1"/>
    <col min="1778" max="1778" width="14.6640625" style="40" customWidth="1"/>
    <col min="1779" max="1779" width="2.83203125" style="40" customWidth="1"/>
    <col min="1780" max="1780" width="9.1640625" style="40" customWidth="1"/>
    <col min="1781" max="1781" width="14.5" style="40" customWidth="1"/>
    <col min="1782" max="1782" width="4.1640625" style="40" customWidth="1"/>
    <col min="1783" max="1783" width="5.5" style="40" customWidth="1"/>
    <col min="1784" max="1784" width="13.33203125" style="40" customWidth="1"/>
    <col min="1785" max="1785" width="6.33203125" style="40" customWidth="1"/>
    <col min="1786" max="1787" width="12.33203125" style="40" customWidth="1"/>
    <col min="1788" max="1788" width="12" style="40" customWidth="1"/>
    <col min="1789" max="1789" width="2.83203125" style="40" customWidth="1"/>
    <col min="1790" max="1790" width="9" style="40" customWidth="1"/>
    <col min="1791" max="2030" width="9.33203125" style="40"/>
    <col min="2031" max="2031" width="3.83203125" style="40" customWidth="1"/>
    <col min="2032" max="2032" width="8.6640625" style="40" customWidth="1"/>
    <col min="2033" max="2033" width="9.33203125" style="40" customWidth="1"/>
    <col min="2034" max="2034" width="14.6640625" style="40" customWidth="1"/>
    <col min="2035" max="2035" width="2.83203125" style="40" customWidth="1"/>
    <col min="2036" max="2036" width="9.1640625" style="40" customWidth="1"/>
    <col min="2037" max="2037" width="14.5" style="40" customWidth="1"/>
    <col min="2038" max="2038" width="4.1640625" style="40" customWidth="1"/>
    <col min="2039" max="2039" width="5.5" style="40" customWidth="1"/>
    <col min="2040" max="2040" width="13.33203125" style="40" customWidth="1"/>
    <col min="2041" max="2041" width="6.33203125" style="40" customWidth="1"/>
    <col min="2042" max="2043" width="12.33203125" style="40" customWidth="1"/>
    <col min="2044" max="2044" width="12" style="40" customWidth="1"/>
    <col min="2045" max="2045" width="2.83203125" style="40" customWidth="1"/>
    <col min="2046" max="2046" width="9" style="40" customWidth="1"/>
    <col min="2047" max="2286" width="9.33203125" style="40"/>
    <col min="2287" max="2287" width="3.83203125" style="40" customWidth="1"/>
    <col min="2288" max="2288" width="8.6640625" style="40" customWidth="1"/>
    <col min="2289" max="2289" width="9.33203125" style="40" customWidth="1"/>
    <col min="2290" max="2290" width="14.6640625" style="40" customWidth="1"/>
    <col min="2291" max="2291" width="2.83203125" style="40" customWidth="1"/>
    <col min="2292" max="2292" width="9.1640625" style="40" customWidth="1"/>
    <col min="2293" max="2293" width="14.5" style="40" customWidth="1"/>
    <col min="2294" max="2294" width="4.1640625" style="40" customWidth="1"/>
    <col min="2295" max="2295" width="5.5" style="40" customWidth="1"/>
    <col min="2296" max="2296" width="13.33203125" style="40" customWidth="1"/>
    <col min="2297" max="2297" width="6.33203125" style="40" customWidth="1"/>
    <col min="2298" max="2299" width="12.33203125" style="40" customWidth="1"/>
    <col min="2300" max="2300" width="12" style="40" customWidth="1"/>
    <col min="2301" max="2301" width="2.83203125" style="40" customWidth="1"/>
    <col min="2302" max="2302" width="9" style="40" customWidth="1"/>
    <col min="2303" max="2542" width="9.33203125" style="40"/>
    <col min="2543" max="2543" width="3.83203125" style="40" customWidth="1"/>
    <col min="2544" max="2544" width="8.6640625" style="40" customWidth="1"/>
    <col min="2545" max="2545" width="9.33203125" style="40" customWidth="1"/>
    <col min="2546" max="2546" width="14.6640625" style="40" customWidth="1"/>
    <col min="2547" max="2547" width="2.83203125" style="40" customWidth="1"/>
    <col min="2548" max="2548" width="9.1640625" style="40" customWidth="1"/>
    <col min="2549" max="2549" width="14.5" style="40" customWidth="1"/>
    <col min="2550" max="2550" width="4.1640625" style="40" customWidth="1"/>
    <col min="2551" max="2551" width="5.5" style="40" customWidth="1"/>
    <col min="2552" max="2552" width="13.33203125" style="40" customWidth="1"/>
    <col min="2553" max="2553" width="6.33203125" style="40" customWidth="1"/>
    <col min="2554" max="2555" width="12.33203125" style="40" customWidth="1"/>
    <col min="2556" max="2556" width="12" style="40" customWidth="1"/>
    <col min="2557" max="2557" width="2.83203125" style="40" customWidth="1"/>
    <col min="2558" max="2558" width="9" style="40" customWidth="1"/>
    <col min="2559" max="2798" width="9.33203125" style="40"/>
    <col min="2799" max="2799" width="3.83203125" style="40" customWidth="1"/>
    <col min="2800" max="2800" width="8.6640625" style="40" customWidth="1"/>
    <col min="2801" max="2801" width="9.33203125" style="40" customWidth="1"/>
    <col min="2802" max="2802" width="14.6640625" style="40" customWidth="1"/>
    <col min="2803" max="2803" width="2.83203125" style="40" customWidth="1"/>
    <col min="2804" max="2804" width="9.1640625" style="40" customWidth="1"/>
    <col min="2805" max="2805" width="14.5" style="40" customWidth="1"/>
    <col min="2806" max="2806" width="4.1640625" style="40" customWidth="1"/>
    <col min="2807" max="2807" width="5.5" style="40" customWidth="1"/>
    <col min="2808" max="2808" width="13.33203125" style="40" customWidth="1"/>
    <col min="2809" max="2809" width="6.33203125" style="40" customWidth="1"/>
    <col min="2810" max="2811" width="12.33203125" style="40" customWidth="1"/>
    <col min="2812" max="2812" width="12" style="40" customWidth="1"/>
    <col min="2813" max="2813" width="2.83203125" style="40" customWidth="1"/>
    <col min="2814" max="2814" width="9" style="40" customWidth="1"/>
    <col min="2815" max="3054" width="9.33203125" style="40"/>
    <col min="3055" max="3055" width="3.83203125" style="40" customWidth="1"/>
    <col min="3056" max="3056" width="8.6640625" style="40" customWidth="1"/>
    <col min="3057" max="3057" width="9.33203125" style="40" customWidth="1"/>
    <col min="3058" max="3058" width="14.6640625" style="40" customWidth="1"/>
    <col min="3059" max="3059" width="2.83203125" style="40" customWidth="1"/>
    <col min="3060" max="3060" width="9.1640625" style="40" customWidth="1"/>
    <col min="3061" max="3061" width="14.5" style="40" customWidth="1"/>
    <col min="3062" max="3062" width="4.1640625" style="40" customWidth="1"/>
    <col min="3063" max="3063" width="5.5" style="40" customWidth="1"/>
    <col min="3064" max="3064" width="13.33203125" style="40" customWidth="1"/>
    <col min="3065" max="3065" width="6.33203125" style="40" customWidth="1"/>
    <col min="3066" max="3067" width="12.33203125" style="40" customWidth="1"/>
    <col min="3068" max="3068" width="12" style="40" customWidth="1"/>
    <col min="3069" max="3069" width="2.83203125" style="40" customWidth="1"/>
    <col min="3070" max="3070" width="9" style="40" customWidth="1"/>
    <col min="3071" max="3310" width="9.33203125" style="40"/>
    <col min="3311" max="3311" width="3.83203125" style="40" customWidth="1"/>
    <col min="3312" max="3312" width="8.6640625" style="40" customWidth="1"/>
    <col min="3313" max="3313" width="9.33203125" style="40" customWidth="1"/>
    <col min="3314" max="3314" width="14.6640625" style="40" customWidth="1"/>
    <col min="3315" max="3315" width="2.83203125" style="40" customWidth="1"/>
    <col min="3316" max="3316" width="9.1640625" style="40" customWidth="1"/>
    <col min="3317" max="3317" width="14.5" style="40" customWidth="1"/>
    <col min="3318" max="3318" width="4.1640625" style="40" customWidth="1"/>
    <col min="3319" max="3319" width="5.5" style="40" customWidth="1"/>
    <col min="3320" max="3320" width="13.33203125" style="40" customWidth="1"/>
    <col min="3321" max="3321" width="6.33203125" style="40" customWidth="1"/>
    <col min="3322" max="3323" width="12.33203125" style="40" customWidth="1"/>
    <col min="3324" max="3324" width="12" style="40" customWidth="1"/>
    <col min="3325" max="3325" width="2.83203125" style="40" customWidth="1"/>
    <col min="3326" max="3326" width="9" style="40" customWidth="1"/>
    <col min="3327" max="3566" width="9.33203125" style="40"/>
    <col min="3567" max="3567" width="3.83203125" style="40" customWidth="1"/>
    <col min="3568" max="3568" width="8.6640625" style="40" customWidth="1"/>
    <col min="3569" max="3569" width="9.33203125" style="40" customWidth="1"/>
    <col min="3570" max="3570" width="14.6640625" style="40" customWidth="1"/>
    <col min="3571" max="3571" width="2.83203125" style="40" customWidth="1"/>
    <col min="3572" max="3572" width="9.1640625" style="40" customWidth="1"/>
    <col min="3573" max="3573" width="14.5" style="40" customWidth="1"/>
    <col min="3574" max="3574" width="4.1640625" style="40" customWidth="1"/>
    <col min="3575" max="3575" width="5.5" style="40" customWidth="1"/>
    <col min="3576" max="3576" width="13.33203125" style="40" customWidth="1"/>
    <col min="3577" max="3577" width="6.33203125" style="40" customWidth="1"/>
    <col min="3578" max="3579" width="12.33203125" style="40" customWidth="1"/>
    <col min="3580" max="3580" width="12" style="40" customWidth="1"/>
    <col min="3581" max="3581" width="2.83203125" style="40" customWidth="1"/>
    <col min="3582" max="3582" width="9" style="40" customWidth="1"/>
    <col min="3583" max="3822" width="9.33203125" style="40"/>
    <col min="3823" max="3823" width="3.83203125" style="40" customWidth="1"/>
    <col min="3824" max="3824" width="8.6640625" style="40" customWidth="1"/>
    <col min="3825" max="3825" width="9.33203125" style="40" customWidth="1"/>
    <col min="3826" max="3826" width="14.6640625" style="40" customWidth="1"/>
    <col min="3827" max="3827" width="2.83203125" style="40" customWidth="1"/>
    <col min="3828" max="3828" width="9.1640625" style="40" customWidth="1"/>
    <col min="3829" max="3829" width="14.5" style="40" customWidth="1"/>
    <col min="3830" max="3830" width="4.1640625" style="40" customWidth="1"/>
    <col min="3831" max="3831" width="5.5" style="40" customWidth="1"/>
    <col min="3832" max="3832" width="13.33203125" style="40" customWidth="1"/>
    <col min="3833" max="3833" width="6.33203125" style="40" customWidth="1"/>
    <col min="3834" max="3835" width="12.33203125" style="40" customWidth="1"/>
    <col min="3836" max="3836" width="12" style="40" customWidth="1"/>
    <col min="3837" max="3837" width="2.83203125" style="40" customWidth="1"/>
    <col min="3838" max="3838" width="9" style="40" customWidth="1"/>
    <col min="3839" max="4078" width="9.33203125" style="40"/>
    <col min="4079" max="4079" width="3.83203125" style="40" customWidth="1"/>
    <col min="4080" max="4080" width="8.6640625" style="40" customWidth="1"/>
    <col min="4081" max="4081" width="9.33203125" style="40" customWidth="1"/>
    <col min="4082" max="4082" width="14.6640625" style="40" customWidth="1"/>
    <col min="4083" max="4083" width="2.83203125" style="40" customWidth="1"/>
    <col min="4084" max="4084" width="9.1640625" style="40" customWidth="1"/>
    <col min="4085" max="4085" width="14.5" style="40" customWidth="1"/>
    <col min="4086" max="4086" width="4.1640625" style="40" customWidth="1"/>
    <col min="4087" max="4087" width="5.5" style="40" customWidth="1"/>
    <col min="4088" max="4088" width="13.33203125" style="40" customWidth="1"/>
    <col min="4089" max="4089" width="6.33203125" style="40" customWidth="1"/>
    <col min="4090" max="4091" width="12.33203125" style="40" customWidth="1"/>
    <col min="4092" max="4092" width="12" style="40" customWidth="1"/>
    <col min="4093" max="4093" width="2.83203125" style="40" customWidth="1"/>
    <col min="4094" max="4094" width="9" style="40" customWidth="1"/>
    <col min="4095" max="4334" width="9.33203125" style="40"/>
    <col min="4335" max="4335" width="3.83203125" style="40" customWidth="1"/>
    <col min="4336" max="4336" width="8.6640625" style="40" customWidth="1"/>
    <col min="4337" max="4337" width="9.33203125" style="40" customWidth="1"/>
    <col min="4338" max="4338" width="14.6640625" style="40" customWidth="1"/>
    <col min="4339" max="4339" width="2.83203125" style="40" customWidth="1"/>
    <col min="4340" max="4340" width="9.1640625" style="40" customWidth="1"/>
    <col min="4341" max="4341" width="14.5" style="40" customWidth="1"/>
    <col min="4342" max="4342" width="4.1640625" style="40" customWidth="1"/>
    <col min="4343" max="4343" width="5.5" style="40" customWidth="1"/>
    <col min="4344" max="4344" width="13.33203125" style="40" customWidth="1"/>
    <col min="4345" max="4345" width="6.33203125" style="40" customWidth="1"/>
    <col min="4346" max="4347" width="12.33203125" style="40" customWidth="1"/>
    <col min="4348" max="4348" width="12" style="40" customWidth="1"/>
    <col min="4349" max="4349" width="2.83203125" style="40" customWidth="1"/>
    <col min="4350" max="4350" width="9" style="40" customWidth="1"/>
    <col min="4351" max="4590" width="9.33203125" style="40"/>
    <col min="4591" max="4591" width="3.83203125" style="40" customWidth="1"/>
    <col min="4592" max="4592" width="8.6640625" style="40" customWidth="1"/>
    <col min="4593" max="4593" width="9.33203125" style="40" customWidth="1"/>
    <col min="4594" max="4594" width="14.6640625" style="40" customWidth="1"/>
    <col min="4595" max="4595" width="2.83203125" style="40" customWidth="1"/>
    <col min="4596" max="4596" width="9.1640625" style="40" customWidth="1"/>
    <col min="4597" max="4597" width="14.5" style="40" customWidth="1"/>
    <col min="4598" max="4598" width="4.1640625" style="40" customWidth="1"/>
    <col min="4599" max="4599" width="5.5" style="40" customWidth="1"/>
    <col min="4600" max="4600" width="13.33203125" style="40" customWidth="1"/>
    <col min="4601" max="4601" width="6.33203125" style="40" customWidth="1"/>
    <col min="4602" max="4603" width="12.33203125" style="40" customWidth="1"/>
    <col min="4604" max="4604" width="12" style="40" customWidth="1"/>
    <col min="4605" max="4605" width="2.83203125" style="40" customWidth="1"/>
    <col min="4606" max="4606" width="9" style="40" customWidth="1"/>
    <col min="4607" max="4846" width="9.33203125" style="40"/>
    <col min="4847" max="4847" width="3.83203125" style="40" customWidth="1"/>
    <col min="4848" max="4848" width="8.6640625" style="40" customWidth="1"/>
    <col min="4849" max="4849" width="9.33203125" style="40" customWidth="1"/>
    <col min="4850" max="4850" width="14.6640625" style="40" customWidth="1"/>
    <col min="4851" max="4851" width="2.83203125" style="40" customWidth="1"/>
    <col min="4852" max="4852" width="9.1640625" style="40" customWidth="1"/>
    <col min="4853" max="4853" width="14.5" style="40" customWidth="1"/>
    <col min="4854" max="4854" width="4.1640625" style="40" customWidth="1"/>
    <col min="4855" max="4855" width="5.5" style="40" customWidth="1"/>
    <col min="4856" max="4856" width="13.33203125" style="40" customWidth="1"/>
    <col min="4857" max="4857" width="6.33203125" style="40" customWidth="1"/>
    <col min="4858" max="4859" width="12.33203125" style="40" customWidth="1"/>
    <col min="4860" max="4860" width="12" style="40" customWidth="1"/>
    <col min="4861" max="4861" width="2.83203125" style="40" customWidth="1"/>
    <col min="4862" max="4862" width="9" style="40" customWidth="1"/>
    <col min="4863" max="5102" width="9.33203125" style="40"/>
    <col min="5103" max="5103" width="3.83203125" style="40" customWidth="1"/>
    <col min="5104" max="5104" width="8.6640625" style="40" customWidth="1"/>
    <col min="5105" max="5105" width="9.33203125" style="40" customWidth="1"/>
    <col min="5106" max="5106" width="14.6640625" style="40" customWidth="1"/>
    <col min="5107" max="5107" width="2.83203125" style="40" customWidth="1"/>
    <col min="5108" max="5108" width="9.1640625" style="40" customWidth="1"/>
    <col min="5109" max="5109" width="14.5" style="40" customWidth="1"/>
    <col min="5110" max="5110" width="4.1640625" style="40" customWidth="1"/>
    <col min="5111" max="5111" width="5.5" style="40" customWidth="1"/>
    <col min="5112" max="5112" width="13.33203125" style="40" customWidth="1"/>
    <col min="5113" max="5113" width="6.33203125" style="40" customWidth="1"/>
    <col min="5114" max="5115" width="12.33203125" style="40" customWidth="1"/>
    <col min="5116" max="5116" width="12" style="40" customWidth="1"/>
    <col min="5117" max="5117" width="2.83203125" style="40" customWidth="1"/>
    <col min="5118" max="5118" width="9" style="40" customWidth="1"/>
    <col min="5119" max="5358" width="9.33203125" style="40"/>
    <col min="5359" max="5359" width="3.83203125" style="40" customWidth="1"/>
    <col min="5360" max="5360" width="8.6640625" style="40" customWidth="1"/>
    <col min="5361" max="5361" width="9.33203125" style="40" customWidth="1"/>
    <col min="5362" max="5362" width="14.6640625" style="40" customWidth="1"/>
    <col min="5363" max="5363" width="2.83203125" style="40" customWidth="1"/>
    <col min="5364" max="5364" width="9.1640625" style="40" customWidth="1"/>
    <col min="5365" max="5365" width="14.5" style="40" customWidth="1"/>
    <col min="5366" max="5366" width="4.1640625" style="40" customWidth="1"/>
    <col min="5367" max="5367" width="5.5" style="40" customWidth="1"/>
    <col min="5368" max="5368" width="13.33203125" style="40" customWidth="1"/>
    <col min="5369" max="5369" width="6.33203125" style="40" customWidth="1"/>
    <col min="5370" max="5371" width="12.33203125" style="40" customWidth="1"/>
    <col min="5372" max="5372" width="12" style="40" customWidth="1"/>
    <col min="5373" max="5373" width="2.83203125" style="40" customWidth="1"/>
    <col min="5374" max="5374" width="9" style="40" customWidth="1"/>
    <col min="5375" max="5614" width="9.33203125" style="40"/>
    <col min="5615" max="5615" width="3.83203125" style="40" customWidth="1"/>
    <col min="5616" max="5616" width="8.6640625" style="40" customWidth="1"/>
    <col min="5617" max="5617" width="9.33203125" style="40" customWidth="1"/>
    <col min="5618" max="5618" width="14.6640625" style="40" customWidth="1"/>
    <col min="5619" max="5619" width="2.83203125" style="40" customWidth="1"/>
    <col min="5620" max="5620" width="9.1640625" style="40" customWidth="1"/>
    <col min="5621" max="5621" width="14.5" style="40" customWidth="1"/>
    <col min="5622" max="5622" width="4.1640625" style="40" customWidth="1"/>
    <col min="5623" max="5623" width="5.5" style="40" customWidth="1"/>
    <col min="5624" max="5624" width="13.33203125" style="40" customWidth="1"/>
    <col min="5625" max="5625" width="6.33203125" style="40" customWidth="1"/>
    <col min="5626" max="5627" width="12.33203125" style="40" customWidth="1"/>
    <col min="5628" max="5628" width="12" style="40" customWidth="1"/>
    <col min="5629" max="5629" width="2.83203125" style="40" customWidth="1"/>
    <col min="5630" max="5630" width="9" style="40" customWidth="1"/>
    <col min="5631" max="5870" width="9.33203125" style="40"/>
    <col min="5871" max="5871" width="3.83203125" style="40" customWidth="1"/>
    <col min="5872" max="5872" width="8.6640625" style="40" customWidth="1"/>
    <col min="5873" max="5873" width="9.33203125" style="40" customWidth="1"/>
    <col min="5874" max="5874" width="14.6640625" style="40" customWidth="1"/>
    <col min="5875" max="5875" width="2.83203125" style="40" customWidth="1"/>
    <col min="5876" max="5876" width="9.1640625" style="40" customWidth="1"/>
    <col min="5877" max="5877" width="14.5" style="40" customWidth="1"/>
    <col min="5878" max="5878" width="4.1640625" style="40" customWidth="1"/>
    <col min="5879" max="5879" width="5.5" style="40" customWidth="1"/>
    <col min="5880" max="5880" width="13.33203125" style="40" customWidth="1"/>
    <col min="5881" max="5881" width="6.33203125" style="40" customWidth="1"/>
    <col min="5882" max="5883" width="12.33203125" style="40" customWidth="1"/>
    <col min="5884" max="5884" width="12" style="40" customWidth="1"/>
    <col min="5885" max="5885" width="2.83203125" style="40" customWidth="1"/>
    <col min="5886" max="5886" width="9" style="40" customWidth="1"/>
    <col min="5887" max="6126" width="9.33203125" style="40"/>
    <col min="6127" max="6127" width="3.83203125" style="40" customWidth="1"/>
    <col min="6128" max="6128" width="8.6640625" style="40" customWidth="1"/>
    <col min="6129" max="6129" width="9.33203125" style="40" customWidth="1"/>
    <col min="6130" max="6130" width="14.6640625" style="40" customWidth="1"/>
    <col min="6131" max="6131" width="2.83203125" style="40" customWidth="1"/>
    <col min="6132" max="6132" width="9.1640625" style="40" customWidth="1"/>
    <col min="6133" max="6133" width="14.5" style="40" customWidth="1"/>
    <col min="6134" max="6134" width="4.1640625" style="40" customWidth="1"/>
    <col min="6135" max="6135" width="5.5" style="40" customWidth="1"/>
    <col min="6136" max="6136" width="13.33203125" style="40" customWidth="1"/>
    <col min="6137" max="6137" width="6.33203125" style="40" customWidth="1"/>
    <col min="6138" max="6139" width="12.33203125" style="40" customWidth="1"/>
    <col min="6140" max="6140" width="12" style="40" customWidth="1"/>
    <col min="6141" max="6141" width="2.83203125" style="40" customWidth="1"/>
    <col min="6142" max="6142" width="9" style="40" customWidth="1"/>
    <col min="6143" max="6382" width="9.33203125" style="40"/>
    <col min="6383" max="6383" width="3.83203125" style="40" customWidth="1"/>
    <col min="6384" max="6384" width="8.6640625" style="40" customWidth="1"/>
    <col min="6385" max="6385" width="9.33203125" style="40" customWidth="1"/>
    <col min="6386" max="6386" width="14.6640625" style="40" customWidth="1"/>
    <col min="6387" max="6387" width="2.83203125" style="40" customWidth="1"/>
    <col min="6388" max="6388" width="9.1640625" style="40" customWidth="1"/>
    <col min="6389" max="6389" width="14.5" style="40" customWidth="1"/>
    <col min="6390" max="6390" width="4.1640625" style="40" customWidth="1"/>
    <col min="6391" max="6391" width="5.5" style="40" customWidth="1"/>
    <col min="6392" max="6392" width="13.33203125" style="40" customWidth="1"/>
    <col min="6393" max="6393" width="6.33203125" style="40" customWidth="1"/>
    <col min="6394" max="6395" width="12.33203125" style="40" customWidth="1"/>
    <col min="6396" max="6396" width="12" style="40" customWidth="1"/>
    <col min="6397" max="6397" width="2.83203125" style="40" customWidth="1"/>
    <col min="6398" max="6398" width="9" style="40" customWidth="1"/>
    <col min="6399" max="6638" width="9.33203125" style="40"/>
    <col min="6639" max="6639" width="3.83203125" style="40" customWidth="1"/>
    <col min="6640" max="6640" width="8.6640625" style="40" customWidth="1"/>
    <col min="6641" max="6641" width="9.33203125" style="40" customWidth="1"/>
    <col min="6642" max="6642" width="14.6640625" style="40" customWidth="1"/>
    <col min="6643" max="6643" width="2.83203125" style="40" customWidth="1"/>
    <col min="6644" max="6644" width="9.1640625" style="40" customWidth="1"/>
    <col min="6645" max="6645" width="14.5" style="40" customWidth="1"/>
    <col min="6646" max="6646" width="4.1640625" style="40" customWidth="1"/>
    <col min="6647" max="6647" width="5.5" style="40" customWidth="1"/>
    <col min="6648" max="6648" width="13.33203125" style="40" customWidth="1"/>
    <col min="6649" max="6649" width="6.33203125" style="40" customWidth="1"/>
    <col min="6650" max="6651" width="12.33203125" style="40" customWidth="1"/>
    <col min="6652" max="6652" width="12" style="40" customWidth="1"/>
    <col min="6653" max="6653" width="2.83203125" style="40" customWidth="1"/>
    <col min="6654" max="6654" width="9" style="40" customWidth="1"/>
    <col min="6655" max="6894" width="9.33203125" style="40"/>
    <col min="6895" max="6895" width="3.83203125" style="40" customWidth="1"/>
    <col min="6896" max="6896" width="8.6640625" style="40" customWidth="1"/>
    <col min="6897" max="6897" width="9.33203125" style="40" customWidth="1"/>
    <col min="6898" max="6898" width="14.6640625" style="40" customWidth="1"/>
    <col min="6899" max="6899" width="2.83203125" style="40" customWidth="1"/>
    <col min="6900" max="6900" width="9.1640625" style="40" customWidth="1"/>
    <col min="6901" max="6901" width="14.5" style="40" customWidth="1"/>
    <col min="6902" max="6902" width="4.1640625" style="40" customWidth="1"/>
    <col min="6903" max="6903" width="5.5" style="40" customWidth="1"/>
    <col min="6904" max="6904" width="13.33203125" style="40" customWidth="1"/>
    <col min="6905" max="6905" width="6.33203125" style="40" customWidth="1"/>
    <col min="6906" max="6907" width="12.33203125" style="40" customWidth="1"/>
    <col min="6908" max="6908" width="12" style="40" customWidth="1"/>
    <col min="6909" max="6909" width="2.83203125" style="40" customWidth="1"/>
    <col min="6910" max="6910" width="9" style="40" customWidth="1"/>
    <col min="6911" max="7150" width="9.33203125" style="40"/>
    <col min="7151" max="7151" width="3.83203125" style="40" customWidth="1"/>
    <col min="7152" max="7152" width="8.6640625" style="40" customWidth="1"/>
    <col min="7153" max="7153" width="9.33203125" style="40" customWidth="1"/>
    <col min="7154" max="7154" width="14.6640625" style="40" customWidth="1"/>
    <col min="7155" max="7155" width="2.83203125" style="40" customWidth="1"/>
    <col min="7156" max="7156" width="9.1640625" style="40" customWidth="1"/>
    <col min="7157" max="7157" width="14.5" style="40" customWidth="1"/>
    <col min="7158" max="7158" width="4.1640625" style="40" customWidth="1"/>
    <col min="7159" max="7159" width="5.5" style="40" customWidth="1"/>
    <col min="7160" max="7160" width="13.33203125" style="40" customWidth="1"/>
    <col min="7161" max="7161" width="6.33203125" style="40" customWidth="1"/>
    <col min="7162" max="7163" width="12.33203125" style="40" customWidth="1"/>
    <col min="7164" max="7164" width="12" style="40" customWidth="1"/>
    <col min="7165" max="7165" width="2.83203125" style="40" customWidth="1"/>
    <col min="7166" max="7166" width="9" style="40" customWidth="1"/>
    <col min="7167" max="7406" width="9.33203125" style="40"/>
    <col min="7407" max="7407" width="3.83203125" style="40" customWidth="1"/>
    <col min="7408" max="7408" width="8.6640625" style="40" customWidth="1"/>
    <col min="7409" max="7409" width="9.33203125" style="40" customWidth="1"/>
    <col min="7410" max="7410" width="14.6640625" style="40" customWidth="1"/>
    <col min="7411" max="7411" width="2.83203125" style="40" customWidth="1"/>
    <col min="7412" max="7412" width="9.1640625" style="40" customWidth="1"/>
    <col min="7413" max="7413" width="14.5" style="40" customWidth="1"/>
    <col min="7414" max="7414" width="4.1640625" style="40" customWidth="1"/>
    <col min="7415" max="7415" width="5.5" style="40" customWidth="1"/>
    <col min="7416" max="7416" width="13.33203125" style="40" customWidth="1"/>
    <col min="7417" max="7417" width="6.33203125" style="40" customWidth="1"/>
    <col min="7418" max="7419" width="12.33203125" style="40" customWidth="1"/>
    <col min="7420" max="7420" width="12" style="40" customWidth="1"/>
    <col min="7421" max="7421" width="2.83203125" style="40" customWidth="1"/>
    <col min="7422" max="7422" width="9" style="40" customWidth="1"/>
    <col min="7423" max="7662" width="9.33203125" style="40"/>
    <col min="7663" max="7663" width="3.83203125" style="40" customWidth="1"/>
    <col min="7664" max="7664" width="8.6640625" style="40" customWidth="1"/>
    <col min="7665" max="7665" width="9.33203125" style="40" customWidth="1"/>
    <col min="7666" max="7666" width="14.6640625" style="40" customWidth="1"/>
    <col min="7667" max="7667" width="2.83203125" style="40" customWidth="1"/>
    <col min="7668" max="7668" width="9.1640625" style="40" customWidth="1"/>
    <col min="7669" max="7669" width="14.5" style="40" customWidth="1"/>
    <col min="7670" max="7670" width="4.1640625" style="40" customWidth="1"/>
    <col min="7671" max="7671" width="5.5" style="40" customWidth="1"/>
    <col min="7672" max="7672" width="13.33203125" style="40" customWidth="1"/>
    <col min="7673" max="7673" width="6.33203125" style="40" customWidth="1"/>
    <col min="7674" max="7675" width="12.33203125" style="40" customWidth="1"/>
    <col min="7676" max="7676" width="12" style="40" customWidth="1"/>
    <col min="7677" max="7677" width="2.83203125" style="40" customWidth="1"/>
    <col min="7678" max="7678" width="9" style="40" customWidth="1"/>
    <col min="7679" max="7918" width="9.33203125" style="40"/>
    <col min="7919" max="7919" width="3.83203125" style="40" customWidth="1"/>
    <col min="7920" max="7920" width="8.6640625" style="40" customWidth="1"/>
    <col min="7921" max="7921" width="9.33203125" style="40" customWidth="1"/>
    <col min="7922" max="7922" width="14.6640625" style="40" customWidth="1"/>
    <col min="7923" max="7923" width="2.83203125" style="40" customWidth="1"/>
    <col min="7924" max="7924" width="9.1640625" style="40" customWidth="1"/>
    <col min="7925" max="7925" width="14.5" style="40" customWidth="1"/>
    <col min="7926" max="7926" width="4.1640625" style="40" customWidth="1"/>
    <col min="7927" max="7927" width="5.5" style="40" customWidth="1"/>
    <col min="7928" max="7928" width="13.33203125" style="40" customWidth="1"/>
    <col min="7929" max="7929" width="6.33203125" style="40" customWidth="1"/>
    <col min="7930" max="7931" width="12.33203125" style="40" customWidth="1"/>
    <col min="7932" max="7932" width="12" style="40" customWidth="1"/>
    <col min="7933" max="7933" width="2.83203125" style="40" customWidth="1"/>
    <col min="7934" max="7934" width="9" style="40" customWidth="1"/>
    <col min="7935" max="8174" width="9.33203125" style="40"/>
    <col min="8175" max="8175" width="3.83203125" style="40" customWidth="1"/>
    <col min="8176" max="8176" width="8.6640625" style="40" customWidth="1"/>
    <col min="8177" max="8177" width="9.33203125" style="40" customWidth="1"/>
    <col min="8178" max="8178" width="14.6640625" style="40" customWidth="1"/>
    <col min="8179" max="8179" width="2.83203125" style="40" customWidth="1"/>
    <col min="8180" max="8180" width="9.1640625" style="40" customWidth="1"/>
    <col min="8181" max="8181" width="14.5" style="40" customWidth="1"/>
    <col min="8182" max="8182" width="4.1640625" style="40" customWidth="1"/>
    <col min="8183" max="8183" width="5.5" style="40" customWidth="1"/>
    <col min="8184" max="8184" width="13.33203125" style="40" customWidth="1"/>
    <col min="8185" max="8185" width="6.33203125" style="40" customWidth="1"/>
    <col min="8186" max="8187" width="12.33203125" style="40" customWidth="1"/>
    <col min="8188" max="8188" width="12" style="40" customWidth="1"/>
    <col min="8189" max="8189" width="2.83203125" style="40" customWidth="1"/>
    <col min="8190" max="8190" width="9" style="40" customWidth="1"/>
    <col min="8191" max="8430" width="9.33203125" style="40"/>
    <col min="8431" max="8431" width="3.83203125" style="40" customWidth="1"/>
    <col min="8432" max="8432" width="8.6640625" style="40" customWidth="1"/>
    <col min="8433" max="8433" width="9.33203125" style="40" customWidth="1"/>
    <col min="8434" max="8434" width="14.6640625" style="40" customWidth="1"/>
    <col min="8435" max="8435" width="2.83203125" style="40" customWidth="1"/>
    <col min="8436" max="8436" width="9.1640625" style="40" customWidth="1"/>
    <col min="8437" max="8437" width="14.5" style="40" customWidth="1"/>
    <col min="8438" max="8438" width="4.1640625" style="40" customWidth="1"/>
    <col min="8439" max="8439" width="5.5" style="40" customWidth="1"/>
    <col min="8440" max="8440" width="13.33203125" style="40" customWidth="1"/>
    <col min="8441" max="8441" width="6.33203125" style="40" customWidth="1"/>
    <col min="8442" max="8443" width="12.33203125" style="40" customWidth="1"/>
    <col min="8444" max="8444" width="12" style="40" customWidth="1"/>
    <col min="8445" max="8445" width="2.83203125" style="40" customWidth="1"/>
    <col min="8446" max="8446" width="9" style="40" customWidth="1"/>
    <col min="8447" max="8686" width="9.33203125" style="40"/>
    <col min="8687" max="8687" width="3.83203125" style="40" customWidth="1"/>
    <col min="8688" max="8688" width="8.6640625" style="40" customWidth="1"/>
    <col min="8689" max="8689" width="9.33203125" style="40" customWidth="1"/>
    <col min="8690" max="8690" width="14.6640625" style="40" customWidth="1"/>
    <col min="8691" max="8691" width="2.83203125" style="40" customWidth="1"/>
    <col min="8692" max="8692" width="9.1640625" style="40" customWidth="1"/>
    <col min="8693" max="8693" width="14.5" style="40" customWidth="1"/>
    <col min="8694" max="8694" width="4.1640625" style="40" customWidth="1"/>
    <col min="8695" max="8695" width="5.5" style="40" customWidth="1"/>
    <col min="8696" max="8696" width="13.33203125" style="40" customWidth="1"/>
    <col min="8697" max="8697" width="6.33203125" style="40" customWidth="1"/>
    <col min="8698" max="8699" width="12.33203125" style="40" customWidth="1"/>
    <col min="8700" max="8700" width="12" style="40" customWidth="1"/>
    <col min="8701" max="8701" width="2.83203125" style="40" customWidth="1"/>
    <col min="8702" max="8702" width="9" style="40" customWidth="1"/>
    <col min="8703" max="8942" width="9.33203125" style="40"/>
    <col min="8943" max="8943" width="3.83203125" style="40" customWidth="1"/>
    <col min="8944" max="8944" width="8.6640625" style="40" customWidth="1"/>
    <col min="8945" max="8945" width="9.33203125" style="40" customWidth="1"/>
    <col min="8946" max="8946" width="14.6640625" style="40" customWidth="1"/>
    <col min="8947" max="8947" width="2.83203125" style="40" customWidth="1"/>
    <col min="8948" max="8948" width="9.1640625" style="40" customWidth="1"/>
    <col min="8949" max="8949" width="14.5" style="40" customWidth="1"/>
    <col min="8950" max="8950" width="4.1640625" style="40" customWidth="1"/>
    <col min="8951" max="8951" width="5.5" style="40" customWidth="1"/>
    <col min="8952" max="8952" width="13.33203125" style="40" customWidth="1"/>
    <col min="8953" max="8953" width="6.33203125" style="40" customWidth="1"/>
    <col min="8954" max="8955" width="12.33203125" style="40" customWidth="1"/>
    <col min="8956" max="8956" width="12" style="40" customWidth="1"/>
    <col min="8957" max="8957" width="2.83203125" style="40" customWidth="1"/>
    <col min="8958" max="8958" width="9" style="40" customWidth="1"/>
    <col min="8959" max="9198" width="9.33203125" style="40"/>
    <col min="9199" max="9199" width="3.83203125" style="40" customWidth="1"/>
    <col min="9200" max="9200" width="8.6640625" style="40" customWidth="1"/>
    <col min="9201" max="9201" width="9.33203125" style="40" customWidth="1"/>
    <col min="9202" max="9202" width="14.6640625" style="40" customWidth="1"/>
    <col min="9203" max="9203" width="2.83203125" style="40" customWidth="1"/>
    <col min="9204" max="9204" width="9.1640625" style="40" customWidth="1"/>
    <col min="9205" max="9205" width="14.5" style="40" customWidth="1"/>
    <col min="9206" max="9206" width="4.1640625" style="40" customWidth="1"/>
    <col min="9207" max="9207" width="5.5" style="40" customWidth="1"/>
    <col min="9208" max="9208" width="13.33203125" style="40" customWidth="1"/>
    <col min="9209" max="9209" width="6.33203125" style="40" customWidth="1"/>
    <col min="9210" max="9211" width="12.33203125" style="40" customWidth="1"/>
    <col min="9212" max="9212" width="12" style="40" customWidth="1"/>
    <col min="9213" max="9213" width="2.83203125" style="40" customWidth="1"/>
    <col min="9214" max="9214" width="9" style="40" customWidth="1"/>
    <col min="9215" max="9454" width="9.33203125" style="40"/>
    <col min="9455" max="9455" width="3.83203125" style="40" customWidth="1"/>
    <col min="9456" max="9456" width="8.6640625" style="40" customWidth="1"/>
    <col min="9457" max="9457" width="9.33203125" style="40" customWidth="1"/>
    <col min="9458" max="9458" width="14.6640625" style="40" customWidth="1"/>
    <col min="9459" max="9459" width="2.83203125" style="40" customWidth="1"/>
    <col min="9460" max="9460" width="9.1640625" style="40" customWidth="1"/>
    <col min="9461" max="9461" width="14.5" style="40" customWidth="1"/>
    <col min="9462" max="9462" width="4.1640625" style="40" customWidth="1"/>
    <col min="9463" max="9463" width="5.5" style="40" customWidth="1"/>
    <col min="9464" max="9464" width="13.33203125" style="40" customWidth="1"/>
    <col min="9465" max="9465" width="6.33203125" style="40" customWidth="1"/>
    <col min="9466" max="9467" width="12.33203125" style="40" customWidth="1"/>
    <col min="9468" max="9468" width="12" style="40" customWidth="1"/>
    <col min="9469" max="9469" width="2.83203125" style="40" customWidth="1"/>
    <col min="9470" max="9470" width="9" style="40" customWidth="1"/>
    <col min="9471" max="9710" width="9.33203125" style="40"/>
    <col min="9711" max="9711" width="3.83203125" style="40" customWidth="1"/>
    <col min="9712" max="9712" width="8.6640625" style="40" customWidth="1"/>
    <col min="9713" max="9713" width="9.33203125" style="40" customWidth="1"/>
    <col min="9714" max="9714" width="14.6640625" style="40" customWidth="1"/>
    <col min="9715" max="9715" width="2.83203125" style="40" customWidth="1"/>
    <col min="9716" max="9716" width="9.1640625" style="40" customWidth="1"/>
    <col min="9717" max="9717" width="14.5" style="40" customWidth="1"/>
    <col min="9718" max="9718" width="4.1640625" style="40" customWidth="1"/>
    <col min="9719" max="9719" width="5.5" style="40" customWidth="1"/>
    <col min="9720" max="9720" width="13.33203125" style="40" customWidth="1"/>
    <col min="9721" max="9721" width="6.33203125" style="40" customWidth="1"/>
    <col min="9722" max="9723" width="12.33203125" style="40" customWidth="1"/>
    <col min="9724" max="9724" width="12" style="40" customWidth="1"/>
    <col min="9725" max="9725" width="2.83203125" style="40" customWidth="1"/>
    <col min="9726" max="9726" width="9" style="40" customWidth="1"/>
    <col min="9727" max="9966" width="9.33203125" style="40"/>
    <col min="9967" max="9967" width="3.83203125" style="40" customWidth="1"/>
    <col min="9968" max="9968" width="8.6640625" style="40" customWidth="1"/>
    <col min="9969" max="9969" width="9.33203125" style="40" customWidth="1"/>
    <col min="9970" max="9970" width="14.6640625" style="40" customWidth="1"/>
    <col min="9971" max="9971" width="2.83203125" style="40" customWidth="1"/>
    <col min="9972" max="9972" width="9.1640625" style="40" customWidth="1"/>
    <col min="9973" max="9973" width="14.5" style="40" customWidth="1"/>
    <col min="9974" max="9974" width="4.1640625" style="40" customWidth="1"/>
    <col min="9975" max="9975" width="5.5" style="40" customWidth="1"/>
    <col min="9976" max="9976" width="13.33203125" style="40" customWidth="1"/>
    <col min="9977" max="9977" width="6.33203125" style="40" customWidth="1"/>
    <col min="9978" max="9979" width="12.33203125" style="40" customWidth="1"/>
    <col min="9980" max="9980" width="12" style="40" customWidth="1"/>
    <col min="9981" max="9981" width="2.83203125" style="40" customWidth="1"/>
    <col min="9982" max="9982" width="9" style="40" customWidth="1"/>
    <col min="9983" max="10222" width="9.33203125" style="40"/>
    <col min="10223" max="10223" width="3.83203125" style="40" customWidth="1"/>
    <col min="10224" max="10224" width="8.6640625" style="40" customWidth="1"/>
    <col min="10225" max="10225" width="9.33203125" style="40" customWidth="1"/>
    <col min="10226" max="10226" width="14.6640625" style="40" customWidth="1"/>
    <col min="10227" max="10227" width="2.83203125" style="40" customWidth="1"/>
    <col min="10228" max="10228" width="9.1640625" style="40" customWidth="1"/>
    <col min="10229" max="10229" width="14.5" style="40" customWidth="1"/>
    <col min="10230" max="10230" width="4.1640625" style="40" customWidth="1"/>
    <col min="10231" max="10231" width="5.5" style="40" customWidth="1"/>
    <col min="10232" max="10232" width="13.33203125" style="40" customWidth="1"/>
    <col min="10233" max="10233" width="6.33203125" style="40" customWidth="1"/>
    <col min="10234" max="10235" width="12.33203125" style="40" customWidth="1"/>
    <col min="10236" max="10236" width="12" style="40" customWidth="1"/>
    <col min="10237" max="10237" width="2.83203125" style="40" customWidth="1"/>
    <col min="10238" max="10238" width="9" style="40" customWidth="1"/>
    <col min="10239" max="10478" width="9.33203125" style="40"/>
    <col min="10479" max="10479" width="3.83203125" style="40" customWidth="1"/>
    <col min="10480" max="10480" width="8.6640625" style="40" customWidth="1"/>
    <col min="10481" max="10481" width="9.33203125" style="40" customWidth="1"/>
    <col min="10482" max="10482" width="14.6640625" style="40" customWidth="1"/>
    <col min="10483" max="10483" width="2.83203125" style="40" customWidth="1"/>
    <col min="10484" max="10484" width="9.1640625" style="40" customWidth="1"/>
    <col min="10485" max="10485" width="14.5" style="40" customWidth="1"/>
    <col min="10486" max="10486" width="4.1640625" style="40" customWidth="1"/>
    <col min="10487" max="10487" width="5.5" style="40" customWidth="1"/>
    <col min="10488" max="10488" width="13.33203125" style="40" customWidth="1"/>
    <col min="10489" max="10489" width="6.33203125" style="40" customWidth="1"/>
    <col min="10490" max="10491" width="12.33203125" style="40" customWidth="1"/>
    <col min="10492" max="10492" width="12" style="40" customWidth="1"/>
    <col min="10493" max="10493" width="2.83203125" style="40" customWidth="1"/>
    <col min="10494" max="10494" width="9" style="40" customWidth="1"/>
    <col min="10495" max="10734" width="9.33203125" style="40"/>
    <col min="10735" max="10735" width="3.83203125" style="40" customWidth="1"/>
    <col min="10736" max="10736" width="8.6640625" style="40" customWidth="1"/>
    <col min="10737" max="10737" width="9.33203125" style="40" customWidth="1"/>
    <col min="10738" max="10738" width="14.6640625" style="40" customWidth="1"/>
    <col min="10739" max="10739" width="2.83203125" style="40" customWidth="1"/>
    <col min="10740" max="10740" width="9.1640625" style="40" customWidth="1"/>
    <col min="10741" max="10741" width="14.5" style="40" customWidth="1"/>
    <col min="10742" max="10742" width="4.1640625" style="40" customWidth="1"/>
    <col min="10743" max="10743" width="5.5" style="40" customWidth="1"/>
    <col min="10744" max="10744" width="13.33203125" style="40" customWidth="1"/>
    <col min="10745" max="10745" width="6.33203125" style="40" customWidth="1"/>
    <col min="10746" max="10747" width="12.33203125" style="40" customWidth="1"/>
    <col min="10748" max="10748" width="12" style="40" customWidth="1"/>
    <col min="10749" max="10749" width="2.83203125" style="40" customWidth="1"/>
    <col min="10750" max="10750" width="9" style="40" customWidth="1"/>
    <col min="10751" max="10990" width="9.33203125" style="40"/>
    <col min="10991" max="10991" width="3.83203125" style="40" customWidth="1"/>
    <col min="10992" max="10992" width="8.6640625" style="40" customWidth="1"/>
    <col min="10993" max="10993" width="9.33203125" style="40" customWidth="1"/>
    <col min="10994" max="10994" width="14.6640625" style="40" customWidth="1"/>
    <col min="10995" max="10995" width="2.83203125" style="40" customWidth="1"/>
    <col min="10996" max="10996" width="9.1640625" style="40" customWidth="1"/>
    <col min="10997" max="10997" width="14.5" style="40" customWidth="1"/>
    <col min="10998" max="10998" width="4.1640625" style="40" customWidth="1"/>
    <col min="10999" max="10999" width="5.5" style="40" customWidth="1"/>
    <col min="11000" max="11000" width="13.33203125" style="40" customWidth="1"/>
    <col min="11001" max="11001" width="6.33203125" style="40" customWidth="1"/>
    <col min="11002" max="11003" width="12.33203125" style="40" customWidth="1"/>
    <col min="11004" max="11004" width="12" style="40" customWidth="1"/>
    <col min="11005" max="11005" width="2.83203125" style="40" customWidth="1"/>
    <col min="11006" max="11006" width="9" style="40" customWidth="1"/>
    <col min="11007" max="11246" width="9.33203125" style="40"/>
    <col min="11247" max="11247" width="3.83203125" style="40" customWidth="1"/>
    <col min="11248" max="11248" width="8.6640625" style="40" customWidth="1"/>
    <col min="11249" max="11249" width="9.33203125" style="40" customWidth="1"/>
    <col min="11250" max="11250" width="14.6640625" style="40" customWidth="1"/>
    <col min="11251" max="11251" width="2.83203125" style="40" customWidth="1"/>
    <col min="11252" max="11252" width="9.1640625" style="40" customWidth="1"/>
    <col min="11253" max="11253" width="14.5" style="40" customWidth="1"/>
    <col min="11254" max="11254" width="4.1640625" style="40" customWidth="1"/>
    <col min="11255" max="11255" width="5.5" style="40" customWidth="1"/>
    <col min="11256" max="11256" width="13.33203125" style="40" customWidth="1"/>
    <col min="11257" max="11257" width="6.33203125" style="40" customWidth="1"/>
    <col min="11258" max="11259" width="12.33203125" style="40" customWidth="1"/>
    <col min="11260" max="11260" width="12" style="40" customWidth="1"/>
    <col min="11261" max="11261" width="2.83203125" style="40" customWidth="1"/>
    <col min="11262" max="11262" width="9" style="40" customWidth="1"/>
    <col min="11263" max="11502" width="9.33203125" style="40"/>
    <col min="11503" max="11503" width="3.83203125" style="40" customWidth="1"/>
    <col min="11504" max="11504" width="8.6640625" style="40" customWidth="1"/>
    <col min="11505" max="11505" width="9.33203125" style="40" customWidth="1"/>
    <col min="11506" max="11506" width="14.6640625" style="40" customWidth="1"/>
    <col min="11507" max="11507" width="2.83203125" style="40" customWidth="1"/>
    <col min="11508" max="11508" width="9.1640625" style="40" customWidth="1"/>
    <col min="11509" max="11509" width="14.5" style="40" customWidth="1"/>
    <col min="11510" max="11510" width="4.1640625" style="40" customWidth="1"/>
    <col min="11511" max="11511" width="5.5" style="40" customWidth="1"/>
    <col min="11512" max="11512" width="13.33203125" style="40" customWidth="1"/>
    <col min="11513" max="11513" width="6.33203125" style="40" customWidth="1"/>
    <col min="11514" max="11515" width="12.33203125" style="40" customWidth="1"/>
    <col min="11516" max="11516" width="12" style="40" customWidth="1"/>
    <col min="11517" max="11517" width="2.83203125" style="40" customWidth="1"/>
    <col min="11518" max="11518" width="9" style="40" customWidth="1"/>
    <col min="11519" max="11758" width="9.33203125" style="40"/>
    <col min="11759" max="11759" width="3.83203125" style="40" customWidth="1"/>
    <col min="11760" max="11760" width="8.6640625" style="40" customWidth="1"/>
    <col min="11761" max="11761" width="9.33203125" style="40" customWidth="1"/>
    <col min="11762" max="11762" width="14.6640625" style="40" customWidth="1"/>
    <col min="11763" max="11763" width="2.83203125" style="40" customWidth="1"/>
    <col min="11764" max="11764" width="9.1640625" style="40" customWidth="1"/>
    <col min="11765" max="11765" width="14.5" style="40" customWidth="1"/>
    <col min="11766" max="11766" width="4.1640625" style="40" customWidth="1"/>
    <col min="11767" max="11767" width="5.5" style="40" customWidth="1"/>
    <col min="11768" max="11768" width="13.33203125" style="40" customWidth="1"/>
    <col min="11769" max="11769" width="6.33203125" style="40" customWidth="1"/>
    <col min="11770" max="11771" width="12.33203125" style="40" customWidth="1"/>
    <col min="11772" max="11772" width="12" style="40" customWidth="1"/>
    <col min="11773" max="11773" width="2.83203125" style="40" customWidth="1"/>
    <col min="11774" max="11774" width="9" style="40" customWidth="1"/>
    <col min="11775" max="12014" width="9.33203125" style="40"/>
    <col min="12015" max="12015" width="3.83203125" style="40" customWidth="1"/>
    <col min="12016" max="12016" width="8.6640625" style="40" customWidth="1"/>
    <col min="12017" max="12017" width="9.33203125" style="40" customWidth="1"/>
    <col min="12018" max="12018" width="14.6640625" style="40" customWidth="1"/>
    <col min="12019" max="12019" width="2.83203125" style="40" customWidth="1"/>
    <col min="12020" max="12020" width="9.1640625" style="40" customWidth="1"/>
    <col min="12021" max="12021" width="14.5" style="40" customWidth="1"/>
    <col min="12022" max="12022" width="4.1640625" style="40" customWidth="1"/>
    <col min="12023" max="12023" width="5.5" style="40" customWidth="1"/>
    <col min="12024" max="12024" width="13.33203125" style="40" customWidth="1"/>
    <col min="12025" max="12025" width="6.33203125" style="40" customWidth="1"/>
    <col min="12026" max="12027" width="12.33203125" style="40" customWidth="1"/>
    <col min="12028" max="12028" width="12" style="40" customWidth="1"/>
    <col min="12029" max="12029" width="2.83203125" style="40" customWidth="1"/>
    <col min="12030" max="12030" width="9" style="40" customWidth="1"/>
    <col min="12031" max="12270" width="9.33203125" style="40"/>
    <col min="12271" max="12271" width="3.83203125" style="40" customWidth="1"/>
    <col min="12272" max="12272" width="8.6640625" style="40" customWidth="1"/>
    <col min="12273" max="12273" width="9.33203125" style="40" customWidth="1"/>
    <col min="12274" max="12274" width="14.6640625" style="40" customWidth="1"/>
    <col min="12275" max="12275" width="2.83203125" style="40" customWidth="1"/>
    <col min="12276" max="12276" width="9.1640625" style="40" customWidth="1"/>
    <col min="12277" max="12277" width="14.5" style="40" customWidth="1"/>
    <col min="12278" max="12278" width="4.1640625" style="40" customWidth="1"/>
    <col min="12279" max="12279" width="5.5" style="40" customWidth="1"/>
    <col min="12280" max="12280" width="13.33203125" style="40" customWidth="1"/>
    <col min="12281" max="12281" width="6.33203125" style="40" customWidth="1"/>
    <col min="12282" max="12283" width="12.33203125" style="40" customWidth="1"/>
    <col min="12284" max="12284" width="12" style="40" customWidth="1"/>
    <col min="12285" max="12285" width="2.83203125" style="40" customWidth="1"/>
    <col min="12286" max="12286" width="9" style="40" customWidth="1"/>
    <col min="12287" max="12526" width="9.33203125" style="40"/>
    <col min="12527" max="12527" width="3.83203125" style="40" customWidth="1"/>
    <col min="12528" max="12528" width="8.6640625" style="40" customWidth="1"/>
    <col min="12529" max="12529" width="9.33203125" style="40" customWidth="1"/>
    <col min="12530" max="12530" width="14.6640625" style="40" customWidth="1"/>
    <col min="12531" max="12531" width="2.83203125" style="40" customWidth="1"/>
    <col min="12532" max="12532" width="9.1640625" style="40" customWidth="1"/>
    <col min="12533" max="12533" width="14.5" style="40" customWidth="1"/>
    <col min="12534" max="12534" width="4.1640625" style="40" customWidth="1"/>
    <col min="12535" max="12535" width="5.5" style="40" customWidth="1"/>
    <col min="12536" max="12536" width="13.33203125" style="40" customWidth="1"/>
    <col min="12537" max="12537" width="6.33203125" style="40" customWidth="1"/>
    <col min="12538" max="12539" width="12.33203125" style="40" customWidth="1"/>
    <col min="12540" max="12540" width="12" style="40" customWidth="1"/>
    <col min="12541" max="12541" width="2.83203125" style="40" customWidth="1"/>
    <col min="12542" max="12542" width="9" style="40" customWidth="1"/>
    <col min="12543" max="12782" width="9.33203125" style="40"/>
    <col min="12783" max="12783" width="3.83203125" style="40" customWidth="1"/>
    <col min="12784" max="12784" width="8.6640625" style="40" customWidth="1"/>
    <col min="12785" max="12785" width="9.33203125" style="40" customWidth="1"/>
    <col min="12786" max="12786" width="14.6640625" style="40" customWidth="1"/>
    <col min="12787" max="12787" width="2.83203125" style="40" customWidth="1"/>
    <col min="12788" max="12788" width="9.1640625" style="40" customWidth="1"/>
    <col min="12789" max="12789" width="14.5" style="40" customWidth="1"/>
    <col min="12790" max="12790" width="4.1640625" style="40" customWidth="1"/>
    <col min="12791" max="12791" width="5.5" style="40" customWidth="1"/>
    <col min="12792" max="12792" width="13.33203125" style="40" customWidth="1"/>
    <col min="12793" max="12793" width="6.33203125" style="40" customWidth="1"/>
    <col min="12794" max="12795" width="12.33203125" style="40" customWidth="1"/>
    <col min="12796" max="12796" width="12" style="40" customWidth="1"/>
    <col min="12797" max="12797" width="2.83203125" style="40" customWidth="1"/>
    <col min="12798" max="12798" width="9" style="40" customWidth="1"/>
    <col min="12799" max="13038" width="9.33203125" style="40"/>
    <col min="13039" max="13039" width="3.83203125" style="40" customWidth="1"/>
    <col min="13040" max="13040" width="8.6640625" style="40" customWidth="1"/>
    <col min="13041" max="13041" width="9.33203125" style="40" customWidth="1"/>
    <col min="13042" max="13042" width="14.6640625" style="40" customWidth="1"/>
    <col min="13043" max="13043" width="2.83203125" style="40" customWidth="1"/>
    <col min="13044" max="13044" width="9.1640625" style="40" customWidth="1"/>
    <col min="13045" max="13045" width="14.5" style="40" customWidth="1"/>
    <col min="13046" max="13046" width="4.1640625" style="40" customWidth="1"/>
    <col min="13047" max="13047" width="5.5" style="40" customWidth="1"/>
    <col min="13048" max="13048" width="13.33203125" style="40" customWidth="1"/>
    <col min="13049" max="13049" width="6.33203125" style="40" customWidth="1"/>
    <col min="13050" max="13051" width="12.33203125" style="40" customWidth="1"/>
    <col min="13052" max="13052" width="12" style="40" customWidth="1"/>
    <col min="13053" max="13053" width="2.83203125" style="40" customWidth="1"/>
    <col min="13054" max="13054" width="9" style="40" customWidth="1"/>
    <col min="13055" max="13294" width="9.33203125" style="40"/>
    <col min="13295" max="13295" width="3.83203125" style="40" customWidth="1"/>
    <col min="13296" max="13296" width="8.6640625" style="40" customWidth="1"/>
    <col min="13297" max="13297" width="9.33203125" style="40" customWidth="1"/>
    <col min="13298" max="13298" width="14.6640625" style="40" customWidth="1"/>
    <col min="13299" max="13299" width="2.83203125" style="40" customWidth="1"/>
    <col min="13300" max="13300" width="9.1640625" style="40" customWidth="1"/>
    <col min="13301" max="13301" width="14.5" style="40" customWidth="1"/>
    <col min="13302" max="13302" width="4.1640625" style="40" customWidth="1"/>
    <col min="13303" max="13303" width="5.5" style="40" customWidth="1"/>
    <col min="13304" max="13304" width="13.33203125" style="40" customWidth="1"/>
    <col min="13305" max="13305" width="6.33203125" style="40" customWidth="1"/>
    <col min="13306" max="13307" width="12.33203125" style="40" customWidth="1"/>
    <col min="13308" max="13308" width="12" style="40" customWidth="1"/>
    <col min="13309" max="13309" width="2.83203125" style="40" customWidth="1"/>
    <col min="13310" max="13310" width="9" style="40" customWidth="1"/>
    <col min="13311" max="13550" width="9.33203125" style="40"/>
    <col min="13551" max="13551" width="3.83203125" style="40" customWidth="1"/>
    <col min="13552" max="13552" width="8.6640625" style="40" customWidth="1"/>
    <col min="13553" max="13553" width="9.33203125" style="40" customWidth="1"/>
    <col min="13554" max="13554" width="14.6640625" style="40" customWidth="1"/>
    <col min="13555" max="13555" width="2.83203125" style="40" customWidth="1"/>
    <col min="13556" max="13556" width="9.1640625" style="40" customWidth="1"/>
    <col min="13557" max="13557" width="14.5" style="40" customWidth="1"/>
    <col min="13558" max="13558" width="4.1640625" style="40" customWidth="1"/>
    <col min="13559" max="13559" width="5.5" style="40" customWidth="1"/>
    <col min="13560" max="13560" width="13.33203125" style="40" customWidth="1"/>
    <col min="13561" max="13561" width="6.33203125" style="40" customWidth="1"/>
    <col min="13562" max="13563" width="12.33203125" style="40" customWidth="1"/>
    <col min="13564" max="13564" width="12" style="40" customWidth="1"/>
    <col min="13565" max="13565" width="2.83203125" style="40" customWidth="1"/>
    <col min="13566" max="13566" width="9" style="40" customWidth="1"/>
    <col min="13567" max="13806" width="9.33203125" style="40"/>
    <col min="13807" max="13807" width="3.83203125" style="40" customWidth="1"/>
    <col min="13808" max="13808" width="8.6640625" style="40" customWidth="1"/>
    <col min="13809" max="13809" width="9.33203125" style="40" customWidth="1"/>
    <col min="13810" max="13810" width="14.6640625" style="40" customWidth="1"/>
    <col min="13811" max="13811" width="2.83203125" style="40" customWidth="1"/>
    <col min="13812" max="13812" width="9.1640625" style="40" customWidth="1"/>
    <col min="13813" max="13813" width="14.5" style="40" customWidth="1"/>
    <col min="13814" max="13814" width="4.1640625" style="40" customWidth="1"/>
    <col min="13815" max="13815" width="5.5" style="40" customWidth="1"/>
    <col min="13816" max="13816" width="13.33203125" style="40" customWidth="1"/>
    <col min="13817" max="13817" width="6.33203125" style="40" customWidth="1"/>
    <col min="13818" max="13819" width="12.33203125" style="40" customWidth="1"/>
    <col min="13820" max="13820" width="12" style="40" customWidth="1"/>
    <col min="13821" max="13821" width="2.83203125" style="40" customWidth="1"/>
    <col min="13822" max="13822" width="9" style="40" customWidth="1"/>
    <col min="13823" max="14062" width="9.33203125" style="40"/>
    <col min="14063" max="14063" width="3.83203125" style="40" customWidth="1"/>
    <col min="14064" max="14064" width="8.6640625" style="40" customWidth="1"/>
    <col min="14065" max="14065" width="9.33203125" style="40" customWidth="1"/>
    <col min="14066" max="14066" width="14.6640625" style="40" customWidth="1"/>
    <col min="14067" max="14067" width="2.83203125" style="40" customWidth="1"/>
    <col min="14068" max="14068" width="9.1640625" style="40" customWidth="1"/>
    <col min="14069" max="14069" width="14.5" style="40" customWidth="1"/>
    <col min="14070" max="14070" width="4.1640625" style="40" customWidth="1"/>
    <col min="14071" max="14071" width="5.5" style="40" customWidth="1"/>
    <col min="14072" max="14072" width="13.33203125" style="40" customWidth="1"/>
    <col min="14073" max="14073" width="6.33203125" style="40" customWidth="1"/>
    <col min="14074" max="14075" width="12.33203125" style="40" customWidth="1"/>
    <col min="14076" max="14076" width="12" style="40" customWidth="1"/>
    <col min="14077" max="14077" width="2.83203125" style="40" customWidth="1"/>
    <col min="14078" max="14078" width="9" style="40" customWidth="1"/>
    <col min="14079" max="14318" width="9.33203125" style="40"/>
    <col min="14319" max="14319" width="3.83203125" style="40" customWidth="1"/>
    <col min="14320" max="14320" width="8.6640625" style="40" customWidth="1"/>
    <col min="14321" max="14321" width="9.33203125" style="40" customWidth="1"/>
    <col min="14322" max="14322" width="14.6640625" style="40" customWidth="1"/>
    <col min="14323" max="14323" width="2.83203125" style="40" customWidth="1"/>
    <col min="14324" max="14324" width="9.1640625" style="40" customWidth="1"/>
    <col min="14325" max="14325" width="14.5" style="40" customWidth="1"/>
    <col min="14326" max="14326" width="4.1640625" style="40" customWidth="1"/>
    <col min="14327" max="14327" width="5.5" style="40" customWidth="1"/>
    <col min="14328" max="14328" width="13.33203125" style="40" customWidth="1"/>
    <col min="14329" max="14329" width="6.33203125" style="40" customWidth="1"/>
    <col min="14330" max="14331" width="12.33203125" style="40" customWidth="1"/>
    <col min="14332" max="14332" width="12" style="40" customWidth="1"/>
    <col min="14333" max="14333" width="2.83203125" style="40" customWidth="1"/>
    <col min="14334" max="14334" width="9" style="40" customWidth="1"/>
    <col min="14335" max="14574" width="9.33203125" style="40"/>
    <col min="14575" max="14575" width="3.83203125" style="40" customWidth="1"/>
    <col min="14576" max="14576" width="8.6640625" style="40" customWidth="1"/>
    <col min="14577" max="14577" width="9.33203125" style="40" customWidth="1"/>
    <col min="14578" max="14578" width="14.6640625" style="40" customWidth="1"/>
    <col min="14579" max="14579" width="2.83203125" style="40" customWidth="1"/>
    <col min="14580" max="14580" width="9.1640625" style="40" customWidth="1"/>
    <col min="14581" max="14581" width="14.5" style="40" customWidth="1"/>
    <col min="14582" max="14582" width="4.1640625" style="40" customWidth="1"/>
    <col min="14583" max="14583" width="5.5" style="40" customWidth="1"/>
    <col min="14584" max="14584" width="13.33203125" style="40" customWidth="1"/>
    <col min="14585" max="14585" width="6.33203125" style="40" customWidth="1"/>
    <col min="14586" max="14587" width="12.33203125" style="40" customWidth="1"/>
    <col min="14588" max="14588" width="12" style="40" customWidth="1"/>
    <col min="14589" max="14589" width="2.83203125" style="40" customWidth="1"/>
    <col min="14590" max="14590" width="9" style="40" customWidth="1"/>
    <col min="14591" max="14830" width="9.33203125" style="40"/>
    <col min="14831" max="14831" width="3.83203125" style="40" customWidth="1"/>
    <col min="14832" max="14832" width="8.6640625" style="40" customWidth="1"/>
    <col min="14833" max="14833" width="9.33203125" style="40" customWidth="1"/>
    <col min="14834" max="14834" width="14.6640625" style="40" customWidth="1"/>
    <col min="14835" max="14835" width="2.83203125" style="40" customWidth="1"/>
    <col min="14836" max="14836" width="9.1640625" style="40" customWidth="1"/>
    <col min="14837" max="14837" width="14.5" style="40" customWidth="1"/>
    <col min="14838" max="14838" width="4.1640625" style="40" customWidth="1"/>
    <col min="14839" max="14839" width="5.5" style="40" customWidth="1"/>
    <col min="14840" max="14840" width="13.33203125" style="40" customWidth="1"/>
    <col min="14841" max="14841" width="6.33203125" style="40" customWidth="1"/>
    <col min="14842" max="14843" width="12.33203125" style="40" customWidth="1"/>
    <col min="14844" max="14844" width="12" style="40" customWidth="1"/>
    <col min="14845" max="14845" width="2.83203125" style="40" customWidth="1"/>
    <col min="14846" max="14846" width="9" style="40" customWidth="1"/>
    <col min="14847" max="15086" width="9.33203125" style="40"/>
    <col min="15087" max="15087" width="3.83203125" style="40" customWidth="1"/>
    <col min="15088" max="15088" width="8.6640625" style="40" customWidth="1"/>
    <col min="15089" max="15089" width="9.33203125" style="40" customWidth="1"/>
    <col min="15090" max="15090" width="14.6640625" style="40" customWidth="1"/>
    <col min="15091" max="15091" width="2.83203125" style="40" customWidth="1"/>
    <col min="15092" max="15092" width="9.1640625" style="40" customWidth="1"/>
    <col min="15093" max="15093" width="14.5" style="40" customWidth="1"/>
    <col min="15094" max="15094" width="4.1640625" style="40" customWidth="1"/>
    <col min="15095" max="15095" width="5.5" style="40" customWidth="1"/>
    <col min="15096" max="15096" width="13.33203125" style="40" customWidth="1"/>
    <col min="15097" max="15097" width="6.33203125" style="40" customWidth="1"/>
    <col min="15098" max="15099" width="12.33203125" style="40" customWidth="1"/>
    <col min="15100" max="15100" width="12" style="40" customWidth="1"/>
    <col min="15101" max="15101" width="2.83203125" style="40" customWidth="1"/>
    <col min="15102" max="15102" width="9" style="40" customWidth="1"/>
    <col min="15103" max="15342" width="9.33203125" style="40"/>
    <col min="15343" max="15343" width="3.83203125" style="40" customWidth="1"/>
    <col min="15344" max="15344" width="8.6640625" style="40" customWidth="1"/>
    <col min="15345" max="15345" width="9.33203125" style="40" customWidth="1"/>
    <col min="15346" max="15346" width="14.6640625" style="40" customWidth="1"/>
    <col min="15347" max="15347" width="2.83203125" style="40" customWidth="1"/>
    <col min="15348" max="15348" width="9.1640625" style="40" customWidth="1"/>
    <col min="15349" max="15349" width="14.5" style="40" customWidth="1"/>
    <col min="15350" max="15350" width="4.1640625" style="40" customWidth="1"/>
    <col min="15351" max="15351" width="5.5" style="40" customWidth="1"/>
    <col min="15352" max="15352" width="13.33203125" style="40" customWidth="1"/>
    <col min="15353" max="15353" width="6.33203125" style="40" customWidth="1"/>
    <col min="15354" max="15355" width="12.33203125" style="40" customWidth="1"/>
    <col min="15356" max="15356" width="12" style="40" customWidth="1"/>
    <col min="15357" max="15357" width="2.83203125" style="40" customWidth="1"/>
    <col min="15358" max="15358" width="9" style="40" customWidth="1"/>
    <col min="15359" max="15598" width="9.33203125" style="40"/>
    <col min="15599" max="15599" width="3.83203125" style="40" customWidth="1"/>
    <col min="15600" max="15600" width="8.6640625" style="40" customWidth="1"/>
    <col min="15601" max="15601" width="9.33203125" style="40" customWidth="1"/>
    <col min="15602" max="15602" width="14.6640625" style="40" customWidth="1"/>
    <col min="15603" max="15603" width="2.83203125" style="40" customWidth="1"/>
    <col min="15604" max="15604" width="9.1640625" style="40" customWidth="1"/>
    <col min="15605" max="15605" width="14.5" style="40" customWidth="1"/>
    <col min="15606" max="15606" width="4.1640625" style="40" customWidth="1"/>
    <col min="15607" max="15607" width="5.5" style="40" customWidth="1"/>
    <col min="15608" max="15608" width="13.33203125" style="40" customWidth="1"/>
    <col min="15609" max="15609" width="6.33203125" style="40" customWidth="1"/>
    <col min="15610" max="15611" width="12.33203125" style="40" customWidth="1"/>
    <col min="15612" max="15612" width="12" style="40" customWidth="1"/>
    <col min="15613" max="15613" width="2.83203125" style="40" customWidth="1"/>
    <col min="15614" max="15614" width="9" style="40" customWidth="1"/>
    <col min="15615" max="15854" width="9.33203125" style="40"/>
    <col min="15855" max="15855" width="3.83203125" style="40" customWidth="1"/>
    <col min="15856" max="15856" width="8.6640625" style="40" customWidth="1"/>
    <col min="15857" max="15857" width="9.33203125" style="40" customWidth="1"/>
    <col min="15858" max="15858" width="14.6640625" style="40" customWidth="1"/>
    <col min="15859" max="15859" width="2.83203125" style="40" customWidth="1"/>
    <col min="15860" max="15860" width="9.1640625" style="40" customWidth="1"/>
    <col min="15861" max="15861" width="14.5" style="40" customWidth="1"/>
    <col min="15862" max="15862" width="4.1640625" style="40" customWidth="1"/>
    <col min="15863" max="15863" width="5.5" style="40" customWidth="1"/>
    <col min="15864" max="15864" width="13.33203125" style="40" customWidth="1"/>
    <col min="15865" max="15865" width="6.33203125" style="40" customWidth="1"/>
    <col min="15866" max="15867" width="12.33203125" style="40" customWidth="1"/>
    <col min="15868" max="15868" width="12" style="40" customWidth="1"/>
    <col min="15869" max="15869" width="2.83203125" style="40" customWidth="1"/>
    <col min="15870" max="15870" width="9" style="40" customWidth="1"/>
    <col min="15871" max="16110" width="9.33203125" style="40"/>
    <col min="16111" max="16111" width="3.83203125" style="40" customWidth="1"/>
    <col min="16112" max="16112" width="8.6640625" style="40" customWidth="1"/>
    <col min="16113" max="16113" width="9.33203125" style="40" customWidth="1"/>
    <col min="16114" max="16114" width="14.6640625" style="40" customWidth="1"/>
    <col min="16115" max="16115" width="2.83203125" style="40" customWidth="1"/>
    <col min="16116" max="16116" width="9.1640625" style="40" customWidth="1"/>
    <col min="16117" max="16117" width="14.5" style="40" customWidth="1"/>
    <col min="16118" max="16118" width="4.1640625" style="40" customWidth="1"/>
    <col min="16119" max="16119" width="5.5" style="40" customWidth="1"/>
    <col min="16120" max="16120" width="13.33203125" style="40" customWidth="1"/>
    <col min="16121" max="16121" width="6.33203125" style="40" customWidth="1"/>
    <col min="16122" max="16123" width="12.33203125" style="40" customWidth="1"/>
    <col min="16124" max="16124" width="12" style="40" customWidth="1"/>
    <col min="16125" max="16125" width="2.83203125" style="40" customWidth="1"/>
    <col min="16126" max="16126" width="9" style="40" customWidth="1"/>
    <col min="16127" max="16384" width="9.33203125" style="40"/>
  </cols>
  <sheetData>
    <row r="1" spans="1:12" ht="18" x14ac:dyDescent="0.2">
      <c r="B1" s="223" t="s">
        <v>42</v>
      </c>
      <c r="C1" s="223"/>
      <c r="D1" s="223"/>
      <c r="E1" s="223"/>
      <c r="F1" s="223"/>
      <c r="G1" s="223"/>
      <c r="H1" s="223"/>
      <c r="I1" s="41"/>
      <c r="J1" s="150"/>
      <c r="K1" s="52"/>
    </row>
    <row r="2" spans="1:12" x14ac:dyDescent="0.2">
      <c r="B2" s="224" t="s">
        <v>43</v>
      </c>
      <c r="C2" s="224"/>
      <c r="D2" s="224"/>
      <c r="E2" s="224"/>
      <c r="F2" s="224"/>
      <c r="G2" s="224"/>
      <c r="H2" s="224"/>
      <c r="I2" s="224"/>
      <c r="J2" s="151"/>
      <c r="K2" s="53"/>
    </row>
    <row r="3" spans="1:12" x14ac:dyDescent="0.2">
      <c r="B3" s="225" t="s">
        <v>332</v>
      </c>
      <c r="C3" s="225"/>
      <c r="D3" s="225"/>
      <c r="E3" s="225"/>
      <c r="F3" s="225"/>
      <c r="G3" s="225"/>
      <c r="H3" s="225"/>
      <c r="I3" s="225"/>
      <c r="J3" s="152"/>
      <c r="K3" s="54"/>
    </row>
    <row r="4" spans="1:12" x14ac:dyDescent="0.2">
      <c r="A4" s="61" t="s">
        <v>44</v>
      </c>
      <c r="B4" s="43"/>
      <c r="C4" s="43"/>
      <c r="D4" s="43"/>
      <c r="E4" s="43"/>
      <c r="F4" s="43"/>
      <c r="G4" s="82"/>
      <c r="H4" s="82"/>
      <c r="I4" s="122">
        <v>102381.34</v>
      </c>
      <c r="J4" s="153"/>
    </row>
    <row r="5" spans="1:12" x14ac:dyDescent="0.2">
      <c r="A5" s="62" t="s">
        <v>45</v>
      </c>
      <c r="B5" s="63" t="s">
        <v>28</v>
      </c>
      <c r="C5" s="63" t="s">
        <v>46</v>
      </c>
      <c r="D5" s="63" t="s">
        <v>47</v>
      </c>
      <c r="E5" s="63" t="s">
        <v>32</v>
      </c>
      <c r="F5" s="63" t="s">
        <v>48</v>
      </c>
      <c r="G5" s="83" t="s">
        <v>49</v>
      </c>
      <c r="H5" s="83" t="s">
        <v>50</v>
      </c>
      <c r="I5" s="84" t="s">
        <v>51</v>
      </c>
      <c r="J5" s="143" t="s">
        <v>52</v>
      </c>
      <c r="K5" s="64" t="s">
        <v>31</v>
      </c>
    </row>
    <row r="6" spans="1:12" s="104" customFormat="1" x14ac:dyDescent="0.2">
      <c r="A6" s="40" t="s">
        <v>53</v>
      </c>
      <c r="B6" s="131">
        <v>46082</v>
      </c>
      <c r="C6" s="43" t="s">
        <v>333</v>
      </c>
      <c r="D6" s="43" t="s">
        <v>334</v>
      </c>
      <c r="E6" s="132" t="s">
        <v>334</v>
      </c>
      <c r="F6" s="43" t="s">
        <v>194</v>
      </c>
      <c r="G6" s="82"/>
      <c r="H6" s="47">
        <v>-46447.78</v>
      </c>
      <c r="I6" s="47">
        <v>55933.56</v>
      </c>
      <c r="J6" s="131">
        <v>46081</v>
      </c>
      <c r="K6" s="192">
        <v>-4</v>
      </c>
      <c r="L6" s="47"/>
    </row>
    <row r="7" spans="1:12" s="104" customFormat="1" x14ac:dyDescent="0.2">
      <c r="A7" s="40" t="s">
        <v>53</v>
      </c>
      <c r="B7" s="131">
        <v>46082</v>
      </c>
      <c r="C7" s="43" t="s">
        <v>335</v>
      </c>
      <c r="D7" s="43" t="s">
        <v>58</v>
      </c>
      <c r="E7" s="132" t="s">
        <v>479</v>
      </c>
      <c r="F7" s="43" t="s">
        <v>519</v>
      </c>
      <c r="G7" s="203">
        <v>7660.61</v>
      </c>
      <c r="H7" s="47"/>
      <c r="I7" s="47">
        <v>63594.17</v>
      </c>
      <c r="J7" s="191" t="s">
        <v>319</v>
      </c>
      <c r="K7" s="192">
        <v>2</v>
      </c>
      <c r="L7" s="47"/>
    </row>
    <row r="8" spans="1:12" s="104" customFormat="1" x14ac:dyDescent="0.2">
      <c r="A8" s="40" t="s">
        <v>53</v>
      </c>
      <c r="B8" s="131">
        <v>46082</v>
      </c>
      <c r="C8" s="43" t="s">
        <v>336</v>
      </c>
      <c r="D8" s="43" t="s">
        <v>337</v>
      </c>
      <c r="E8" s="132" t="s">
        <v>337</v>
      </c>
      <c r="F8" s="43" t="s">
        <v>337</v>
      </c>
      <c r="G8" s="82">
        <v>12679.49</v>
      </c>
      <c r="H8" s="47"/>
      <c r="I8" s="47">
        <v>76273.66</v>
      </c>
      <c r="J8" s="131">
        <v>46081</v>
      </c>
      <c r="K8" s="192">
        <v>4</v>
      </c>
      <c r="L8" s="47"/>
    </row>
    <row r="9" spans="1:12" s="104" customFormat="1" x14ac:dyDescent="0.2">
      <c r="A9" s="40" t="s">
        <v>53</v>
      </c>
      <c r="B9" s="131">
        <v>46082</v>
      </c>
      <c r="C9" s="43" t="s">
        <v>338</v>
      </c>
      <c r="D9" s="43" t="s">
        <v>58</v>
      </c>
      <c r="E9" s="132" t="s">
        <v>480</v>
      </c>
      <c r="F9" s="43" t="s">
        <v>520</v>
      </c>
      <c r="G9" s="82">
        <v>4707.92</v>
      </c>
      <c r="H9" s="47"/>
      <c r="I9" s="47">
        <v>80981.58</v>
      </c>
      <c r="J9" s="191" t="s">
        <v>311</v>
      </c>
      <c r="K9" s="192">
        <v>2</v>
      </c>
      <c r="L9" s="47"/>
    </row>
    <row r="10" spans="1:12" s="104" customFormat="1" x14ac:dyDescent="0.2">
      <c r="A10" s="40" t="s">
        <v>53</v>
      </c>
      <c r="B10" s="131">
        <v>46082</v>
      </c>
      <c r="C10" s="43" t="s">
        <v>338</v>
      </c>
      <c r="D10" s="43" t="s">
        <v>58</v>
      </c>
      <c r="E10" s="132" t="s">
        <v>480</v>
      </c>
      <c r="F10" s="43" t="s">
        <v>521</v>
      </c>
      <c r="G10" s="82">
        <v>11861.62</v>
      </c>
      <c r="H10" s="47"/>
      <c r="I10" s="47">
        <v>92843.199999999997</v>
      </c>
      <c r="J10" s="191" t="s">
        <v>311</v>
      </c>
      <c r="K10" s="192">
        <v>2</v>
      </c>
      <c r="L10" s="47"/>
    </row>
    <row r="11" spans="1:12" s="104" customFormat="1" x14ac:dyDescent="0.2">
      <c r="A11" s="40" t="s">
        <v>53</v>
      </c>
      <c r="B11" s="131">
        <v>46082</v>
      </c>
      <c r="C11" s="43" t="s">
        <v>338</v>
      </c>
      <c r="D11" s="43" t="s">
        <v>58</v>
      </c>
      <c r="E11" s="132" t="s">
        <v>480</v>
      </c>
      <c r="F11" s="43" t="s">
        <v>522</v>
      </c>
      <c r="G11" s="82">
        <v>2264.91</v>
      </c>
      <c r="H11" s="47"/>
      <c r="I11" s="47">
        <v>95108.11</v>
      </c>
      <c r="J11" s="191" t="s">
        <v>311</v>
      </c>
      <c r="K11" s="192">
        <v>2</v>
      </c>
      <c r="L11" s="47"/>
    </row>
    <row r="12" spans="1:12" s="104" customFormat="1" x14ac:dyDescent="0.2">
      <c r="A12" s="40" t="s">
        <v>53</v>
      </c>
      <c r="B12" s="131">
        <v>46082</v>
      </c>
      <c r="C12" s="43" t="s">
        <v>338</v>
      </c>
      <c r="D12" s="43" t="s">
        <v>58</v>
      </c>
      <c r="E12" s="132" t="s">
        <v>480</v>
      </c>
      <c r="F12" s="43" t="s">
        <v>523</v>
      </c>
      <c r="G12" s="203">
        <v>5059.8999999999996</v>
      </c>
      <c r="H12" s="47"/>
      <c r="I12" s="47">
        <v>100168.01</v>
      </c>
      <c r="J12" s="191" t="s">
        <v>319</v>
      </c>
      <c r="K12" s="192">
        <v>2</v>
      </c>
      <c r="L12" s="47"/>
    </row>
    <row r="13" spans="1:12" s="104" customFormat="1" x14ac:dyDescent="0.2">
      <c r="A13" s="40" t="s">
        <v>53</v>
      </c>
      <c r="B13" s="131">
        <v>46082</v>
      </c>
      <c r="C13" s="43" t="s">
        <v>338</v>
      </c>
      <c r="D13" s="43" t="s">
        <v>58</v>
      </c>
      <c r="E13" s="132" t="s">
        <v>480</v>
      </c>
      <c r="F13" s="43" t="s">
        <v>524</v>
      </c>
      <c r="G13" s="203">
        <v>8017.92</v>
      </c>
      <c r="H13" s="47"/>
      <c r="I13" s="47">
        <v>108185.93</v>
      </c>
      <c r="J13" s="191" t="s">
        <v>319</v>
      </c>
      <c r="K13" s="192">
        <v>2</v>
      </c>
      <c r="L13" s="47"/>
    </row>
    <row r="14" spans="1:12" s="104" customFormat="1" x14ac:dyDescent="0.2">
      <c r="A14" s="40" t="s">
        <v>53</v>
      </c>
      <c r="B14" s="131">
        <v>46082</v>
      </c>
      <c r="C14" s="43" t="s">
        <v>338</v>
      </c>
      <c r="D14" s="43" t="s">
        <v>58</v>
      </c>
      <c r="E14" s="132" t="s">
        <v>480</v>
      </c>
      <c r="F14" s="43" t="s">
        <v>525</v>
      </c>
      <c r="G14" s="203">
        <v>2366</v>
      </c>
      <c r="H14" s="47"/>
      <c r="I14" s="47">
        <v>110551.93</v>
      </c>
      <c r="J14" s="191" t="s">
        <v>319</v>
      </c>
      <c r="K14" s="192">
        <v>2</v>
      </c>
      <c r="L14" s="47"/>
    </row>
    <row r="15" spans="1:12" s="104" customFormat="1" x14ac:dyDescent="0.2">
      <c r="A15" s="40" t="s">
        <v>53</v>
      </c>
      <c r="B15" s="131">
        <v>46082</v>
      </c>
      <c r="C15" s="43" t="s">
        <v>338</v>
      </c>
      <c r="D15" s="43" t="s">
        <v>58</v>
      </c>
      <c r="E15" s="132" t="s">
        <v>480</v>
      </c>
      <c r="F15" s="43" t="s">
        <v>526</v>
      </c>
      <c r="G15" s="82">
        <v>979.96</v>
      </c>
      <c r="H15" s="47"/>
      <c r="I15" s="47">
        <v>111531.89</v>
      </c>
      <c r="J15" s="191" t="s">
        <v>311</v>
      </c>
      <c r="K15" s="192">
        <v>2</v>
      </c>
      <c r="L15" s="47"/>
    </row>
    <row r="16" spans="1:12" s="104" customFormat="1" x14ac:dyDescent="0.2">
      <c r="A16" s="40" t="s">
        <v>53</v>
      </c>
      <c r="B16" s="131">
        <v>46083</v>
      </c>
      <c r="C16" s="43" t="s">
        <v>339</v>
      </c>
      <c r="D16" s="43" t="s">
        <v>287</v>
      </c>
      <c r="E16" s="132" t="s">
        <v>73</v>
      </c>
      <c r="F16" s="43" t="s">
        <v>527</v>
      </c>
      <c r="G16" s="82"/>
      <c r="H16" s="47">
        <v>-157.5</v>
      </c>
      <c r="I16" s="47">
        <v>111374.39</v>
      </c>
      <c r="J16" s="191" t="s">
        <v>286</v>
      </c>
      <c r="K16" s="192">
        <v>-2</v>
      </c>
      <c r="L16" s="47"/>
    </row>
    <row r="17" spans="1:12" s="104" customFormat="1" x14ac:dyDescent="0.2">
      <c r="A17" s="40" t="s">
        <v>53</v>
      </c>
      <c r="B17" s="131">
        <v>46083</v>
      </c>
      <c r="C17" s="43" t="s">
        <v>340</v>
      </c>
      <c r="D17" s="43" t="s">
        <v>341</v>
      </c>
      <c r="E17" s="132" t="s">
        <v>55</v>
      </c>
      <c r="F17" s="43" t="s">
        <v>528</v>
      </c>
      <c r="G17" s="82"/>
      <c r="H17" s="47">
        <v>-210.25</v>
      </c>
      <c r="I17" s="47">
        <v>111164.14</v>
      </c>
      <c r="J17" s="191"/>
      <c r="K17" s="192">
        <v>-1</v>
      </c>
      <c r="L17" s="47"/>
    </row>
    <row r="18" spans="1:12" s="104" customFormat="1" x14ac:dyDescent="0.2">
      <c r="A18" s="40" t="s">
        <v>53</v>
      </c>
      <c r="B18" s="131">
        <v>46083</v>
      </c>
      <c r="C18" s="43" t="s">
        <v>340</v>
      </c>
      <c r="D18" s="43" t="s">
        <v>341</v>
      </c>
      <c r="E18" s="132" t="s">
        <v>55</v>
      </c>
      <c r="F18" s="43" t="s">
        <v>529</v>
      </c>
      <c r="G18" s="82"/>
      <c r="H18" s="47">
        <v>-164.45</v>
      </c>
      <c r="I18" s="47">
        <v>110999.69</v>
      </c>
      <c r="J18" s="191"/>
      <c r="K18" s="192">
        <v>-1</v>
      </c>
      <c r="L18" s="47"/>
    </row>
    <row r="19" spans="1:12" s="104" customFormat="1" x14ac:dyDescent="0.2">
      <c r="A19" s="40" t="s">
        <v>53</v>
      </c>
      <c r="B19" s="131">
        <v>46083</v>
      </c>
      <c r="C19" s="43" t="s">
        <v>340</v>
      </c>
      <c r="D19" s="43" t="s">
        <v>341</v>
      </c>
      <c r="E19" s="132" t="s">
        <v>55</v>
      </c>
      <c r="F19" s="43" t="s">
        <v>136</v>
      </c>
      <c r="G19" s="82"/>
      <c r="H19" s="47">
        <v>-179.8</v>
      </c>
      <c r="I19" s="47">
        <v>110819.89</v>
      </c>
      <c r="J19" s="191"/>
      <c r="K19" s="192">
        <v>-1</v>
      </c>
      <c r="L19" s="47"/>
    </row>
    <row r="20" spans="1:12" s="104" customFormat="1" x14ac:dyDescent="0.2">
      <c r="A20" s="40" t="s">
        <v>53</v>
      </c>
      <c r="B20" s="131">
        <v>46083</v>
      </c>
      <c r="C20" s="43" t="s">
        <v>342</v>
      </c>
      <c r="D20" s="43" t="s">
        <v>343</v>
      </c>
      <c r="E20" s="132" t="s">
        <v>54</v>
      </c>
      <c r="F20" s="43" t="s">
        <v>530</v>
      </c>
      <c r="G20" s="82"/>
      <c r="H20" s="47">
        <v>-2609.77</v>
      </c>
      <c r="I20" s="47">
        <v>108210.12</v>
      </c>
      <c r="J20" s="191" t="s">
        <v>326</v>
      </c>
      <c r="K20" s="192">
        <v>-2</v>
      </c>
      <c r="L20" s="47"/>
    </row>
    <row r="21" spans="1:12" s="104" customFormat="1" x14ac:dyDescent="0.2">
      <c r="A21" s="40" t="s">
        <v>53</v>
      </c>
      <c r="B21" s="131">
        <v>46083</v>
      </c>
      <c r="C21" s="43" t="s">
        <v>342</v>
      </c>
      <c r="D21" s="43" t="s">
        <v>343</v>
      </c>
      <c r="E21" s="132" t="s">
        <v>54</v>
      </c>
      <c r="F21" s="43" t="s">
        <v>531</v>
      </c>
      <c r="G21" s="82"/>
      <c r="H21" s="47">
        <v>-71.290000000000006</v>
      </c>
      <c r="I21" s="47">
        <v>108138.83</v>
      </c>
      <c r="J21" s="191" t="s">
        <v>326</v>
      </c>
      <c r="K21" s="192">
        <v>-2</v>
      </c>
      <c r="L21" s="47"/>
    </row>
    <row r="22" spans="1:12" s="104" customFormat="1" x14ac:dyDescent="0.2">
      <c r="A22" s="40" t="s">
        <v>53</v>
      </c>
      <c r="B22" s="131">
        <v>46083</v>
      </c>
      <c r="C22" s="43" t="s">
        <v>342</v>
      </c>
      <c r="D22" s="43" t="s">
        <v>343</v>
      </c>
      <c r="E22" s="132" t="s">
        <v>54</v>
      </c>
      <c r="F22" s="43" t="s">
        <v>532</v>
      </c>
      <c r="G22" s="82"/>
      <c r="H22" s="47">
        <v>-23.41</v>
      </c>
      <c r="I22" s="47">
        <v>108115.42</v>
      </c>
      <c r="J22" s="191" t="s">
        <v>326</v>
      </c>
      <c r="K22" s="192">
        <v>-2</v>
      </c>
      <c r="L22" s="47"/>
    </row>
    <row r="23" spans="1:12" s="104" customFormat="1" x14ac:dyDescent="0.2">
      <c r="A23" s="40" t="s">
        <v>53</v>
      </c>
      <c r="B23" s="131">
        <v>46083</v>
      </c>
      <c r="C23" s="43" t="s">
        <v>344</v>
      </c>
      <c r="D23" s="43" t="s">
        <v>58</v>
      </c>
      <c r="E23" s="132" t="s">
        <v>481</v>
      </c>
      <c r="F23" s="43" t="s">
        <v>533</v>
      </c>
      <c r="G23" s="82">
        <v>12726.06</v>
      </c>
      <c r="H23" s="47"/>
      <c r="I23" s="47">
        <v>120841.48</v>
      </c>
      <c r="J23" s="191" t="s">
        <v>319</v>
      </c>
      <c r="K23" s="192">
        <v>2</v>
      </c>
      <c r="L23" s="47"/>
    </row>
    <row r="24" spans="1:12" s="104" customFormat="1" x14ac:dyDescent="0.2">
      <c r="A24" s="40" t="s">
        <v>53</v>
      </c>
      <c r="B24" s="131">
        <v>46083</v>
      </c>
      <c r="C24" s="43" t="s">
        <v>344</v>
      </c>
      <c r="D24" s="43" t="s">
        <v>58</v>
      </c>
      <c r="E24" s="132" t="s">
        <v>481</v>
      </c>
      <c r="F24" s="43" t="s">
        <v>534</v>
      </c>
      <c r="G24" s="82">
        <v>4967.5600000000004</v>
      </c>
      <c r="H24" s="47"/>
      <c r="I24" s="47">
        <v>125809.04</v>
      </c>
      <c r="J24" s="191" t="s">
        <v>319</v>
      </c>
      <c r="K24" s="192">
        <v>2</v>
      </c>
      <c r="L24" s="47"/>
    </row>
    <row r="25" spans="1:12" s="104" customFormat="1" x14ac:dyDescent="0.2">
      <c r="A25" s="40" t="s">
        <v>53</v>
      </c>
      <c r="B25" s="131">
        <v>46083</v>
      </c>
      <c r="C25" s="43" t="s">
        <v>344</v>
      </c>
      <c r="D25" s="43" t="s">
        <v>58</v>
      </c>
      <c r="E25" s="132" t="s">
        <v>481</v>
      </c>
      <c r="F25" s="43" t="s">
        <v>535</v>
      </c>
      <c r="G25" s="82">
        <v>2629.48</v>
      </c>
      <c r="H25" s="47"/>
      <c r="I25" s="47">
        <v>128438.52</v>
      </c>
      <c r="J25" s="191" t="s">
        <v>319</v>
      </c>
      <c r="K25" s="192">
        <v>2</v>
      </c>
      <c r="L25" s="47"/>
    </row>
    <row r="26" spans="1:12" s="104" customFormat="1" x14ac:dyDescent="0.2">
      <c r="A26" s="40" t="s">
        <v>53</v>
      </c>
      <c r="B26" s="131">
        <v>46083</v>
      </c>
      <c r="C26" s="43" t="s">
        <v>344</v>
      </c>
      <c r="D26" s="43" t="s">
        <v>58</v>
      </c>
      <c r="E26" s="132" t="s">
        <v>481</v>
      </c>
      <c r="F26" s="43" t="s">
        <v>536</v>
      </c>
      <c r="G26" s="82">
        <v>10678.41</v>
      </c>
      <c r="H26" s="47"/>
      <c r="I26" s="47">
        <v>139116.93</v>
      </c>
      <c r="J26" s="191" t="s">
        <v>319</v>
      </c>
      <c r="K26" s="192">
        <v>2</v>
      </c>
      <c r="L26" s="47"/>
    </row>
    <row r="27" spans="1:12" s="104" customFormat="1" x14ac:dyDescent="0.2">
      <c r="A27" s="40" t="s">
        <v>53</v>
      </c>
      <c r="B27" s="131">
        <v>46083</v>
      </c>
      <c r="C27" s="43" t="s">
        <v>344</v>
      </c>
      <c r="D27" s="43" t="s">
        <v>58</v>
      </c>
      <c r="E27" s="132" t="s">
        <v>481</v>
      </c>
      <c r="F27" s="43" t="s">
        <v>537</v>
      </c>
      <c r="G27" s="82">
        <v>2074.1799999999998</v>
      </c>
      <c r="H27" s="47"/>
      <c r="I27" s="47">
        <v>141191.10999999999</v>
      </c>
      <c r="J27" s="191" t="s">
        <v>319</v>
      </c>
      <c r="K27" s="192">
        <v>2</v>
      </c>
      <c r="L27" s="47"/>
    </row>
    <row r="28" spans="1:12" s="104" customFormat="1" x14ac:dyDescent="0.2">
      <c r="A28" s="40" t="s">
        <v>53</v>
      </c>
      <c r="B28" s="131">
        <v>46083</v>
      </c>
      <c r="C28" s="43" t="s">
        <v>344</v>
      </c>
      <c r="D28" s="43" t="s">
        <v>58</v>
      </c>
      <c r="E28" s="132" t="s">
        <v>481</v>
      </c>
      <c r="F28" s="43" t="s">
        <v>538</v>
      </c>
      <c r="G28" s="82">
        <v>6564.65</v>
      </c>
      <c r="H28" s="47"/>
      <c r="I28" s="47">
        <v>147755.76</v>
      </c>
      <c r="J28" s="191" t="s">
        <v>326</v>
      </c>
      <c r="K28" s="192">
        <v>2</v>
      </c>
      <c r="L28" s="47"/>
    </row>
    <row r="29" spans="1:12" s="104" customFormat="1" x14ac:dyDescent="0.2">
      <c r="A29" s="40" t="s">
        <v>53</v>
      </c>
      <c r="B29" s="131">
        <v>46083</v>
      </c>
      <c r="C29" s="43" t="s">
        <v>345</v>
      </c>
      <c r="D29" s="43" t="s">
        <v>346</v>
      </c>
      <c r="E29" s="132" t="s">
        <v>346</v>
      </c>
      <c r="F29" s="43" t="s">
        <v>346</v>
      </c>
      <c r="G29" s="82">
        <v>436.12</v>
      </c>
      <c r="H29" s="47"/>
      <c r="I29" s="47">
        <v>148191.88</v>
      </c>
      <c r="J29" s="21" t="s">
        <v>326</v>
      </c>
      <c r="K29" s="192">
        <v>2</v>
      </c>
      <c r="L29" s="47"/>
    </row>
    <row r="30" spans="1:12" s="104" customFormat="1" x14ac:dyDescent="0.2">
      <c r="A30" s="40" t="s">
        <v>53</v>
      </c>
      <c r="B30" s="131">
        <v>46084</v>
      </c>
      <c r="C30" s="43" t="s">
        <v>347</v>
      </c>
      <c r="D30" s="43" t="s">
        <v>348</v>
      </c>
      <c r="E30" s="132" t="s">
        <v>88</v>
      </c>
      <c r="F30" s="43" t="s">
        <v>539</v>
      </c>
      <c r="G30" s="82"/>
      <c r="H30" s="47">
        <v>-190.28</v>
      </c>
      <c r="I30" s="47">
        <v>148001.60000000001</v>
      </c>
      <c r="J30" s="131">
        <v>46104</v>
      </c>
      <c r="K30" s="192">
        <v>-4</v>
      </c>
      <c r="L30" s="47"/>
    </row>
    <row r="31" spans="1:12" s="104" customFormat="1" x14ac:dyDescent="0.2">
      <c r="A31" s="40" t="s">
        <v>53</v>
      </c>
      <c r="B31" s="131">
        <v>46084</v>
      </c>
      <c r="C31" s="43" t="s">
        <v>347</v>
      </c>
      <c r="D31" s="43" t="s">
        <v>348</v>
      </c>
      <c r="E31" s="132" t="s">
        <v>88</v>
      </c>
      <c r="F31" s="43" t="s">
        <v>540</v>
      </c>
      <c r="G31" s="82"/>
      <c r="H31" s="47">
        <v>-212.6</v>
      </c>
      <c r="I31" s="47">
        <v>147789</v>
      </c>
      <c r="J31" s="131">
        <v>46104</v>
      </c>
      <c r="K31" s="192">
        <v>-4</v>
      </c>
      <c r="L31" s="47"/>
    </row>
    <row r="32" spans="1:12" s="104" customFormat="1" x14ac:dyDescent="0.2">
      <c r="A32" s="40" t="s">
        <v>53</v>
      </c>
      <c r="B32" s="131">
        <v>46084</v>
      </c>
      <c r="C32" s="43" t="s">
        <v>349</v>
      </c>
      <c r="D32" s="43" t="s">
        <v>350</v>
      </c>
      <c r="E32" s="132" t="s">
        <v>55</v>
      </c>
      <c r="F32" s="43" t="s">
        <v>541</v>
      </c>
      <c r="G32" s="82"/>
      <c r="H32" s="47">
        <v>-27.48</v>
      </c>
      <c r="I32" s="47">
        <v>147761.51999999999</v>
      </c>
      <c r="J32" s="131">
        <v>46104</v>
      </c>
      <c r="K32" s="192">
        <v>-4</v>
      </c>
      <c r="L32" s="47"/>
    </row>
    <row r="33" spans="1:12" s="104" customFormat="1" x14ac:dyDescent="0.2">
      <c r="A33" s="40" t="s">
        <v>53</v>
      </c>
      <c r="B33" s="131">
        <v>46084</v>
      </c>
      <c r="C33" s="43" t="s">
        <v>351</v>
      </c>
      <c r="D33" s="43" t="s">
        <v>352</v>
      </c>
      <c r="E33" s="132" t="s">
        <v>59</v>
      </c>
      <c r="F33" s="43" t="s">
        <v>60</v>
      </c>
      <c r="G33" s="82"/>
      <c r="H33" s="47">
        <v>-12679.49</v>
      </c>
      <c r="I33" s="47">
        <v>135082.03</v>
      </c>
      <c r="J33" s="131">
        <v>46094</v>
      </c>
      <c r="K33" s="192">
        <v>-4</v>
      </c>
      <c r="L33" s="47"/>
    </row>
    <row r="34" spans="1:12" s="104" customFormat="1" x14ac:dyDescent="0.2">
      <c r="A34" s="40" t="s">
        <v>53</v>
      </c>
      <c r="B34" s="131">
        <v>46084</v>
      </c>
      <c r="C34" s="43" t="s">
        <v>353</v>
      </c>
      <c r="D34" s="43" t="s">
        <v>354</v>
      </c>
      <c r="E34" s="132" t="s">
        <v>482</v>
      </c>
      <c r="F34" s="43" t="s">
        <v>542</v>
      </c>
      <c r="G34" s="82">
        <v>46447.78</v>
      </c>
      <c r="H34" s="47"/>
      <c r="I34" s="47">
        <v>181529.81</v>
      </c>
      <c r="J34" s="191" t="s">
        <v>319</v>
      </c>
      <c r="K34" s="192">
        <v>2</v>
      </c>
      <c r="L34" s="47"/>
    </row>
    <row r="35" spans="1:12" s="104" customFormat="1" x14ac:dyDescent="0.2">
      <c r="A35" s="40" t="s">
        <v>53</v>
      </c>
      <c r="B35" s="131">
        <v>46085</v>
      </c>
      <c r="C35" s="43" t="s">
        <v>355</v>
      </c>
      <c r="D35" s="43" t="s">
        <v>356</v>
      </c>
      <c r="E35" s="132" t="s">
        <v>54</v>
      </c>
      <c r="F35" s="43" t="s">
        <v>543</v>
      </c>
      <c r="G35" s="82"/>
      <c r="H35" s="47">
        <v>-3472.95</v>
      </c>
      <c r="I35" s="47">
        <v>178056.86</v>
      </c>
      <c r="J35" s="191" t="s">
        <v>311</v>
      </c>
      <c r="K35" s="192">
        <v>-2</v>
      </c>
      <c r="L35" s="47"/>
    </row>
    <row r="36" spans="1:12" s="104" customFormat="1" x14ac:dyDescent="0.2">
      <c r="A36" s="40" t="s">
        <v>53</v>
      </c>
      <c r="B36" s="131">
        <v>46085</v>
      </c>
      <c r="C36" s="43" t="s">
        <v>355</v>
      </c>
      <c r="D36" s="43" t="s">
        <v>356</v>
      </c>
      <c r="E36" s="132" t="s">
        <v>54</v>
      </c>
      <c r="F36" s="43" t="s">
        <v>543</v>
      </c>
      <c r="G36" s="82"/>
      <c r="H36" s="47">
        <v>-4360</v>
      </c>
      <c r="I36" s="47">
        <v>173696.86</v>
      </c>
      <c r="J36" s="191" t="s">
        <v>311</v>
      </c>
      <c r="K36" s="192">
        <v>-2</v>
      </c>
      <c r="L36" s="47"/>
    </row>
    <row r="37" spans="1:12" s="104" customFormat="1" x14ac:dyDescent="0.2">
      <c r="A37" s="40" t="s">
        <v>53</v>
      </c>
      <c r="B37" s="131">
        <v>46085</v>
      </c>
      <c r="C37" s="43" t="s">
        <v>355</v>
      </c>
      <c r="D37" s="43" t="s">
        <v>356</v>
      </c>
      <c r="E37" s="132" t="s">
        <v>54</v>
      </c>
      <c r="F37" s="43" t="s">
        <v>543</v>
      </c>
      <c r="G37" s="82"/>
      <c r="H37" s="47">
        <v>-677</v>
      </c>
      <c r="I37" s="47">
        <v>173019.86</v>
      </c>
      <c r="J37" s="191" t="s">
        <v>311</v>
      </c>
      <c r="K37" s="192">
        <v>-2</v>
      </c>
      <c r="L37" s="47"/>
    </row>
    <row r="38" spans="1:12" s="104" customFormat="1" x14ac:dyDescent="0.2">
      <c r="A38" s="40" t="s">
        <v>53</v>
      </c>
      <c r="B38" s="131">
        <v>46085</v>
      </c>
      <c r="C38" s="43" t="s">
        <v>355</v>
      </c>
      <c r="D38" s="43" t="s">
        <v>356</v>
      </c>
      <c r="E38" s="132" t="s">
        <v>54</v>
      </c>
      <c r="F38" s="43" t="s">
        <v>543</v>
      </c>
      <c r="G38" s="82"/>
      <c r="H38" s="47">
        <v>-70.58</v>
      </c>
      <c r="I38" s="47">
        <v>172949.28</v>
      </c>
      <c r="J38" s="191" t="s">
        <v>311</v>
      </c>
      <c r="K38" s="192">
        <v>-2</v>
      </c>
      <c r="L38" s="47"/>
    </row>
    <row r="39" spans="1:12" s="104" customFormat="1" x14ac:dyDescent="0.2">
      <c r="A39" s="40" t="s">
        <v>53</v>
      </c>
      <c r="B39" s="131">
        <v>46085</v>
      </c>
      <c r="C39" s="43" t="s">
        <v>355</v>
      </c>
      <c r="D39" s="43" t="s">
        <v>356</v>
      </c>
      <c r="E39" s="132" t="s">
        <v>54</v>
      </c>
      <c r="F39" s="43" t="s">
        <v>543</v>
      </c>
      <c r="G39" s="82">
        <v>313.33</v>
      </c>
      <c r="H39" s="47"/>
      <c r="I39" s="47">
        <v>173262.61</v>
      </c>
      <c r="J39" s="191" t="s">
        <v>311</v>
      </c>
      <c r="K39" s="192">
        <v>-2</v>
      </c>
      <c r="L39" s="47"/>
    </row>
    <row r="40" spans="1:12" s="104" customFormat="1" x14ac:dyDescent="0.2">
      <c r="A40" s="40" t="s">
        <v>53</v>
      </c>
      <c r="B40" s="131">
        <v>46085</v>
      </c>
      <c r="C40" s="43" t="s">
        <v>355</v>
      </c>
      <c r="D40" s="43" t="s">
        <v>356</v>
      </c>
      <c r="E40" s="132" t="s">
        <v>54</v>
      </c>
      <c r="F40" s="43" t="s">
        <v>543</v>
      </c>
      <c r="G40" s="82">
        <v>19.399999999999999</v>
      </c>
      <c r="H40" s="47"/>
      <c r="I40" s="47">
        <v>173282.01</v>
      </c>
      <c r="J40" s="191" t="s">
        <v>311</v>
      </c>
      <c r="K40" s="192">
        <v>-2</v>
      </c>
      <c r="L40" s="47"/>
    </row>
    <row r="41" spans="1:12" s="104" customFormat="1" x14ac:dyDescent="0.2">
      <c r="A41" s="40" t="s">
        <v>53</v>
      </c>
      <c r="B41" s="131">
        <v>46085</v>
      </c>
      <c r="C41" s="43" t="s">
        <v>355</v>
      </c>
      <c r="D41" s="43" t="s">
        <v>356</v>
      </c>
      <c r="E41" s="132" t="s">
        <v>54</v>
      </c>
      <c r="F41" s="43" t="s">
        <v>543</v>
      </c>
      <c r="G41" s="82">
        <v>45.39</v>
      </c>
      <c r="H41" s="47"/>
      <c r="I41" s="47">
        <v>173327.4</v>
      </c>
      <c r="J41" s="191" t="s">
        <v>311</v>
      </c>
      <c r="K41" s="192">
        <v>-2</v>
      </c>
      <c r="L41" s="47"/>
    </row>
    <row r="42" spans="1:12" s="104" customFormat="1" x14ac:dyDescent="0.2">
      <c r="A42" s="40" t="s">
        <v>53</v>
      </c>
      <c r="B42" s="131">
        <v>46085</v>
      </c>
      <c r="C42" s="43" t="s">
        <v>355</v>
      </c>
      <c r="D42" s="43" t="s">
        <v>356</v>
      </c>
      <c r="E42" s="132" t="s">
        <v>54</v>
      </c>
      <c r="F42" s="43" t="s">
        <v>543</v>
      </c>
      <c r="G42" s="82">
        <v>12.75</v>
      </c>
      <c r="H42" s="47"/>
      <c r="I42" s="47">
        <v>173340.15</v>
      </c>
      <c r="J42" s="191" t="s">
        <v>311</v>
      </c>
      <c r="K42" s="192">
        <v>-2</v>
      </c>
      <c r="L42" s="47"/>
    </row>
    <row r="43" spans="1:12" s="104" customFormat="1" x14ac:dyDescent="0.2">
      <c r="A43" s="40" t="s">
        <v>53</v>
      </c>
      <c r="B43" s="131">
        <v>46085</v>
      </c>
      <c r="C43" s="43" t="s">
        <v>355</v>
      </c>
      <c r="D43" s="43" t="s">
        <v>356</v>
      </c>
      <c r="E43" s="132" t="s">
        <v>54</v>
      </c>
      <c r="F43" s="43" t="s">
        <v>544</v>
      </c>
      <c r="G43" s="82"/>
      <c r="H43" s="47">
        <v>-416</v>
      </c>
      <c r="I43" s="47">
        <v>172924.15</v>
      </c>
      <c r="J43" s="191" t="s">
        <v>311</v>
      </c>
      <c r="K43" s="192">
        <v>-2</v>
      </c>
      <c r="L43" s="47"/>
    </row>
    <row r="44" spans="1:12" x14ac:dyDescent="0.2">
      <c r="A44" s="40" t="s">
        <v>53</v>
      </c>
      <c r="B44" s="131">
        <v>46085</v>
      </c>
      <c r="C44" s="43" t="s">
        <v>355</v>
      </c>
      <c r="D44" s="43" t="s">
        <v>356</v>
      </c>
      <c r="E44" s="132" t="s">
        <v>54</v>
      </c>
      <c r="F44" s="43" t="s">
        <v>544</v>
      </c>
      <c r="G44" s="82"/>
      <c r="H44" s="47">
        <v>-163.92</v>
      </c>
      <c r="I44" s="47">
        <v>172760.23</v>
      </c>
      <c r="J44" s="191" t="s">
        <v>311</v>
      </c>
      <c r="K44" s="192">
        <v>-2</v>
      </c>
      <c r="L44" s="47"/>
    </row>
    <row r="45" spans="1:12" x14ac:dyDescent="0.2">
      <c r="A45" s="40" t="s">
        <v>53</v>
      </c>
      <c r="B45" s="131">
        <v>46085</v>
      </c>
      <c r="C45" s="43" t="s">
        <v>355</v>
      </c>
      <c r="D45" s="43" t="s">
        <v>356</v>
      </c>
      <c r="E45" s="132" t="s">
        <v>54</v>
      </c>
      <c r="F45" s="43" t="s">
        <v>544</v>
      </c>
      <c r="G45" s="82"/>
      <c r="H45" s="47">
        <v>-63.1</v>
      </c>
      <c r="I45" s="47">
        <v>172697.13</v>
      </c>
      <c r="J45" s="191" t="s">
        <v>311</v>
      </c>
      <c r="K45" s="192">
        <v>-2</v>
      </c>
      <c r="L45" s="47"/>
    </row>
    <row r="46" spans="1:12" x14ac:dyDescent="0.2">
      <c r="A46" s="40" t="s">
        <v>53</v>
      </c>
      <c r="B46" s="131">
        <v>46085</v>
      </c>
      <c r="C46" s="43" t="s">
        <v>355</v>
      </c>
      <c r="D46" s="43" t="s">
        <v>356</v>
      </c>
      <c r="E46" s="132" t="s">
        <v>54</v>
      </c>
      <c r="F46" s="43" t="s">
        <v>544</v>
      </c>
      <c r="G46" s="82"/>
      <c r="H46" s="47">
        <v>-4.92</v>
      </c>
      <c r="I46" s="47">
        <v>172692.21</v>
      </c>
      <c r="J46" s="191" t="s">
        <v>311</v>
      </c>
      <c r="K46" s="192">
        <v>-2</v>
      </c>
      <c r="L46" s="47"/>
    </row>
    <row r="47" spans="1:12" x14ac:dyDescent="0.2">
      <c r="A47" s="40" t="s">
        <v>53</v>
      </c>
      <c r="B47" s="131">
        <v>46085</v>
      </c>
      <c r="C47" s="43" t="s">
        <v>355</v>
      </c>
      <c r="D47" s="43" t="s">
        <v>356</v>
      </c>
      <c r="E47" s="132" t="s">
        <v>54</v>
      </c>
      <c r="F47" s="43" t="s">
        <v>544</v>
      </c>
      <c r="G47" s="82">
        <v>46.03</v>
      </c>
      <c r="H47" s="47"/>
      <c r="I47" s="47">
        <v>172738.24</v>
      </c>
      <c r="J47" s="191" t="s">
        <v>311</v>
      </c>
      <c r="K47" s="192">
        <v>-2</v>
      </c>
      <c r="L47" s="47"/>
    </row>
    <row r="48" spans="1:12" s="104" customFormat="1" x14ac:dyDescent="0.2">
      <c r="A48" s="40" t="s">
        <v>53</v>
      </c>
      <c r="B48" s="131">
        <v>46085</v>
      </c>
      <c r="C48" s="43" t="s">
        <v>355</v>
      </c>
      <c r="D48" s="43" t="s">
        <v>356</v>
      </c>
      <c r="E48" s="132" t="s">
        <v>54</v>
      </c>
      <c r="F48" s="43" t="s">
        <v>544</v>
      </c>
      <c r="G48" s="82">
        <v>1.1299999999999999</v>
      </c>
      <c r="H48" s="47"/>
      <c r="I48" s="47">
        <v>172739.37</v>
      </c>
      <c r="J48" s="191" t="s">
        <v>311</v>
      </c>
      <c r="K48" s="192">
        <v>-2</v>
      </c>
      <c r="L48" s="47"/>
    </row>
    <row r="49" spans="1:12" s="104" customFormat="1" x14ac:dyDescent="0.2">
      <c r="A49" s="40" t="s">
        <v>53</v>
      </c>
      <c r="B49" s="131">
        <v>46085</v>
      </c>
      <c r="C49" s="43" t="s">
        <v>355</v>
      </c>
      <c r="D49" s="43" t="s">
        <v>356</v>
      </c>
      <c r="E49" s="132" t="s">
        <v>54</v>
      </c>
      <c r="F49" s="43" t="s">
        <v>544</v>
      </c>
      <c r="G49" s="82">
        <v>0.72</v>
      </c>
      <c r="H49" s="47"/>
      <c r="I49" s="47">
        <v>172740.09</v>
      </c>
      <c r="J49" s="191" t="s">
        <v>311</v>
      </c>
      <c r="K49" s="192">
        <v>-2</v>
      </c>
      <c r="L49" s="47"/>
    </row>
    <row r="50" spans="1:12" s="104" customFormat="1" x14ac:dyDescent="0.2">
      <c r="A50" s="40" t="s">
        <v>53</v>
      </c>
      <c r="B50" s="131">
        <v>46085</v>
      </c>
      <c r="C50" s="43" t="s">
        <v>355</v>
      </c>
      <c r="D50" s="43" t="s">
        <v>356</v>
      </c>
      <c r="E50" s="132" t="s">
        <v>54</v>
      </c>
      <c r="F50" s="43" t="s">
        <v>544</v>
      </c>
      <c r="G50" s="82">
        <v>0.23</v>
      </c>
      <c r="H50" s="47"/>
      <c r="I50" s="47">
        <v>172740.32</v>
      </c>
      <c r="J50" s="191" t="s">
        <v>311</v>
      </c>
      <c r="K50" s="192">
        <v>-2</v>
      </c>
      <c r="L50" s="47"/>
    </row>
    <row r="51" spans="1:12" s="104" customFormat="1" x14ac:dyDescent="0.2">
      <c r="A51" s="40" t="s">
        <v>53</v>
      </c>
      <c r="B51" s="131">
        <v>46085</v>
      </c>
      <c r="C51" s="43" t="s">
        <v>355</v>
      </c>
      <c r="D51" s="43" t="s">
        <v>356</v>
      </c>
      <c r="E51" s="132" t="s">
        <v>54</v>
      </c>
      <c r="F51" s="43" t="s">
        <v>545</v>
      </c>
      <c r="G51" s="82"/>
      <c r="H51" s="47">
        <v>-187.9</v>
      </c>
      <c r="I51" s="47">
        <v>172552.42</v>
      </c>
      <c r="J51" s="191" t="s">
        <v>311</v>
      </c>
      <c r="K51" s="192">
        <v>-2</v>
      </c>
      <c r="L51" s="47"/>
    </row>
    <row r="52" spans="1:12" s="104" customFormat="1" x14ac:dyDescent="0.2">
      <c r="A52" s="40" t="s">
        <v>53</v>
      </c>
      <c r="B52" s="131">
        <v>46085</v>
      </c>
      <c r="C52" s="43" t="s">
        <v>355</v>
      </c>
      <c r="D52" s="43" t="s">
        <v>356</v>
      </c>
      <c r="E52" s="132" t="s">
        <v>54</v>
      </c>
      <c r="F52" s="43" t="s">
        <v>545</v>
      </c>
      <c r="G52" s="82"/>
      <c r="H52" s="47">
        <v>-47.97</v>
      </c>
      <c r="I52" s="47">
        <v>172504.45</v>
      </c>
      <c r="J52" s="191" t="s">
        <v>311</v>
      </c>
      <c r="K52" s="192">
        <v>-2</v>
      </c>
      <c r="L52" s="47"/>
    </row>
    <row r="53" spans="1:12" s="104" customFormat="1" x14ac:dyDescent="0.2">
      <c r="A53" s="40" t="s">
        <v>53</v>
      </c>
      <c r="B53" s="131">
        <v>46085</v>
      </c>
      <c r="C53" s="43" t="s">
        <v>355</v>
      </c>
      <c r="D53" s="43" t="s">
        <v>356</v>
      </c>
      <c r="E53" s="132" t="s">
        <v>54</v>
      </c>
      <c r="F53" s="43" t="s">
        <v>545</v>
      </c>
      <c r="G53" s="82"/>
      <c r="H53" s="47">
        <v>-3.55</v>
      </c>
      <c r="I53" s="47">
        <v>172500.9</v>
      </c>
      <c r="J53" s="191" t="s">
        <v>311</v>
      </c>
      <c r="K53" s="192">
        <v>-2</v>
      </c>
      <c r="L53" s="47"/>
    </row>
    <row r="54" spans="1:12" s="104" customFormat="1" x14ac:dyDescent="0.2">
      <c r="A54" s="40" t="s">
        <v>53</v>
      </c>
      <c r="B54" s="131">
        <v>46085</v>
      </c>
      <c r="C54" s="43" t="s">
        <v>355</v>
      </c>
      <c r="D54" s="43" t="s">
        <v>356</v>
      </c>
      <c r="E54" s="132" t="s">
        <v>54</v>
      </c>
      <c r="F54" s="43" t="s">
        <v>545</v>
      </c>
      <c r="G54" s="82"/>
      <c r="H54" s="47">
        <v>-1.06</v>
      </c>
      <c r="I54" s="47">
        <v>172499.84</v>
      </c>
      <c r="J54" s="191" t="s">
        <v>311</v>
      </c>
      <c r="K54" s="192">
        <v>-2</v>
      </c>
      <c r="L54" s="47"/>
    </row>
    <row r="55" spans="1:12" s="104" customFormat="1" x14ac:dyDescent="0.2">
      <c r="A55" s="40" t="s">
        <v>53</v>
      </c>
      <c r="B55" s="131">
        <v>46085</v>
      </c>
      <c r="C55" s="43" t="s">
        <v>355</v>
      </c>
      <c r="D55" s="43" t="s">
        <v>356</v>
      </c>
      <c r="E55" s="132" t="s">
        <v>54</v>
      </c>
      <c r="F55" s="43" t="s">
        <v>545</v>
      </c>
      <c r="G55" s="82">
        <v>1.54</v>
      </c>
      <c r="H55" s="47"/>
      <c r="I55" s="47">
        <v>172501.38</v>
      </c>
      <c r="J55" s="191" t="s">
        <v>311</v>
      </c>
      <c r="K55" s="192">
        <v>-2</v>
      </c>
      <c r="L55" s="47"/>
    </row>
    <row r="56" spans="1:12" s="104" customFormat="1" x14ac:dyDescent="0.2">
      <c r="A56" s="40" t="s">
        <v>53</v>
      </c>
      <c r="B56" s="131">
        <v>46085</v>
      </c>
      <c r="C56" s="43" t="s">
        <v>355</v>
      </c>
      <c r="D56" s="43" t="s">
        <v>356</v>
      </c>
      <c r="E56" s="132" t="s">
        <v>54</v>
      </c>
      <c r="F56" s="43" t="s">
        <v>545</v>
      </c>
      <c r="G56" s="82">
        <v>0.03</v>
      </c>
      <c r="H56" s="47"/>
      <c r="I56" s="47">
        <v>172501.41</v>
      </c>
      <c r="J56" s="191" t="s">
        <v>311</v>
      </c>
      <c r="K56" s="192">
        <v>-2</v>
      </c>
      <c r="L56" s="47"/>
    </row>
    <row r="57" spans="1:12" s="104" customFormat="1" x14ac:dyDescent="0.2">
      <c r="A57" s="40" t="s">
        <v>53</v>
      </c>
      <c r="B57" s="131">
        <v>46085</v>
      </c>
      <c r="C57" s="43" t="s">
        <v>355</v>
      </c>
      <c r="D57" s="43" t="s">
        <v>356</v>
      </c>
      <c r="E57" s="132" t="s">
        <v>54</v>
      </c>
      <c r="F57" s="43" t="s">
        <v>545</v>
      </c>
      <c r="G57" s="82">
        <v>0.08</v>
      </c>
      <c r="H57" s="47"/>
      <c r="I57" s="47">
        <v>172501.49</v>
      </c>
      <c r="J57" s="191" t="s">
        <v>311</v>
      </c>
      <c r="K57" s="192">
        <v>-2</v>
      </c>
      <c r="L57" s="47"/>
    </row>
    <row r="58" spans="1:12" s="104" customFormat="1" x14ac:dyDescent="0.2">
      <c r="A58" s="40" t="s">
        <v>53</v>
      </c>
      <c r="B58" s="131">
        <v>46085</v>
      </c>
      <c r="C58" s="43" t="s">
        <v>355</v>
      </c>
      <c r="D58" s="43" t="s">
        <v>356</v>
      </c>
      <c r="E58" s="132" t="s">
        <v>54</v>
      </c>
      <c r="F58" s="43" t="s">
        <v>545</v>
      </c>
      <c r="G58" s="82">
        <v>0.02</v>
      </c>
      <c r="H58" s="47"/>
      <c r="I58" s="47">
        <v>172501.51</v>
      </c>
      <c r="J58" s="191" t="s">
        <v>311</v>
      </c>
      <c r="K58" s="192">
        <v>-2</v>
      </c>
      <c r="L58" s="47"/>
    </row>
    <row r="59" spans="1:12" s="104" customFormat="1" x14ac:dyDescent="0.2">
      <c r="A59" s="40" t="s">
        <v>53</v>
      </c>
      <c r="B59" s="131">
        <v>46085</v>
      </c>
      <c r="C59" s="43" t="s">
        <v>357</v>
      </c>
      <c r="D59" s="43" t="s">
        <v>62</v>
      </c>
      <c r="E59" s="132" t="s">
        <v>483</v>
      </c>
      <c r="F59" s="43" t="s">
        <v>483</v>
      </c>
      <c r="G59" s="82"/>
      <c r="H59" s="47">
        <v>-203</v>
      </c>
      <c r="I59" s="47">
        <v>172298.51</v>
      </c>
      <c r="J59" s="191" t="s">
        <v>311</v>
      </c>
      <c r="K59" s="192">
        <v>-2</v>
      </c>
      <c r="L59" s="47"/>
    </row>
    <row r="60" spans="1:12" s="104" customFormat="1" x14ac:dyDescent="0.2">
      <c r="A60" s="40" t="s">
        <v>53</v>
      </c>
      <c r="B60" s="131">
        <v>46085</v>
      </c>
      <c r="C60" s="43" t="s">
        <v>358</v>
      </c>
      <c r="D60" s="43" t="s">
        <v>58</v>
      </c>
      <c r="E60" s="132" t="s">
        <v>484</v>
      </c>
      <c r="F60" s="43" t="s">
        <v>546</v>
      </c>
      <c r="G60" s="215">
        <v>8611.0300000000007</v>
      </c>
      <c r="H60" s="47"/>
      <c r="I60" s="47">
        <v>180909.54</v>
      </c>
      <c r="J60" s="191" t="s">
        <v>305</v>
      </c>
      <c r="K60" s="192">
        <v>2</v>
      </c>
      <c r="L60" s="47"/>
    </row>
    <row r="61" spans="1:12" s="104" customFormat="1" x14ac:dyDescent="0.2">
      <c r="A61" s="40" t="s">
        <v>53</v>
      </c>
      <c r="B61" s="131">
        <v>46085</v>
      </c>
      <c r="C61" s="43" t="s">
        <v>358</v>
      </c>
      <c r="D61" s="43" t="s">
        <v>58</v>
      </c>
      <c r="E61" s="132" t="s">
        <v>484</v>
      </c>
      <c r="F61" s="43" t="s">
        <v>547</v>
      </c>
      <c r="G61" s="82">
        <v>7282.83</v>
      </c>
      <c r="H61" s="47"/>
      <c r="I61" s="47">
        <v>188192.37</v>
      </c>
      <c r="J61" s="191" t="s">
        <v>311</v>
      </c>
      <c r="K61" s="192">
        <v>2</v>
      </c>
      <c r="L61" s="47"/>
    </row>
    <row r="62" spans="1:12" s="104" customFormat="1" x14ac:dyDescent="0.2">
      <c r="A62" s="40" t="s">
        <v>53</v>
      </c>
      <c r="B62" s="131">
        <v>46086</v>
      </c>
      <c r="C62" s="43" t="s">
        <v>359</v>
      </c>
      <c r="D62" s="43" t="s">
        <v>278</v>
      </c>
      <c r="E62" s="132" t="s">
        <v>485</v>
      </c>
      <c r="F62" s="43" t="s">
        <v>548</v>
      </c>
      <c r="G62" s="82"/>
      <c r="H62" s="47">
        <v>-5395</v>
      </c>
      <c r="I62" s="47">
        <v>182797.37</v>
      </c>
      <c r="J62" s="191" t="s">
        <v>277</v>
      </c>
      <c r="K62" s="192">
        <v>-2</v>
      </c>
      <c r="L62" s="47"/>
    </row>
    <row r="63" spans="1:12" s="104" customFormat="1" x14ac:dyDescent="0.2">
      <c r="A63" s="40" t="s">
        <v>53</v>
      </c>
      <c r="B63" s="131">
        <v>46086</v>
      </c>
      <c r="C63" s="43" t="s">
        <v>360</v>
      </c>
      <c r="D63" s="43" t="s">
        <v>280</v>
      </c>
      <c r="E63" s="132" t="s">
        <v>55</v>
      </c>
      <c r="F63" s="43" t="s">
        <v>549</v>
      </c>
      <c r="G63" s="82"/>
      <c r="H63" s="47">
        <v>-119.95</v>
      </c>
      <c r="I63" s="47">
        <v>182677.42</v>
      </c>
      <c r="J63" s="191" t="s">
        <v>277</v>
      </c>
      <c r="K63" s="192">
        <v>-2</v>
      </c>
      <c r="L63" s="47"/>
    </row>
    <row r="64" spans="1:12" s="104" customFormat="1" x14ac:dyDescent="0.2">
      <c r="A64" s="40" t="s">
        <v>53</v>
      </c>
      <c r="B64" s="131">
        <v>46086</v>
      </c>
      <c r="C64" s="43" t="s">
        <v>361</v>
      </c>
      <c r="D64" s="43" t="s">
        <v>279</v>
      </c>
      <c r="E64" s="132" t="s">
        <v>55</v>
      </c>
      <c r="F64" s="43" t="s">
        <v>550</v>
      </c>
      <c r="G64" s="82"/>
      <c r="H64" s="47">
        <v>-504.39</v>
      </c>
      <c r="I64" s="47">
        <v>182173.03</v>
      </c>
      <c r="J64" s="191" t="s">
        <v>277</v>
      </c>
      <c r="K64" s="192">
        <v>-2</v>
      </c>
      <c r="L64" s="47"/>
    </row>
    <row r="65" spans="1:12" s="104" customFormat="1" x14ac:dyDescent="0.2">
      <c r="A65" s="40" t="s">
        <v>53</v>
      </c>
      <c r="B65" s="131">
        <v>46086</v>
      </c>
      <c r="C65" s="43" t="s">
        <v>362</v>
      </c>
      <c r="D65" s="43" t="s">
        <v>58</v>
      </c>
      <c r="E65" s="132" t="s">
        <v>486</v>
      </c>
      <c r="F65" s="43" t="s">
        <v>546</v>
      </c>
      <c r="G65" s="215">
        <v>2100</v>
      </c>
      <c r="H65" s="47"/>
      <c r="I65" s="47">
        <v>184273.03</v>
      </c>
      <c r="J65" s="191" t="s">
        <v>305</v>
      </c>
      <c r="K65" s="192">
        <v>2</v>
      </c>
      <c r="L65" s="47"/>
    </row>
    <row r="66" spans="1:12" s="104" customFormat="1" x14ac:dyDescent="0.2">
      <c r="A66" s="40" t="s">
        <v>53</v>
      </c>
      <c r="B66" s="131">
        <v>46086</v>
      </c>
      <c r="C66" s="43" t="s">
        <v>362</v>
      </c>
      <c r="D66" s="43" t="s">
        <v>58</v>
      </c>
      <c r="E66" s="132" t="s">
        <v>486</v>
      </c>
      <c r="F66" s="43" t="s">
        <v>551</v>
      </c>
      <c r="G66" s="82">
        <v>5413.13</v>
      </c>
      <c r="H66" s="47"/>
      <c r="I66" s="47">
        <v>189686.16</v>
      </c>
      <c r="J66" s="191" t="s">
        <v>299</v>
      </c>
      <c r="K66" s="192">
        <v>2</v>
      </c>
      <c r="L66" s="47"/>
    </row>
    <row r="67" spans="1:12" s="104" customFormat="1" x14ac:dyDescent="0.2">
      <c r="A67" s="40" t="s">
        <v>53</v>
      </c>
      <c r="B67" s="131">
        <v>46086</v>
      </c>
      <c r="C67" s="43" t="s">
        <v>362</v>
      </c>
      <c r="D67" s="43" t="s">
        <v>58</v>
      </c>
      <c r="E67" s="132" t="s">
        <v>486</v>
      </c>
      <c r="F67" s="43" t="s">
        <v>552</v>
      </c>
      <c r="G67" s="82">
        <v>3233.31</v>
      </c>
      <c r="H67" s="47"/>
      <c r="I67" s="47">
        <v>192919.47</v>
      </c>
      <c r="J67" s="191" t="s">
        <v>299</v>
      </c>
      <c r="K67" s="192">
        <v>2</v>
      </c>
      <c r="L67" s="47"/>
    </row>
    <row r="68" spans="1:12" s="104" customFormat="1" x14ac:dyDescent="0.2">
      <c r="A68" s="40" t="s">
        <v>53</v>
      </c>
      <c r="B68" s="131">
        <v>46086</v>
      </c>
      <c r="C68" s="43" t="s">
        <v>362</v>
      </c>
      <c r="D68" s="43" t="s">
        <v>58</v>
      </c>
      <c r="E68" s="132" t="s">
        <v>486</v>
      </c>
      <c r="F68" s="43" t="s">
        <v>553</v>
      </c>
      <c r="G68" s="82">
        <v>686.24</v>
      </c>
      <c r="H68" s="47"/>
      <c r="I68" s="47">
        <v>193605.71</v>
      </c>
      <c r="J68" s="191" t="s">
        <v>299</v>
      </c>
      <c r="K68" s="192">
        <v>2</v>
      </c>
      <c r="L68" s="47"/>
    </row>
    <row r="69" spans="1:12" s="104" customFormat="1" x14ac:dyDescent="0.2">
      <c r="A69" s="40" t="s">
        <v>53</v>
      </c>
      <c r="B69" s="131">
        <v>46086</v>
      </c>
      <c r="C69" s="43" t="s">
        <v>362</v>
      </c>
      <c r="D69" s="43" t="s">
        <v>58</v>
      </c>
      <c r="E69" s="132" t="s">
        <v>486</v>
      </c>
      <c r="F69" s="43" t="s">
        <v>554</v>
      </c>
      <c r="G69" s="82">
        <v>900</v>
      </c>
      <c r="H69" s="47"/>
      <c r="I69" s="47">
        <v>194505.71</v>
      </c>
      <c r="J69" s="191" t="s">
        <v>299</v>
      </c>
      <c r="K69" s="192">
        <v>2</v>
      </c>
      <c r="L69" s="47"/>
    </row>
    <row r="70" spans="1:12" s="104" customFormat="1" x14ac:dyDescent="0.2">
      <c r="A70" s="40" t="s">
        <v>53</v>
      </c>
      <c r="B70" s="131">
        <v>46086</v>
      </c>
      <c r="C70" s="43" t="s">
        <v>362</v>
      </c>
      <c r="D70" s="43" t="s">
        <v>58</v>
      </c>
      <c r="E70" s="132" t="s">
        <v>486</v>
      </c>
      <c r="F70" s="43" t="s">
        <v>555</v>
      </c>
      <c r="G70" s="199">
        <v>19208.82</v>
      </c>
      <c r="H70" s="47"/>
      <c r="I70" s="47">
        <v>213714.53</v>
      </c>
      <c r="J70" s="191" t="s">
        <v>299</v>
      </c>
      <c r="K70" s="192">
        <v>2</v>
      </c>
      <c r="L70" s="47"/>
    </row>
    <row r="71" spans="1:12" s="104" customFormat="1" x14ac:dyDescent="0.2">
      <c r="A71" s="40" t="s">
        <v>53</v>
      </c>
      <c r="B71" s="131">
        <v>46086</v>
      </c>
      <c r="C71" s="43" t="s">
        <v>362</v>
      </c>
      <c r="D71" s="43" t="s">
        <v>58</v>
      </c>
      <c r="E71" s="132" t="s">
        <v>486</v>
      </c>
      <c r="F71" s="43" t="s">
        <v>556</v>
      </c>
      <c r="G71" s="82"/>
      <c r="H71" s="47">
        <v>-120</v>
      </c>
      <c r="I71" s="47">
        <v>213594.53</v>
      </c>
      <c r="J71" s="131">
        <v>46086</v>
      </c>
      <c r="K71" s="192">
        <v>-4</v>
      </c>
      <c r="L71" s="47"/>
    </row>
    <row r="72" spans="1:12" s="104" customFormat="1" x14ac:dyDescent="0.2">
      <c r="A72" s="40" t="s">
        <v>53</v>
      </c>
      <c r="B72" s="131">
        <v>46086</v>
      </c>
      <c r="C72" s="43" t="s">
        <v>362</v>
      </c>
      <c r="D72" s="43" t="s">
        <v>58</v>
      </c>
      <c r="E72" s="132" t="s">
        <v>486</v>
      </c>
      <c r="F72" s="43" t="s">
        <v>557</v>
      </c>
      <c r="G72" s="82">
        <v>691.6</v>
      </c>
      <c r="H72" s="47"/>
      <c r="I72" s="47">
        <v>214286.13</v>
      </c>
      <c r="J72" s="191" t="s">
        <v>305</v>
      </c>
      <c r="K72" s="192">
        <v>2</v>
      </c>
      <c r="L72" s="47"/>
    </row>
    <row r="73" spans="1:12" s="104" customFormat="1" x14ac:dyDescent="0.2">
      <c r="A73" s="40" t="s">
        <v>53</v>
      </c>
      <c r="B73" s="131">
        <v>46086</v>
      </c>
      <c r="C73" s="43" t="s">
        <v>362</v>
      </c>
      <c r="D73" s="43" t="s">
        <v>58</v>
      </c>
      <c r="E73" s="132" t="s">
        <v>486</v>
      </c>
      <c r="F73" s="43" t="s">
        <v>558</v>
      </c>
      <c r="G73" s="82">
        <v>120</v>
      </c>
      <c r="H73" s="47"/>
      <c r="I73" s="47">
        <v>214406.13</v>
      </c>
      <c r="J73" s="131">
        <v>46086</v>
      </c>
      <c r="K73" s="192">
        <v>4</v>
      </c>
      <c r="L73" s="47"/>
    </row>
    <row r="74" spans="1:12" s="104" customFormat="1" x14ac:dyDescent="0.2">
      <c r="A74" s="40" t="s">
        <v>53</v>
      </c>
      <c r="B74" s="131">
        <v>46087</v>
      </c>
      <c r="C74" s="43" t="s">
        <v>363</v>
      </c>
      <c r="D74" s="43" t="s">
        <v>58</v>
      </c>
      <c r="E74" s="132" t="s">
        <v>487</v>
      </c>
      <c r="F74" s="43" t="s">
        <v>559</v>
      </c>
      <c r="G74" s="82">
        <v>862.96</v>
      </c>
      <c r="H74" s="47"/>
      <c r="I74" s="47">
        <v>215269.09</v>
      </c>
      <c r="J74" s="191" t="s">
        <v>295</v>
      </c>
      <c r="K74" s="192">
        <v>2</v>
      </c>
      <c r="L74" s="47"/>
    </row>
    <row r="75" spans="1:12" s="104" customFormat="1" x14ac:dyDescent="0.2">
      <c r="A75" s="40" t="s">
        <v>53</v>
      </c>
      <c r="B75" s="131">
        <v>46087</v>
      </c>
      <c r="C75" s="43" t="s">
        <v>363</v>
      </c>
      <c r="D75" s="43" t="s">
        <v>58</v>
      </c>
      <c r="E75" s="132" t="s">
        <v>487</v>
      </c>
      <c r="F75" s="43" t="s">
        <v>560</v>
      </c>
      <c r="G75" s="82">
        <v>7618.28</v>
      </c>
      <c r="H75" s="47"/>
      <c r="I75" s="47">
        <v>222887.37</v>
      </c>
      <c r="J75" s="191" t="s">
        <v>295</v>
      </c>
      <c r="K75" s="192">
        <v>2</v>
      </c>
      <c r="L75" s="47"/>
    </row>
    <row r="76" spans="1:12" x14ac:dyDescent="0.2">
      <c r="A76" s="40" t="s">
        <v>53</v>
      </c>
      <c r="B76" s="131">
        <v>46087</v>
      </c>
      <c r="C76" s="43" t="s">
        <v>363</v>
      </c>
      <c r="D76" s="43" t="s">
        <v>58</v>
      </c>
      <c r="E76" s="132" t="s">
        <v>487</v>
      </c>
      <c r="F76" s="43" t="s">
        <v>561</v>
      </c>
      <c r="G76" s="199">
        <v>35920.81</v>
      </c>
      <c r="H76" s="47"/>
      <c r="I76" s="47">
        <v>258808.18</v>
      </c>
      <c r="J76" s="191" t="s">
        <v>299</v>
      </c>
      <c r="K76" s="192">
        <v>2</v>
      </c>
      <c r="L76" s="47"/>
    </row>
    <row r="77" spans="1:12" s="104" customFormat="1" x14ac:dyDescent="0.2">
      <c r="A77" s="40" t="s">
        <v>53</v>
      </c>
      <c r="B77" s="131">
        <v>46090</v>
      </c>
      <c r="C77" s="43" t="s">
        <v>364</v>
      </c>
      <c r="D77" s="43" t="s">
        <v>265</v>
      </c>
      <c r="E77" s="132" t="s">
        <v>19</v>
      </c>
      <c r="F77" s="43" t="s">
        <v>562</v>
      </c>
      <c r="G77" s="82"/>
      <c r="H77" s="47">
        <v>-67.97</v>
      </c>
      <c r="I77" s="47">
        <v>258740.21</v>
      </c>
      <c r="J77" s="191" t="s">
        <v>263</v>
      </c>
      <c r="K77" s="192">
        <v>-2</v>
      </c>
      <c r="L77" s="47"/>
    </row>
    <row r="78" spans="1:12" s="104" customFormat="1" x14ac:dyDescent="0.2">
      <c r="A78" s="40" t="s">
        <v>53</v>
      </c>
      <c r="B78" s="131">
        <v>46090</v>
      </c>
      <c r="C78" s="43" t="s">
        <v>365</v>
      </c>
      <c r="D78" s="43" t="s">
        <v>266</v>
      </c>
      <c r="E78" s="132" t="s">
        <v>20</v>
      </c>
      <c r="F78" s="43" t="s">
        <v>563</v>
      </c>
      <c r="G78" s="82"/>
      <c r="H78" s="47">
        <v>-13.5</v>
      </c>
      <c r="I78" s="47">
        <v>258726.71</v>
      </c>
      <c r="J78" s="191" t="s">
        <v>263</v>
      </c>
      <c r="K78" s="192">
        <v>-2</v>
      </c>
      <c r="L78" s="47"/>
    </row>
    <row r="79" spans="1:12" s="104" customFormat="1" x14ac:dyDescent="0.2">
      <c r="A79" s="40" t="s">
        <v>53</v>
      </c>
      <c r="B79" s="131">
        <v>46090</v>
      </c>
      <c r="C79" s="43" t="s">
        <v>365</v>
      </c>
      <c r="D79" s="43" t="s">
        <v>266</v>
      </c>
      <c r="E79" s="132" t="s">
        <v>20</v>
      </c>
      <c r="F79" s="43" t="s">
        <v>564</v>
      </c>
      <c r="G79" s="82"/>
      <c r="H79" s="47">
        <v>-13.5</v>
      </c>
      <c r="I79" s="47">
        <v>258713.21</v>
      </c>
      <c r="J79" s="191" t="s">
        <v>263</v>
      </c>
      <c r="K79" s="192">
        <v>-2</v>
      </c>
      <c r="L79" s="47"/>
    </row>
    <row r="80" spans="1:12" x14ac:dyDescent="0.2">
      <c r="A80" s="40" t="s">
        <v>53</v>
      </c>
      <c r="B80" s="131">
        <v>46090</v>
      </c>
      <c r="C80" s="43" t="s">
        <v>366</v>
      </c>
      <c r="D80" s="43" t="s">
        <v>367</v>
      </c>
      <c r="E80" s="132" t="s">
        <v>488</v>
      </c>
      <c r="F80" s="43" t="s">
        <v>565</v>
      </c>
      <c r="G80" s="82"/>
      <c r="H80" s="47">
        <v>-450</v>
      </c>
      <c r="I80" s="47">
        <v>258263.21</v>
      </c>
      <c r="J80" s="191" t="s">
        <v>289</v>
      </c>
      <c r="K80" s="192">
        <v>-2</v>
      </c>
      <c r="L80" s="47"/>
    </row>
    <row r="81" spans="1:12" x14ac:dyDescent="0.2">
      <c r="A81" s="40" t="s">
        <v>53</v>
      </c>
      <c r="B81" s="131">
        <v>46090</v>
      </c>
      <c r="C81" s="43" t="s">
        <v>366</v>
      </c>
      <c r="D81" s="43" t="s">
        <v>367</v>
      </c>
      <c r="E81" s="132" t="s">
        <v>488</v>
      </c>
      <c r="F81" s="43" t="s">
        <v>566</v>
      </c>
      <c r="G81" s="82"/>
      <c r="H81" s="47">
        <v>-325</v>
      </c>
      <c r="I81" s="47">
        <v>257938.21</v>
      </c>
      <c r="J81" s="191" t="s">
        <v>289</v>
      </c>
      <c r="K81" s="192">
        <v>-2</v>
      </c>
      <c r="L81" s="47"/>
    </row>
    <row r="82" spans="1:12" s="104" customFormat="1" x14ac:dyDescent="0.2">
      <c r="A82" s="40" t="s">
        <v>53</v>
      </c>
      <c r="B82" s="131">
        <v>46090</v>
      </c>
      <c r="C82" s="43" t="s">
        <v>366</v>
      </c>
      <c r="D82" s="43" t="s">
        <v>367</v>
      </c>
      <c r="E82" s="132" t="s">
        <v>488</v>
      </c>
      <c r="F82" s="43" t="s">
        <v>567</v>
      </c>
      <c r="G82" s="82"/>
      <c r="H82" s="47">
        <v>-450</v>
      </c>
      <c r="I82" s="47">
        <v>257488.21</v>
      </c>
      <c r="J82" s="191" t="s">
        <v>289</v>
      </c>
      <c r="K82" s="192">
        <v>-2</v>
      </c>
      <c r="L82" s="47"/>
    </row>
    <row r="83" spans="1:12" s="104" customFormat="1" x14ac:dyDescent="0.2">
      <c r="A83" s="40" t="s">
        <v>53</v>
      </c>
      <c r="B83" s="131">
        <v>46090</v>
      </c>
      <c r="C83" s="43" t="s">
        <v>366</v>
      </c>
      <c r="D83" s="43" t="s">
        <v>367</v>
      </c>
      <c r="E83" s="132" t="s">
        <v>488</v>
      </c>
      <c r="F83" s="43" t="s">
        <v>568</v>
      </c>
      <c r="G83" s="82"/>
      <c r="H83" s="47">
        <v>-225</v>
      </c>
      <c r="I83" s="47">
        <v>257263.21</v>
      </c>
      <c r="J83" s="191" t="s">
        <v>289</v>
      </c>
      <c r="K83" s="192">
        <v>-2</v>
      </c>
      <c r="L83" s="47"/>
    </row>
    <row r="84" spans="1:12" x14ac:dyDescent="0.2">
      <c r="A84" s="40" t="s">
        <v>53</v>
      </c>
      <c r="B84" s="131">
        <v>46090</v>
      </c>
      <c r="C84" s="43" t="s">
        <v>366</v>
      </c>
      <c r="D84" s="43" t="s">
        <v>367</v>
      </c>
      <c r="E84" s="132" t="s">
        <v>488</v>
      </c>
      <c r="F84" s="43" t="s">
        <v>569</v>
      </c>
      <c r="G84" s="82"/>
      <c r="H84" s="47">
        <v>-675</v>
      </c>
      <c r="I84" s="47">
        <v>256588.21</v>
      </c>
      <c r="J84" s="191" t="s">
        <v>289</v>
      </c>
      <c r="K84" s="192">
        <v>-2</v>
      </c>
      <c r="L84" s="47"/>
    </row>
    <row r="85" spans="1:12" s="104" customFormat="1" x14ac:dyDescent="0.2">
      <c r="A85" s="40" t="s">
        <v>53</v>
      </c>
      <c r="B85" s="131">
        <v>46090</v>
      </c>
      <c r="C85" s="43" t="s">
        <v>366</v>
      </c>
      <c r="D85" s="43" t="s">
        <v>367</v>
      </c>
      <c r="E85" s="132" t="s">
        <v>488</v>
      </c>
      <c r="F85" s="43" t="s">
        <v>570</v>
      </c>
      <c r="G85" s="82"/>
      <c r="H85" s="47">
        <v>-1300</v>
      </c>
      <c r="I85" s="47">
        <v>255288.21</v>
      </c>
      <c r="J85" s="191" t="s">
        <v>289</v>
      </c>
      <c r="K85" s="192">
        <v>-2</v>
      </c>
      <c r="L85" s="47"/>
    </row>
    <row r="86" spans="1:12" s="104" customFormat="1" x14ac:dyDescent="0.2">
      <c r="A86" s="40" t="s">
        <v>53</v>
      </c>
      <c r="B86" s="131">
        <v>46090</v>
      </c>
      <c r="C86" s="43" t="s">
        <v>368</v>
      </c>
      <c r="D86" s="43" t="s">
        <v>256</v>
      </c>
      <c r="E86" s="132" t="s">
        <v>55</v>
      </c>
      <c r="F86" s="43" t="s">
        <v>571</v>
      </c>
      <c r="G86" s="82"/>
      <c r="H86" s="47">
        <v>-11</v>
      </c>
      <c r="I86" s="47">
        <v>255277.21</v>
      </c>
      <c r="J86" s="191" t="s">
        <v>252</v>
      </c>
      <c r="K86" s="192">
        <v>-2</v>
      </c>
      <c r="L86" s="47"/>
    </row>
    <row r="87" spans="1:12" s="104" customFormat="1" x14ac:dyDescent="0.2">
      <c r="A87" s="40" t="s">
        <v>53</v>
      </c>
      <c r="B87" s="131">
        <v>46090</v>
      </c>
      <c r="C87" s="43" t="s">
        <v>369</v>
      </c>
      <c r="D87" s="43" t="s">
        <v>370</v>
      </c>
      <c r="E87" s="132" t="s">
        <v>489</v>
      </c>
      <c r="F87" s="43" t="s">
        <v>572</v>
      </c>
      <c r="G87" s="82"/>
      <c r="H87" s="47">
        <v>-928.7</v>
      </c>
      <c r="I87" s="47">
        <v>254348.51</v>
      </c>
      <c r="J87" s="191"/>
      <c r="K87" s="192">
        <v>-1</v>
      </c>
      <c r="L87" s="47"/>
    </row>
    <row r="88" spans="1:12" s="104" customFormat="1" x14ac:dyDescent="0.2">
      <c r="A88" s="40" t="s">
        <v>53</v>
      </c>
      <c r="B88" s="131">
        <v>46090</v>
      </c>
      <c r="C88" s="43" t="s">
        <v>371</v>
      </c>
      <c r="D88" s="43" t="s">
        <v>58</v>
      </c>
      <c r="E88" s="132" t="s">
        <v>490</v>
      </c>
      <c r="F88" s="43" t="s">
        <v>573</v>
      </c>
      <c r="G88" s="82">
        <v>3655.46</v>
      </c>
      <c r="H88" s="47"/>
      <c r="I88" s="47">
        <v>258003.97</v>
      </c>
      <c r="J88" s="191" t="s">
        <v>289</v>
      </c>
      <c r="K88" s="192">
        <v>2</v>
      </c>
      <c r="L88" s="47"/>
    </row>
    <row r="89" spans="1:12" s="104" customFormat="1" x14ac:dyDescent="0.2">
      <c r="A89" s="40" t="s">
        <v>53</v>
      </c>
      <c r="B89" s="131">
        <v>46090</v>
      </c>
      <c r="C89" s="43" t="s">
        <v>371</v>
      </c>
      <c r="D89" s="43" t="s">
        <v>58</v>
      </c>
      <c r="E89" s="132" t="s">
        <v>490</v>
      </c>
      <c r="F89" s="43" t="s">
        <v>574</v>
      </c>
      <c r="G89" s="82">
        <v>974</v>
      </c>
      <c r="H89" s="47"/>
      <c r="I89" s="47">
        <v>258977.97</v>
      </c>
      <c r="J89" s="191" t="s">
        <v>289</v>
      </c>
      <c r="K89" s="192">
        <v>2</v>
      </c>
      <c r="L89" s="47"/>
    </row>
    <row r="90" spans="1:12" s="104" customFormat="1" x14ac:dyDescent="0.2">
      <c r="A90" s="40" t="s">
        <v>53</v>
      </c>
      <c r="B90" s="131">
        <v>46090</v>
      </c>
      <c r="C90" s="43" t="s">
        <v>371</v>
      </c>
      <c r="D90" s="43" t="s">
        <v>58</v>
      </c>
      <c r="E90" s="132" t="s">
        <v>490</v>
      </c>
      <c r="F90" s="43" t="s">
        <v>561</v>
      </c>
      <c r="G90" s="200">
        <v>888.78</v>
      </c>
      <c r="H90" s="47"/>
      <c r="I90" s="47">
        <v>259866.75</v>
      </c>
      <c r="J90" s="191" t="s">
        <v>295</v>
      </c>
      <c r="K90" s="192">
        <v>2</v>
      </c>
      <c r="L90" s="47"/>
    </row>
    <row r="91" spans="1:12" s="104" customFormat="1" x14ac:dyDescent="0.2">
      <c r="A91" s="40" t="s">
        <v>53</v>
      </c>
      <c r="B91" s="131">
        <v>46090</v>
      </c>
      <c r="C91" s="43" t="s">
        <v>371</v>
      </c>
      <c r="D91" s="43" t="s">
        <v>58</v>
      </c>
      <c r="E91" s="132" t="s">
        <v>490</v>
      </c>
      <c r="F91" s="43" t="s">
        <v>575</v>
      </c>
      <c r="G91" s="200">
        <v>1768.1</v>
      </c>
      <c r="H91" s="47"/>
      <c r="I91" s="47">
        <v>261634.85</v>
      </c>
      <c r="J91" s="191" t="s">
        <v>295</v>
      </c>
      <c r="K91" s="192">
        <v>2</v>
      </c>
      <c r="L91" s="47"/>
    </row>
    <row r="92" spans="1:12" s="104" customFormat="1" x14ac:dyDescent="0.2">
      <c r="A92" s="40" t="s">
        <v>53</v>
      </c>
      <c r="B92" s="131">
        <v>46090</v>
      </c>
      <c r="C92" s="43" t="s">
        <v>371</v>
      </c>
      <c r="D92" s="43" t="s">
        <v>58</v>
      </c>
      <c r="E92" s="132" t="s">
        <v>490</v>
      </c>
      <c r="F92" s="43" t="s">
        <v>576</v>
      </c>
      <c r="G92" s="82">
        <v>1750</v>
      </c>
      <c r="H92" s="47"/>
      <c r="I92" s="47">
        <v>263384.84999999998</v>
      </c>
      <c r="J92" s="191" t="s">
        <v>289</v>
      </c>
      <c r="K92" s="192">
        <v>2</v>
      </c>
      <c r="L92" s="47"/>
    </row>
    <row r="93" spans="1:12" s="104" customFormat="1" x14ac:dyDescent="0.2">
      <c r="A93" s="40" t="s">
        <v>53</v>
      </c>
      <c r="B93" s="131">
        <v>46091</v>
      </c>
      <c r="C93" s="43" t="s">
        <v>372</v>
      </c>
      <c r="D93" s="43" t="s">
        <v>254</v>
      </c>
      <c r="E93" s="132" t="s">
        <v>55</v>
      </c>
      <c r="F93" s="43" t="s">
        <v>577</v>
      </c>
      <c r="G93" s="82"/>
      <c r="H93" s="47">
        <v>-230.64</v>
      </c>
      <c r="I93" s="47">
        <v>263154.21000000002</v>
      </c>
      <c r="J93" s="191" t="s">
        <v>252</v>
      </c>
      <c r="K93" s="192">
        <v>-2</v>
      </c>
      <c r="L93" s="47"/>
    </row>
    <row r="94" spans="1:12" s="104" customFormat="1" x14ac:dyDescent="0.2">
      <c r="A94" s="40" t="s">
        <v>53</v>
      </c>
      <c r="B94" s="131">
        <v>46091</v>
      </c>
      <c r="C94" s="43" t="s">
        <v>373</v>
      </c>
      <c r="D94" s="43" t="s">
        <v>374</v>
      </c>
      <c r="E94" s="132" t="s">
        <v>63</v>
      </c>
      <c r="F94" s="43" t="s">
        <v>64</v>
      </c>
      <c r="G94" s="82"/>
      <c r="H94" s="47">
        <v>-21.15</v>
      </c>
      <c r="I94" s="47">
        <v>263133.06</v>
      </c>
      <c r="J94" s="191" t="s">
        <v>277</v>
      </c>
      <c r="K94" s="192">
        <v>-2</v>
      </c>
      <c r="L94" s="47"/>
    </row>
    <row r="95" spans="1:12" s="104" customFormat="1" x14ac:dyDescent="0.2">
      <c r="A95" s="40" t="s">
        <v>53</v>
      </c>
      <c r="B95" s="131">
        <v>46091</v>
      </c>
      <c r="C95" s="43" t="s">
        <v>373</v>
      </c>
      <c r="D95" s="43" t="s">
        <v>374</v>
      </c>
      <c r="E95" s="132" t="s">
        <v>63</v>
      </c>
      <c r="F95" s="43" t="s">
        <v>65</v>
      </c>
      <c r="G95" s="82"/>
      <c r="H95" s="47">
        <v>-95.34</v>
      </c>
      <c r="I95" s="47">
        <v>263037.71999999997</v>
      </c>
      <c r="J95" s="191" t="s">
        <v>277</v>
      </c>
      <c r="K95" s="192">
        <v>-2</v>
      </c>
      <c r="L95" s="47"/>
    </row>
    <row r="96" spans="1:12" s="104" customFormat="1" x14ac:dyDescent="0.2">
      <c r="A96" s="40" t="s">
        <v>53</v>
      </c>
      <c r="B96" s="131">
        <v>46091</v>
      </c>
      <c r="C96" s="43" t="s">
        <v>373</v>
      </c>
      <c r="D96" s="43" t="s">
        <v>374</v>
      </c>
      <c r="E96" s="132" t="s">
        <v>63</v>
      </c>
      <c r="F96" s="43" t="s">
        <v>66</v>
      </c>
      <c r="G96" s="82"/>
      <c r="H96" s="47">
        <v>-74.45</v>
      </c>
      <c r="I96" s="47">
        <v>262963.27</v>
      </c>
      <c r="J96" s="191" t="s">
        <v>277</v>
      </c>
      <c r="K96" s="192">
        <v>-2</v>
      </c>
      <c r="L96" s="47"/>
    </row>
    <row r="97" spans="1:12" s="104" customFormat="1" x14ac:dyDescent="0.2">
      <c r="A97" s="40" t="s">
        <v>53</v>
      </c>
      <c r="B97" s="131">
        <v>46091</v>
      </c>
      <c r="C97" s="43" t="s">
        <v>373</v>
      </c>
      <c r="D97" s="43" t="s">
        <v>374</v>
      </c>
      <c r="E97" s="132" t="s">
        <v>63</v>
      </c>
      <c r="F97" s="43" t="s">
        <v>67</v>
      </c>
      <c r="G97" s="82"/>
      <c r="H97" s="47">
        <v>-313.27999999999997</v>
      </c>
      <c r="I97" s="47">
        <v>262649.99</v>
      </c>
      <c r="J97" s="191" t="s">
        <v>277</v>
      </c>
      <c r="K97" s="192">
        <v>-2</v>
      </c>
      <c r="L97" s="47"/>
    </row>
    <row r="98" spans="1:12" s="104" customFormat="1" x14ac:dyDescent="0.2">
      <c r="A98" s="40" t="s">
        <v>53</v>
      </c>
      <c r="B98" s="131">
        <v>46091</v>
      </c>
      <c r="C98" s="43" t="s">
        <v>373</v>
      </c>
      <c r="D98" s="43" t="s">
        <v>374</v>
      </c>
      <c r="E98" s="132" t="s">
        <v>63</v>
      </c>
      <c r="F98" s="43" t="s">
        <v>68</v>
      </c>
      <c r="G98" s="82"/>
      <c r="H98" s="47">
        <v>-277.68</v>
      </c>
      <c r="I98" s="47">
        <v>262372.31</v>
      </c>
      <c r="J98" s="191" t="s">
        <v>277</v>
      </c>
      <c r="K98" s="192">
        <v>-2</v>
      </c>
      <c r="L98" s="47"/>
    </row>
    <row r="99" spans="1:12" s="104" customFormat="1" x14ac:dyDescent="0.2">
      <c r="A99" s="40" t="s">
        <v>53</v>
      </c>
      <c r="B99" s="131">
        <v>46091</v>
      </c>
      <c r="C99" s="43" t="s">
        <v>373</v>
      </c>
      <c r="D99" s="43" t="s">
        <v>374</v>
      </c>
      <c r="E99" s="132" t="s">
        <v>63</v>
      </c>
      <c r="F99" s="43" t="s">
        <v>69</v>
      </c>
      <c r="G99" s="82"/>
      <c r="H99" s="47">
        <v>-1157.78</v>
      </c>
      <c r="I99" s="47">
        <v>261214.53</v>
      </c>
      <c r="J99" s="191" t="s">
        <v>277</v>
      </c>
      <c r="K99" s="192">
        <v>-2</v>
      </c>
      <c r="L99" s="47"/>
    </row>
    <row r="100" spans="1:12" s="104" customFormat="1" x14ac:dyDescent="0.2">
      <c r="A100" s="40" t="s">
        <v>53</v>
      </c>
      <c r="B100" s="131">
        <v>46091</v>
      </c>
      <c r="C100" s="43" t="s">
        <v>375</v>
      </c>
      <c r="D100" s="43" t="s">
        <v>255</v>
      </c>
      <c r="E100" s="132" t="s">
        <v>491</v>
      </c>
      <c r="F100" s="43" t="s">
        <v>578</v>
      </c>
      <c r="G100" s="82"/>
      <c r="H100" s="47">
        <v>-147.72999999999999</v>
      </c>
      <c r="I100" s="47">
        <v>261066.8</v>
      </c>
      <c r="J100" s="191" t="s">
        <v>252</v>
      </c>
      <c r="K100" s="192">
        <v>-2</v>
      </c>
      <c r="L100" s="47"/>
    </row>
    <row r="101" spans="1:12" s="104" customFormat="1" x14ac:dyDescent="0.2">
      <c r="A101" s="40" t="s">
        <v>53</v>
      </c>
      <c r="B101" s="131">
        <v>46091</v>
      </c>
      <c r="C101" s="43" t="s">
        <v>376</v>
      </c>
      <c r="D101" s="43" t="s">
        <v>248</v>
      </c>
      <c r="E101" s="132" t="s">
        <v>492</v>
      </c>
      <c r="F101" s="43" t="s">
        <v>579</v>
      </c>
      <c r="G101" s="82"/>
      <c r="H101" s="47">
        <v>-102</v>
      </c>
      <c r="I101" s="47">
        <v>260964.8</v>
      </c>
      <c r="J101" s="191" t="s">
        <v>246</v>
      </c>
      <c r="K101" s="192">
        <v>-2</v>
      </c>
      <c r="L101" s="47"/>
    </row>
    <row r="102" spans="1:12" s="104" customFormat="1" x14ac:dyDescent="0.2">
      <c r="A102" s="40" t="s">
        <v>53</v>
      </c>
      <c r="B102" s="131">
        <v>46091</v>
      </c>
      <c r="C102" s="43" t="s">
        <v>377</v>
      </c>
      <c r="D102" s="43" t="s">
        <v>58</v>
      </c>
      <c r="E102" s="132" t="s">
        <v>493</v>
      </c>
      <c r="F102" s="43" t="s">
        <v>580</v>
      </c>
      <c r="G102" s="82">
        <v>3368.95</v>
      </c>
      <c r="H102" s="47"/>
      <c r="I102" s="47">
        <v>264333.75</v>
      </c>
      <c r="J102" s="191" t="s">
        <v>286</v>
      </c>
      <c r="K102" s="192">
        <v>2</v>
      </c>
      <c r="L102" s="47"/>
    </row>
    <row r="103" spans="1:12" s="104" customFormat="1" x14ac:dyDescent="0.2">
      <c r="A103" s="40" t="s">
        <v>53</v>
      </c>
      <c r="B103" s="131">
        <v>46091</v>
      </c>
      <c r="C103" s="43" t="s">
        <v>377</v>
      </c>
      <c r="D103" s="43" t="s">
        <v>58</v>
      </c>
      <c r="E103" s="132" t="s">
        <v>493</v>
      </c>
      <c r="F103" s="43" t="s">
        <v>581</v>
      </c>
      <c r="G103" s="82">
        <v>1950</v>
      </c>
      <c r="H103" s="47"/>
      <c r="I103" s="47">
        <v>266283.75</v>
      </c>
      <c r="J103" s="191" t="s">
        <v>289</v>
      </c>
      <c r="K103" s="192">
        <v>2</v>
      </c>
      <c r="L103" s="47"/>
    </row>
    <row r="104" spans="1:12" s="104" customFormat="1" x14ac:dyDescent="0.2">
      <c r="A104" s="40" t="s">
        <v>53</v>
      </c>
      <c r="B104" s="131">
        <v>46092</v>
      </c>
      <c r="C104" s="43" t="s">
        <v>378</v>
      </c>
      <c r="D104" s="43" t="s">
        <v>58</v>
      </c>
      <c r="E104" s="132" t="s">
        <v>494</v>
      </c>
      <c r="F104" s="43" t="s">
        <v>582</v>
      </c>
      <c r="G104" s="82">
        <v>1556.8</v>
      </c>
      <c r="H104" s="47"/>
      <c r="I104" s="47">
        <v>267840.55</v>
      </c>
      <c r="J104" s="191" t="s">
        <v>277</v>
      </c>
      <c r="K104" s="192">
        <v>2</v>
      </c>
      <c r="L104" s="47"/>
    </row>
    <row r="105" spans="1:12" s="104" customFormat="1" x14ac:dyDescent="0.2">
      <c r="A105" s="40" t="s">
        <v>53</v>
      </c>
      <c r="B105" s="131">
        <v>46092</v>
      </c>
      <c r="C105" s="43" t="s">
        <v>378</v>
      </c>
      <c r="D105" s="43" t="s">
        <v>58</v>
      </c>
      <c r="E105" s="132" t="s">
        <v>494</v>
      </c>
      <c r="F105" s="43" t="s">
        <v>583</v>
      </c>
      <c r="G105" s="82">
        <v>2150</v>
      </c>
      <c r="H105" s="47"/>
      <c r="I105" s="47">
        <v>269990.55</v>
      </c>
      <c r="J105" s="191" t="s">
        <v>277</v>
      </c>
      <c r="K105" s="192">
        <v>2</v>
      </c>
      <c r="L105" s="47"/>
    </row>
    <row r="106" spans="1:12" s="104" customFormat="1" x14ac:dyDescent="0.2">
      <c r="A106" s="40" t="s">
        <v>53</v>
      </c>
      <c r="B106" s="131">
        <v>46092</v>
      </c>
      <c r="C106" s="43" t="s">
        <v>378</v>
      </c>
      <c r="D106" s="43" t="s">
        <v>58</v>
      </c>
      <c r="E106" s="132" t="s">
        <v>494</v>
      </c>
      <c r="F106" s="43" t="s">
        <v>584</v>
      </c>
      <c r="G106" s="82">
        <v>300</v>
      </c>
      <c r="H106" s="47"/>
      <c r="I106" s="47">
        <v>270290.55</v>
      </c>
      <c r="J106" s="191" t="s">
        <v>277</v>
      </c>
      <c r="K106" s="192">
        <v>2</v>
      </c>
      <c r="L106" s="47"/>
    </row>
    <row r="107" spans="1:12" s="104" customFormat="1" x14ac:dyDescent="0.2">
      <c r="A107" s="40" t="s">
        <v>53</v>
      </c>
      <c r="B107" s="131">
        <v>46093</v>
      </c>
      <c r="C107" s="43" t="s">
        <v>379</v>
      </c>
      <c r="D107" s="43" t="s">
        <v>380</v>
      </c>
      <c r="E107" s="132" t="s">
        <v>23</v>
      </c>
      <c r="F107" s="43" t="s">
        <v>585</v>
      </c>
      <c r="G107" s="82"/>
      <c r="H107" s="47">
        <v>-13.67</v>
      </c>
      <c r="I107" s="47">
        <v>270276.88</v>
      </c>
      <c r="J107" s="191" t="s">
        <v>275</v>
      </c>
      <c r="K107" s="192">
        <v>-2</v>
      </c>
      <c r="L107" s="47"/>
    </row>
    <row r="108" spans="1:12" s="104" customFormat="1" x14ac:dyDescent="0.2">
      <c r="A108" s="40" t="s">
        <v>53</v>
      </c>
      <c r="B108" s="131">
        <v>46093</v>
      </c>
      <c r="C108" s="43" t="s">
        <v>381</v>
      </c>
      <c r="D108" s="43" t="s">
        <v>58</v>
      </c>
      <c r="E108" s="132" t="s">
        <v>495</v>
      </c>
      <c r="F108" s="43" t="s">
        <v>586</v>
      </c>
      <c r="G108" s="82">
        <v>1875</v>
      </c>
      <c r="H108" s="47"/>
      <c r="I108" s="47">
        <v>272151.88</v>
      </c>
      <c r="J108" s="191" t="s">
        <v>277</v>
      </c>
      <c r="K108" s="192">
        <v>2</v>
      </c>
      <c r="L108" s="47"/>
    </row>
    <row r="109" spans="1:12" s="104" customFormat="1" x14ac:dyDescent="0.2">
      <c r="A109" s="40" t="s">
        <v>53</v>
      </c>
      <c r="B109" s="131">
        <v>46094</v>
      </c>
      <c r="C109" s="43" t="s">
        <v>382</v>
      </c>
      <c r="D109" s="43" t="s">
        <v>383</v>
      </c>
      <c r="E109" s="132" t="s">
        <v>496</v>
      </c>
      <c r="F109" s="43" t="s">
        <v>587</v>
      </c>
      <c r="G109" s="82"/>
      <c r="H109" s="47">
        <v>-510</v>
      </c>
      <c r="I109" s="47">
        <v>271641.88</v>
      </c>
      <c r="J109" s="191" t="s">
        <v>252</v>
      </c>
      <c r="K109" s="192">
        <v>-2</v>
      </c>
      <c r="L109" s="47"/>
    </row>
    <row r="110" spans="1:12" s="104" customFormat="1" x14ac:dyDescent="0.2">
      <c r="A110" s="40" t="s">
        <v>53</v>
      </c>
      <c r="B110" s="131">
        <v>46094</v>
      </c>
      <c r="C110" s="43" t="s">
        <v>382</v>
      </c>
      <c r="D110" s="43" t="s">
        <v>383</v>
      </c>
      <c r="E110" s="132" t="s">
        <v>496</v>
      </c>
      <c r="F110" s="43" t="s">
        <v>588</v>
      </c>
      <c r="G110" s="82"/>
      <c r="H110" s="47">
        <v>-4485</v>
      </c>
      <c r="I110" s="47">
        <v>267156.88</v>
      </c>
      <c r="J110" s="191" t="s">
        <v>252</v>
      </c>
      <c r="K110" s="192">
        <v>-2</v>
      </c>
      <c r="L110" s="47"/>
    </row>
    <row r="111" spans="1:12" s="104" customFormat="1" x14ac:dyDescent="0.2">
      <c r="A111" s="40" t="s">
        <v>53</v>
      </c>
      <c r="B111" s="131">
        <v>46094</v>
      </c>
      <c r="C111" s="43" t="s">
        <v>382</v>
      </c>
      <c r="D111" s="43" t="s">
        <v>383</v>
      </c>
      <c r="E111" s="132" t="s">
        <v>496</v>
      </c>
      <c r="F111" s="43" t="s">
        <v>589</v>
      </c>
      <c r="G111" s="82"/>
      <c r="H111" s="47">
        <v>-4485</v>
      </c>
      <c r="I111" s="47">
        <v>262671.88</v>
      </c>
      <c r="J111" s="191" t="s">
        <v>252</v>
      </c>
      <c r="K111" s="192">
        <v>-2</v>
      </c>
      <c r="L111" s="47"/>
    </row>
    <row r="112" spans="1:12" s="104" customFormat="1" x14ac:dyDescent="0.2">
      <c r="A112" s="40" t="s">
        <v>53</v>
      </c>
      <c r="B112" s="131">
        <v>46094</v>
      </c>
      <c r="C112" s="43" t="s">
        <v>382</v>
      </c>
      <c r="D112" s="43" t="s">
        <v>383</v>
      </c>
      <c r="E112" s="132" t="s">
        <v>496</v>
      </c>
      <c r="F112" s="43" t="s">
        <v>587</v>
      </c>
      <c r="G112" s="82"/>
      <c r="H112" s="47">
        <v>-4485</v>
      </c>
      <c r="I112" s="47">
        <v>258186.88</v>
      </c>
      <c r="J112" s="191" t="s">
        <v>252</v>
      </c>
      <c r="K112" s="192">
        <v>-2</v>
      </c>
      <c r="L112" s="47"/>
    </row>
    <row r="113" spans="1:12" s="104" customFormat="1" x14ac:dyDescent="0.2">
      <c r="A113" s="40" t="s">
        <v>53</v>
      </c>
      <c r="B113" s="131">
        <v>46094</v>
      </c>
      <c r="C113" s="43" t="s">
        <v>382</v>
      </c>
      <c r="D113" s="43" t="s">
        <v>383</v>
      </c>
      <c r="E113" s="132" t="s">
        <v>496</v>
      </c>
      <c r="F113" s="43" t="s">
        <v>590</v>
      </c>
      <c r="G113" s="82"/>
      <c r="H113" s="47">
        <v>-4485</v>
      </c>
      <c r="I113" s="47">
        <v>253701.88</v>
      </c>
      <c r="J113" s="191" t="s">
        <v>252</v>
      </c>
      <c r="K113" s="192">
        <v>-2</v>
      </c>
      <c r="L113" s="47"/>
    </row>
    <row r="114" spans="1:12" s="104" customFormat="1" x14ac:dyDescent="0.2">
      <c r="A114" s="40" t="s">
        <v>53</v>
      </c>
      <c r="B114" s="131">
        <v>46094</v>
      </c>
      <c r="C114" s="43" t="s">
        <v>382</v>
      </c>
      <c r="D114" s="43" t="s">
        <v>383</v>
      </c>
      <c r="E114" s="132" t="s">
        <v>496</v>
      </c>
      <c r="F114" s="43" t="s">
        <v>591</v>
      </c>
      <c r="G114" s="82"/>
      <c r="H114" s="47">
        <v>-4485</v>
      </c>
      <c r="I114" s="47">
        <v>249216.88</v>
      </c>
      <c r="J114" s="191" t="s">
        <v>252</v>
      </c>
      <c r="K114" s="192">
        <v>-2</v>
      </c>
      <c r="L114" s="47"/>
    </row>
    <row r="115" spans="1:12" s="104" customFormat="1" x14ac:dyDescent="0.2">
      <c r="A115" s="40" t="s">
        <v>53</v>
      </c>
      <c r="B115" s="131">
        <v>46094</v>
      </c>
      <c r="C115" s="43" t="s">
        <v>382</v>
      </c>
      <c r="D115" s="43" t="s">
        <v>383</v>
      </c>
      <c r="E115" s="132" t="s">
        <v>496</v>
      </c>
      <c r="F115" s="43" t="s">
        <v>592</v>
      </c>
      <c r="G115" s="82"/>
      <c r="H115" s="47">
        <v>-4485</v>
      </c>
      <c r="I115" s="47">
        <v>244731.88</v>
      </c>
      <c r="J115" s="191" t="s">
        <v>252</v>
      </c>
      <c r="K115" s="192">
        <v>-2</v>
      </c>
      <c r="L115" s="47"/>
    </row>
    <row r="116" spans="1:12" s="104" customFormat="1" x14ac:dyDescent="0.2">
      <c r="A116" s="40" t="s">
        <v>53</v>
      </c>
      <c r="B116" s="131">
        <v>46094</v>
      </c>
      <c r="C116" s="43" t="s">
        <v>384</v>
      </c>
      <c r="D116" s="43" t="s">
        <v>205</v>
      </c>
      <c r="E116" s="132" t="s">
        <v>92</v>
      </c>
      <c r="F116" s="43" t="s">
        <v>593</v>
      </c>
      <c r="G116" s="82"/>
      <c r="H116" s="47">
        <v>-3083</v>
      </c>
      <c r="I116" s="47">
        <v>241648.88</v>
      </c>
      <c r="J116" s="191" t="s">
        <v>204</v>
      </c>
      <c r="K116" s="192">
        <v>-2</v>
      </c>
      <c r="L116" s="47"/>
    </row>
    <row r="117" spans="1:12" s="104" customFormat="1" x14ac:dyDescent="0.2">
      <c r="A117" s="40" t="s">
        <v>53</v>
      </c>
      <c r="B117" s="131">
        <v>46094</v>
      </c>
      <c r="C117" s="43" t="s">
        <v>384</v>
      </c>
      <c r="D117" s="43" t="s">
        <v>205</v>
      </c>
      <c r="E117" s="132" t="s">
        <v>92</v>
      </c>
      <c r="F117" s="43" t="s">
        <v>594</v>
      </c>
      <c r="G117" s="82"/>
      <c r="H117" s="47">
        <v>-6892.14</v>
      </c>
      <c r="I117" s="47">
        <v>234756.74</v>
      </c>
      <c r="J117" s="191" t="s">
        <v>204</v>
      </c>
      <c r="K117" s="192">
        <v>-2</v>
      </c>
      <c r="L117" s="47"/>
    </row>
    <row r="118" spans="1:12" s="104" customFormat="1" x14ac:dyDescent="0.2">
      <c r="A118" s="40" t="s">
        <v>53</v>
      </c>
      <c r="B118" s="131">
        <v>46094</v>
      </c>
      <c r="C118" s="43" t="s">
        <v>384</v>
      </c>
      <c r="D118" s="43" t="s">
        <v>205</v>
      </c>
      <c r="E118" s="132" t="s">
        <v>92</v>
      </c>
      <c r="F118" s="43" t="s">
        <v>595</v>
      </c>
      <c r="G118" s="82"/>
      <c r="H118" s="47">
        <v>-298.77999999999997</v>
      </c>
      <c r="I118" s="47">
        <v>234457.96</v>
      </c>
      <c r="J118" s="191" t="s">
        <v>204</v>
      </c>
      <c r="K118" s="192">
        <v>-2</v>
      </c>
      <c r="L118" s="47"/>
    </row>
    <row r="119" spans="1:12" s="104" customFormat="1" x14ac:dyDescent="0.2">
      <c r="A119" s="40" t="s">
        <v>53</v>
      </c>
      <c r="B119" s="131">
        <v>46094</v>
      </c>
      <c r="C119" s="43" t="s">
        <v>385</v>
      </c>
      <c r="D119" s="43" t="s">
        <v>264</v>
      </c>
      <c r="E119" s="132" t="s">
        <v>497</v>
      </c>
      <c r="F119" s="43" t="s">
        <v>596</v>
      </c>
      <c r="G119" s="82"/>
      <c r="H119" s="47">
        <v>-388.15</v>
      </c>
      <c r="I119" s="47">
        <v>234069.81</v>
      </c>
      <c r="J119" s="191" t="s">
        <v>263</v>
      </c>
      <c r="K119" s="192">
        <v>-2</v>
      </c>
      <c r="L119" s="47"/>
    </row>
    <row r="120" spans="1:12" s="104" customFormat="1" x14ac:dyDescent="0.2">
      <c r="A120" s="40" t="s">
        <v>53</v>
      </c>
      <c r="B120" s="131">
        <v>46094</v>
      </c>
      <c r="C120" s="43" t="s">
        <v>386</v>
      </c>
      <c r="D120" s="43" t="s">
        <v>387</v>
      </c>
      <c r="E120" s="132" t="s">
        <v>55</v>
      </c>
      <c r="F120" s="43" t="s">
        <v>597</v>
      </c>
      <c r="G120" s="82"/>
      <c r="H120" s="205">
        <v>-81.98</v>
      </c>
      <c r="I120" s="47">
        <v>233987.83</v>
      </c>
      <c r="J120" s="191" t="s">
        <v>263</v>
      </c>
      <c r="K120" s="192">
        <v>-2</v>
      </c>
      <c r="L120" s="47"/>
    </row>
    <row r="121" spans="1:12" s="104" customFormat="1" x14ac:dyDescent="0.2">
      <c r="A121" s="40" t="s">
        <v>53</v>
      </c>
      <c r="B121" s="131">
        <v>46094</v>
      </c>
      <c r="C121" s="43" t="s">
        <v>388</v>
      </c>
      <c r="D121" s="43" t="s">
        <v>389</v>
      </c>
      <c r="E121" s="132" t="s">
        <v>55</v>
      </c>
      <c r="F121" s="43" t="s">
        <v>598</v>
      </c>
      <c r="G121" s="82"/>
      <c r="H121" s="205">
        <v>-19.89</v>
      </c>
      <c r="I121" s="47">
        <v>233967.94</v>
      </c>
      <c r="J121" s="191" t="s">
        <v>263</v>
      </c>
      <c r="K121" s="192">
        <v>-2</v>
      </c>
      <c r="L121" s="47"/>
    </row>
    <row r="122" spans="1:12" s="104" customFormat="1" x14ac:dyDescent="0.2">
      <c r="A122" s="40" t="s">
        <v>53</v>
      </c>
      <c r="B122" s="131">
        <v>46094</v>
      </c>
      <c r="C122" s="43" t="s">
        <v>388</v>
      </c>
      <c r="D122" s="43" t="s">
        <v>389</v>
      </c>
      <c r="E122" s="132" t="s">
        <v>55</v>
      </c>
      <c r="F122" s="43" t="s">
        <v>598</v>
      </c>
      <c r="G122" s="82"/>
      <c r="H122" s="205">
        <v>-5.57</v>
      </c>
      <c r="I122" s="47">
        <v>233962.37</v>
      </c>
      <c r="J122" s="191" t="s">
        <v>263</v>
      </c>
      <c r="K122" s="192">
        <v>-2</v>
      </c>
      <c r="L122" s="47"/>
    </row>
    <row r="123" spans="1:12" s="104" customFormat="1" x14ac:dyDescent="0.2">
      <c r="A123" s="40" t="s">
        <v>53</v>
      </c>
      <c r="B123" s="131">
        <v>46094</v>
      </c>
      <c r="C123" s="43" t="s">
        <v>390</v>
      </c>
      <c r="D123" s="43" t="s">
        <v>352</v>
      </c>
      <c r="E123" s="132" t="s">
        <v>59</v>
      </c>
      <c r="F123" s="43" t="s">
        <v>60</v>
      </c>
      <c r="G123" s="82">
        <v>12679.49</v>
      </c>
      <c r="H123" s="47"/>
      <c r="I123" s="47">
        <v>246641.86</v>
      </c>
      <c r="J123" s="131">
        <v>46084</v>
      </c>
      <c r="K123" s="192">
        <v>4</v>
      </c>
      <c r="L123" s="47"/>
    </row>
    <row r="124" spans="1:12" s="104" customFormat="1" x14ac:dyDescent="0.2">
      <c r="A124" s="40" t="s">
        <v>53</v>
      </c>
      <c r="B124" s="131">
        <v>46094</v>
      </c>
      <c r="C124" s="43" t="s">
        <v>391</v>
      </c>
      <c r="D124" s="43" t="s">
        <v>392</v>
      </c>
      <c r="E124" s="132" t="s">
        <v>59</v>
      </c>
      <c r="F124" s="43" t="s">
        <v>60</v>
      </c>
      <c r="G124" s="82"/>
      <c r="H124" s="47">
        <v>-12679.49</v>
      </c>
      <c r="I124" s="47">
        <v>233962.37</v>
      </c>
      <c r="J124" s="191" t="s">
        <v>252</v>
      </c>
      <c r="K124" s="192">
        <v>-2</v>
      </c>
      <c r="L124" s="47"/>
    </row>
    <row r="125" spans="1:12" s="104" customFormat="1" x14ac:dyDescent="0.2">
      <c r="A125" s="40" t="s">
        <v>53</v>
      </c>
      <c r="B125" s="131">
        <v>46094</v>
      </c>
      <c r="C125" s="43" t="s">
        <v>393</v>
      </c>
      <c r="D125" s="43" t="s">
        <v>58</v>
      </c>
      <c r="E125" s="132" t="s">
        <v>498</v>
      </c>
      <c r="F125" s="43" t="s">
        <v>599</v>
      </c>
      <c r="G125" s="82">
        <v>4368.5</v>
      </c>
      <c r="H125" s="47"/>
      <c r="I125" s="47">
        <v>238330.87</v>
      </c>
      <c r="J125" s="191" t="s">
        <v>263</v>
      </c>
      <c r="K125" s="192">
        <v>2</v>
      </c>
      <c r="L125" s="47"/>
    </row>
    <row r="126" spans="1:12" s="104" customFormat="1" x14ac:dyDescent="0.2">
      <c r="A126" s="40" t="s">
        <v>53</v>
      </c>
      <c r="B126" s="131">
        <v>46094</v>
      </c>
      <c r="C126" s="43" t="s">
        <v>393</v>
      </c>
      <c r="D126" s="43" t="s">
        <v>58</v>
      </c>
      <c r="E126" s="132" t="s">
        <v>498</v>
      </c>
      <c r="F126" s="43" t="s">
        <v>600</v>
      </c>
      <c r="G126" s="82">
        <v>4650</v>
      </c>
      <c r="H126" s="47"/>
      <c r="I126" s="47">
        <v>242980.87</v>
      </c>
      <c r="J126" s="191" t="s">
        <v>263</v>
      </c>
      <c r="K126" s="192">
        <v>2</v>
      </c>
      <c r="L126" s="47"/>
    </row>
    <row r="127" spans="1:12" s="104" customFormat="1" x14ac:dyDescent="0.2">
      <c r="A127" s="40" t="s">
        <v>53</v>
      </c>
      <c r="B127" s="131">
        <v>46094</v>
      </c>
      <c r="C127" s="43" t="s">
        <v>393</v>
      </c>
      <c r="D127" s="43" t="s">
        <v>58</v>
      </c>
      <c r="E127" s="132" t="s">
        <v>498</v>
      </c>
      <c r="F127" s="43" t="s">
        <v>601</v>
      </c>
      <c r="G127" s="82">
        <v>4650</v>
      </c>
      <c r="H127" s="47"/>
      <c r="I127" s="47">
        <v>247630.87</v>
      </c>
      <c r="J127" s="191" t="s">
        <v>263</v>
      </c>
      <c r="K127" s="192">
        <v>2</v>
      </c>
      <c r="L127" s="47"/>
    </row>
    <row r="128" spans="1:12" s="104" customFormat="1" x14ac:dyDescent="0.2">
      <c r="A128" s="40" t="s">
        <v>53</v>
      </c>
      <c r="B128" s="131">
        <v>46094</v>
      </c>
      <c r="C128" s="43" t="s">
        <v>393</v>
      </c>
      <c r="D128" s="43" t="s">
        <v>58</v>
      </c>
      <c r="E128" s="132" t="s">
        <v>498</v>
      </c>
      <c r="F128" s="43" t="s">
        <v>602</v>
      </c>
      <c r="G128" s="82">
        <v>5390.9</v>
      </c>
      <c r="H128" s="47"/>
      <c r="I128" s="47">
        <v>253021.77</v>
      </c>
      <c r="J128" s="191" t="s">
        <v>263</v>
      </c>
      <c r="K128" s="192">
        <v>2</v>
      </c>
      <c r="L128" s="47"/>
    </row>
    <row r="129" spans="1:12" s="104" customFormat="1" x14ac:dyDescent="0.2">
      <c r="A129" s="40" t="s">
        <v>53</v>
      </c>
      <c r="B129" s="131">
        <v>46094</v>
      </c>
      <c r="C129" s="43" t="s">
        <v>393</v>
      </c>
      <c r="D129" s="43" t="s">
        <v>58</v>
      </c>
      <c r="E129" s="132" t="s">
        <v>498</v>
      </c>
      <c r="F129" s="43" t="s">
        <v>603</v>
      </c>
      <c r="G129" s="82">
        <v>8452.17</v>
      </c>
      <c r="H129" s="47"/>
      <c r="I129" s="47">
        <v>261473.94</v>
      </c>
      <c r="J129" s="191" t="s">
        <v>263</v>
      </c>
      <c r="K129" s="192">
        <v>2</v>
      </c>
      <c r="L129" s="47"/>
    </row>
    <row r="130" spans="1:12" s="104" customFormat="1" x14ac:dyDescent="0.2">
      <c r="A130" s="40" t="s">
        <v>53</v>
      </c>
      <c r="B130" s="131">
        <v>46096</v>
      </c>
      <c r="C130" s="43" t="s">
        <v>394</v>
      </c>
      <c r="D130" s="43" t="s">
        <v>58</v>
      </c>
      <c r="E130" s="132" t="s">
        <v>499</v>
      </c>
      <c r="F130" s="43" t="s">
        <v>604</v>
      </c>
      <c r="G130" s="82">
        <v>1900</v>
      </c>
      <c r="H130" s="47"/>
      <c r="I130" s="47">
        <v>263373.94</v>
      </c>
      <c r="J130" s="191" t="s">
        <v>263</v>
      </c>
      <c r="K130" s="192">
        <v>2</v>
      </c>
      <c r="L130" s="47"/>
    </row>
    <row r="131" spans="1:12" s="104" customFormat="1" x14ac:dyDescent="0.2">
      <c r="A131" s="40" t="s">
        <v>53</v>
      </c>
      <c r="B131" s="131">
        <v>46097</v>
      </c>
      <c r="C131" s="43" t="s">
        <v>395</v>
      </c>
      <c r="D131" s="43" t="s">
        <v>224</v>
      </c>
      <c r="E131" s="132" t="s">
        <v>57</v>
      </c>
      <c r="F131" s="43" t="s">
        <v>605</v>
      </c>
      <c r="G131" s="82"/>
      <c r="H131" s="47">
        <v>-38.35</v>
      </c>
      <c r="I131" s="47">
        <v>263335.59000000003</v>
      </c>
      <c r="J131" s="191" t="s">
        <v>221</v>
      </c>
      <c r="K131" s="192">
        <v>-2</v>
      </c>
      <c r="L131" s="47"/>
    </row>
    <row r="132" spans="1:12" s="104" customFormat="1" x14ac:dyDescent="0.2">
      <c r="A132" s="40" t="s">
        <v>53</v>
      </c>
      <c r="B132" s="131">
        <v>46097</v>
      </c>
      <c r="C132" s="43" t="s">
        <v>396</v>
      </c>
      <c r="D132" s="43" t="s">
        <v>397</v>
      </c>
      <c r="E132" s="132" t="s">
        <v>55</v>
      </c>
      <c r="F132" s="43" t="s">
        <v>606</v>
      </c>
      <c r="G132" s="82"/>
      <c r="H132" s="212">
        <v>-48.75</v>
      </c>
      <c r="I132" s="47">
        <v>263286.84000000003</v>
      </c>
      <c r="J132" s="191" t="s">
        <v>252</v>
      </c>
      <c r="K132" s="192">
        <v>-2</v>
      </c>
      <c r="L132" s="47"/>
    </row>
    <row r="133" spans="1:12" s="104" customFormat="1" x14ac:dyDescent="0.2">
      <c r="A133" s="40" t="s">
        <v>53</v>
      </c>
      <c r="B133" s="131">
        <v>46097</v>
      </c>
      <c r="C133" s="43" t="s">
        <v>398</v>
      </c>
      <c r="D133" s="43" t="s">
        <v>399</v>
      </c>
      <c r="E133" s="132" t="s">
        <v>55</v>
      </c>
      <c r="F133" s="43" t="s">
        <v>607</v>
      </c>
      <c r="G133" s="82"/>
      <c r="H133" s="212">
        <v>-190.3</v>
      </c>
      <c r="I133" s="47">
        <v>263096.53999999998</v>
      </c>
      <c r="J133" s="191" t="s">
        <v>252</v>
      </c>
      <c r="K133" s="192">
        <v>-2</v>
      </c>
      <c r="L133" s="47"/>
    </row>
    <row r="134" spans="1:12" s="104" customFormat="1" x14ac:dyDescent="0.2">
      <c r="A134" s="40" t="s">
        <v>53</v>
      </c>
      <c r="B134" s="131">
        <v>46097</v>
      </c>
      <c r="C134" s="43" t="s">
        <v>400</v>
      </c>
      <c r="D134" s="43" t="s">
        <v>401</v>
      </c>
      <c r="E134" s="132" t="s">
        <v>55</v>
      </c>
      <c r="F134" s="43" t="s">
        <v>608</v>
      </c>
      <c r="G134" s="82"/>
      <c r="H134" s="212">
        <v>-1623.58</v>
      </c>
      <c r="I134" s="47">
        <v>261472.96</v>
      </c>
      <c r="J134" s="191" t="s">
        <v>252</v>
      </c>
      <c r="K134" s="192">
        <v>-2</v>
      </c>
      <c r="L134" s="47"/>
    </row>
    <row r="135" spans="1:12" s="104" customFormat="1" x14ac:dyDescent="0.2">
      <c r="A135" s="40" t="s">
        <v>53</v>
      </c>
      <c r="B135" s="131">
        <v>46097</v>
      </c>
      <c r="C135" s="43" t="s">
        <v>402</v>
      </c>
      <c r="D135" s="43" t="s">
        <v>403</v>
      </c>
      <c r="E135" s="132" t="s">
        <v>55</v>
      </c>
      <c r="F135" s="43" t="s">
        <v>609</v>
      </c>
      <c r="G135" s="82"/>
      <c r="H135" s="212">
        <v>-196.47</v>
      </c>
      <c r="I135" s="47">
        <v>261276.49</v>
      </c>
      <c r="J135" s="191" t="s">
        <v>252</v>
      </c>
      <c r="K135" s="192">
        <v>-2</v>
      </c>
      <c r="L135" s="47"/>
    </row>
    <row r="136" spans="1:12" s="104" customFormat="1" x14ac:dyDescent="0.2">
      <c r="A136" s="40" t="s">
        <v>53</v>
      </c>
      <c r="B136" s="131">
        <v>46097</v>
      </c>
      <c r="C136" s="43" t="s">
        <v>404</v>
      </c>
      <c r="D136" s="43" t="s">
        <v>230</v>
      </c>
      <c r="E136" s="132" t="s">
        <v>61</v>
      </c>
      <c r="F136" s="43" t="s">
        <v>610</v>
      </c>
      <c r="G136" s="82"/>
      <c r="H136" s="47">
        <v>-369.39</v>
      </c>
      <c r="I136" s="47">
        <v>260907.1</v>
      </c>
      <c r="J136" s="191" t="s">
        <v>228</v>
      </c>
      <c r="K136" s="192">
        <v>-2</v>
      </c>
      <c r="L136" s="47"/>
    </row>
    <row r="137" spans="1:12" s="104" customFormat="1" x14ac:dyDescent="0.2">
      <c r="A137" s="40" t="s">
        <v>53</v>
      </c>
      <c r="B137" s="131">
        <v>46097</v>
      </c>
      <c r="C137" s="43" t="s">
        <v>404</v>
      </c>
      <c r="D137" s="43" t="s">
        <v>230</v>
      </c>
      <c r="E137" s="132" t="s">
        <v>61</v>
      </c>
      <c r="F137" s="43" t="s">
        <v>611</v>
      </c>
      <c r="G137" s="82"/>
      <c r="H137" s="47">
        <v>-298.75</v>
      </c>
      <c r="I137" s="47">
        <v>260608.35</v>
      </c>
      <c r="J137" s="191" t="s">
        <v>228</v>
      </c>
      <c r="K137" s="192">
        <v>-2</v>
      </c>
      <c r="L137" s="47"/>
    </row>
    <row r="138" spans="1:12" s="104" customFormat="1" x14ac:dyDescent="0.2">
      <c r="A138" s="40" t="s">
        <v>53</v>
      </c>
      <c r="B138" s="131">
        <v>46097</v>
      </c>
      <c r="C138" s="43" t="s">
        <v>405</v>
      </c>
      <c r="D138" s="43" t="s">
        <v>231</v>
      </c>
      <c r="E138" s="132" t="s">
        <v>19</v>
      </c>
      <c r="F138" s="43" t="s">
        <v>612</v>
      </c>
      <c r="G138" s="82"/>
      <c r="H138" s="47">
        <v>-47.98</v>
      </c>
      <c r="I138" s="47">
        <v>260560.37</v>
      </c>
      <c r="J138" s="191" t="s">
        <v>228</v>
      </c>
      <c r="K138" s="192">
        <v>-2</v>
      </c>
      <c r="L138" s="47"/>
    </row>
    <row r="139" spans="1:12" s="104" customFormat="1" x14ac:dyDescent="0.2">
      <c r="A139" s="40" t="s">
        <v>53</v>
      </c>
      <c r="B139" s="131">
        <v>46097</v>
      </c>
      <c r="C139" s="43" t="s">
        <v>405</v>
      </c>
      <c r="D139" s="43" t="s">
        <v>231</v>
      </c>
      <c r="E139" s="132" t="s">
        <v>19</v>
      </c>
      <c r="F139" s="43" t="s">
        <v>613</v>
      </c>
      <c r="G139" s="82"/>
      <c r="H139" s="47">
        <v>-88.97</v>
      </c>
      <c r="I139" s="47">
        <v>260471.4</v>
      </c>
      <c r="J139" s="191" t="s">
        <v>228</v>
      </c>
      <c r="K139" s="192">
        <v>-2</v>
      </c>
      <c r="L139" s="47"/>
    </row>
    <row r="140" spans="1:12" s="104" customFormat="1" x14ac:dyDescent="0.2">
      <c r="A140" s="40" t="s">
        <v>53</v>
      </c>
      <c r="B140" s="131">
        <v>46097</v>
      </c>
      <c r="C140" s="43" t="s">
        <v>405</v>
      </c>
      <c r="D140" s="43" t="s">
        <v>231</v>
      </c>
      <c r="E140" s="132" t="s">
        <v>19</v>
      </c>
      <c r="F140" s="43" t="s">
        <v>614</v>
      </c>
      <c r="G140" s="82"/>
      <c r="H140" s="47">
        <v>-85.98</v>
      </c>
      <c r="I140" s="47">
        <v>260385.42</v>
      </c>
      <c r="J140" s="191" t="s">
        <v>228</v>
      </c>
      <c r="K140" s="192">
        <v>-2</v>
      </c>
      <c r="L140" s="47"/>
    </row>
    <row r="141" spans="1:12" s="104" customFormat="1" x14ac:dyDescent="0.2">
      <c r="A141" s="40" t="s">
        <v>53</v>
      </c>
      <c r="B141" s="131">
        <v>46097</v>
      </c>
      <c r="C141" s="43" t="s">
        <v>406</v>
      </c>
      <c r="D141" s="43" t="s">
        <v>86</v>
      </c>
      <c r="E141" s="132" t="s">
        <v>87</v>
      </c>
      <c r="F141" s="43" t="s">
        <v>89</v>
      </c>
      <c r="G141" s="82">
        <v>100</v>
      </c>
      <c r="H141" s="47"/>
      <c r="I141" s="47">
        <v>260485.42</v>
      </c>
      <c r="J141" s="131">
        <v>46013</v>
      </c>
      <c r="K141" s="192">
        <v>4</v>
      </c>
      <c r="L141" s="47"/>
    </row>
    <row r="142" spans="1:12" s="104" customFormat="1" x14ac:dyDescent="0.2">
      <c r="A142" s="40" t="s">
        <v>53</v>
      </c>
      <c r="B142" s="131">
        <v>46097</v>
      </c>
      <c r="C142" s="43" t="s">
        <v>407</v>
      </c>
      <c r="D142" s="43" t="s">
        <v>101</v>
      </c>
      <c r="E142" s="132" t="s">
        <v>55</v>
      </c>
      <c r="F142" s="43" t="s">
        <v>56</v>
      </c>
      <c r="G142" s="82">
        <v>8593.83</v>
      </c>
      <c r="H142" s="47"/>
      <c r="I142" s="47">
        <v>269079.25</v>
      </c>
      <c r="J142" s="131">
        <v>46055</v>
      </c>
      <c r="K142" s="192">
        <v>4</v>
      </c>
      <c r="L142" s="47"/>
    </row>
    <row r="143" spans="1:12" s="104" customFormat="1" x14ac:dyDescent="0.2">
      <c r="A143" s="40" t="s">
        <v>53</v>
      </c>
      <c r="B143" s="131">
        <v>46097</v>
      </c>
      <c r="C143" s="43" t="s">
        <v>408</v>
      </c>
      <c r="D143" s="43" t="s">
        <v>409</v>
      </c>
      <c r="E143" s="132" t="s">
        <v>55</v>
      </c>
      <c r="F143" s="43" t="s">
        <v>56</v>
      </c>
      <c r="G143" s="82"/>
      <c r="H143" s="47">
        <v>-8593.83</v>
      </c>
      <c r="I143" s="47">
        <v>260485.42</v>
      </c>
      <c r="J143" s="191" t="s">
        <v>246</v>
      </c>
      <c r="K143" s="192">
        <v>-2</v>
      </c>
      <c r="L143" s="47"/>
    </row>
    <row r="144" spans="1:12" s="104" customFormat="1" x14ac:dyDescent="0.2">
      <c r="A144" s="40" t="s">
        <v>53</v>
      </c>
      <c r="B144" s="131">
        <v>46097</v>
      </c>
      <c r="C144" s="43" t="s">
        <v>410</v>
      </c>
      <c r="D144" s="43" t="s">
        <v>58</v>
      </c>
      <c r="E144" s="132" t="s">
        <v>500</v>
      </c>
      <c r="F144" s="43" t="s">
        <v>615</v>
      </c>
      <c r="G144" s="82">
        <v>900</v>
      </c>
      <c r="H144" s="47"/>
      <c r="I144" s="47">
        <v>261385.42</v>
      </c>
      <c r="J144" s="191" t="s">
        <v>252</v>
      </c>
      <c r="K144" s="192">
        <v>2</v>
      </c>
      <c r="L144" s="47"/>
    </row>
    <row r="145" spans="1:12" s="104" customFormat="1" x14ac:dyDescent="0.2">
      <c r="A145" s="40" t="s">
        <v>53</v>
      </c>
      <c r="B145" s="131">
        <v>46097</v>
      </c>
      <c r="C145" s="43" t="s">
        <v>410</v>
      </c>
      <c r="D145" s="43" t="s">
        <v>58</v>
      </c>
      <c r="E145" s="132" t="s">
        <v>500</v>
      </c>
      <c r="F145" s="43" t="s">
        <v>616</v>
      </c>
      <c r="G145" s="82">
        <v>11248.24</v>
      </c>
      <c r="H145" s="47"/>
      <c r="I145" s="47">
        <v>272633.65999999997</v>
      </c>
      <c r="J145" s="191" t="s">
        <v>252</v>
      </c>
      <c r="K145" s="192">
        <v>2</v>
      </c>
      <c r="L145" s="47"/>
    </row>
    <row r="146" spans="1:12" s="104" customFormat="1" x14ac:dyDescent="0.2">
      <c r="A146" s="40" t="s">
        <v>53</v>
      </c>
      <c r="B146" s="131">
        <v>46097</v>
      </c>
      <c r="C146" s="43" t="s">
        <v>410</v>
      </c>
      <c r="D146" s="43" t="s">
        <v>58</v>
      </c>
      <c r="E146" s="132" t="s">
        <v>500</v>
      </c>
      <c r="F146" s="43" t="s">
        <v>617</v>
      </c>
      <c r="G146" s="82">
        <v>30</v>
      </c>
      <c r="H146" s="47"/>
      <c r="I146" s="47">
        <v>272663.65999999997</v>
      </c>
      <c r="J146" s="191" t="s">
        <v>252</v>
      </c>
      <c r="K146" s="192">
        <v>2</v>
      </c>
      <c r="L146" s="47"/>
    </row>
    <row r="147" spans="1:12" s="104" customFormat="1" x14ac:dyDescent="0.2">
      <c r="A147" s="40" t="s">
        <v>53</v>
      </c>
      <c r="B147" s="131">
        <v>46097</v>
      </c>
      <c r="C147" s="43" t="s">
        <v>410</v>
      </c>
      <c r="D147" s="43" t="s">
        <v>58</v>
      </c>
      <c r="E147" s="132" t="s">
        <v>500</v>
      </c>
      <c r="F147" s="43" t="s">
        <v>618</v>
      </c>
      <c r="G147" s="82"/>
      <c r="H147" s="47">
        <v>-3700</v>
      </c>
      <c r="I147" s="47">
        <v>268963.65999999997</v>
      </c>
      <c r="J147" s="131">
        <v>46097</v>
      </c>
      <c r="K147" s="192">
        <v>-4</v>
      </c>
      <c r="L147" s="47"/>
    </row>
    <row r="148" spans="1:12" s="104" customFormat="1" x14ac:dyDescent="0.2">
      <c r="A148" s="40" t="s">
        <v>53</v>
      </c>
      <c r="B148" s="131">
        <v>46097</v>
      </c>
      <c r="C148" s="43" t="s">
        <v>410</v>
      </c>
      <c r="D148" s="43" t="s">
        <v>58</v>
      </c>
      <c r="E148" s="132" t="s">
        <v>500</v>
      </c>
      <c r="F148" s="43" t="s">
        <v>619</v>
      </c>
      <c r="G148" s="82">
        <v>2350</v>
      </c>
      <c r="H148" s="47"/>
      <c r="I148" s="47">
        <v>271313.65999999997</v>
      </c>
      <c r="J148" s="191" t="s">
        <v>263</v>
      </c>
      <c r="K148" s="192">
        <v>2</v>
      </c>
      <c r="L148" s="47"/>
    </row>
    <row r="149" spans="1:12" s="104" customFormat="1" x14ac:dyDescent="0.2">
      <c r="A149" s="40" t="s">
        <v>53</v>
      </c>
      <c r="B149" s="131">
        <v>46097</v>
      </c>
      <c r="C149" s="43" t="s">
        <v>410</v>
      </c>
      <c r="D149" s="43" t="s">
        <v>58</v>
      </c>
      <c r="E149" s="132" t="s">
        <v>500</v>
      </c>
      <c r="F149" s="43" t="s">
        <v>620</v>
      </c>
      <c r="G149" s="82">
        <v>3700</v>
      </c>
      <c r="H149" s="47"/>
      <c r="I149" s="47">
        <v>275013.65999999997</v>
      </c>
      <c r="J149" s="131">
        <v>46097</v>
      </c>
      <c r="K149" s="192">
        <v>4</v>
      </c>
      <c r="L149" s="47"/>
    </row>
    <row r="150" spans="1:12" s="104" customFormat="1" x14ac:dyDescent="0.2">
      <c r="A150" s="40" t="s">
        <v>53</v>
      </c>
      <c r="B150" s="131">
        <v>46098</v>
      </c>
      <c r="C150" s="43" t="s">
        <v>411</v>
      </c>
      <c r="D150" s="43" t="s">
        <v>412</v>
      </c>
      <c r="E150" s="132" t="s">
        <v>501</v>
      </c>
      <c r="F150" s="43" t="s">
        <v>621</v>
      </c>
      <c r="G150" s="82"/>
      <c r="H150" s="47">
        <v>-413.4</v>
      </c>
      <c r="I150" s="47">
        <v>274600.26</v>
      </c>
      <c r="J150" s="191"/>
      <c r="K150" s="192">
        <v>-1</v>
      </c>
      <c r="L150" s="47"/>
    </row>
    <row r="151" spans="1:12" s="104" customFormat="1" x14ac:dyDescent="0.2">
      <c r="A151" s="40" t="s">
        <v>53</v>
      </c>
      <c r="B151" s="131">
        <v>46098</v>
      </c>
      <c r="C151" s="43" t="s">
        <v>413</v>
      </c>
      <c r="D151" s="43" t="s">
        <v>226</v>
      </c>
      <c r="E151" s="132" t="s">
        <v>20</v>
      </c>
      <c r="F151" s="43" t="s">
        <v>622</v>
      </c>
      <c r="G151" s="82"/>
      <c r="H151" s="47">
        <v>-13.5</v>
      </c>
      <c r="I151" s="47">
        <v>274586.76</v>
      </c>
      <c r="J151" s="191" t="s">
        <v>221</v>
      </c>
      <c r="K151" s="192">
        <v>-2</v>
      </c>
      <c r="L151" s="47"/>
    </row>
    <row r="152" spans="1:12" s="104" customFormat="1" x14ac:dyDescent="0.2">
      <c r="A152" s="40" t="s">
        <v>53</v>
      </c>
      <c r="B152" s="131">
        <v>46098</v>
      </c>
      <c r="C152" s="43" t="s">
        <v>414</v>
      </c>
      <c r="D152" s="43" t="s">
        <v>223</v>
      </c>
      <c r="E152" s="132" t="s">
        <v>57</v>
      </c>
      <c r="F152" s="43" t="s">
        <v>623</v>
      </c>
      <c r="G152" s="82"/>
      <c r="H152" s="47">
        <v>-32.5</v>
      </c>
      <c r="I152" s="47">
        <v>274554.26</v>
      </c>
      <c r="J152" s="191" t="s">
        <v>221</v>
      </c>
      <c r="K152" s="192">
        <v>-2</v>
      </c>
      <c r="L152" s="47"/>
    </row>
    <row r="153" spans="1:12" s="104" customFormat="1" x14ac:dyDescent="0.2">
      <c r="A153" s="40" t="s">
        <v>53</v>
      </c>
      <c r="B153" s="131">
        <v>46098</v>
      </c>
      <c r="C153" s="43" t="s">
        <v>414</v>
      </c>
      <c r="D153" s="43" t="s">
        <v>223</v>
      </c>
      <c r="E153" s="132" t="s">
        <v>57</v>
      </c>
      <c r="F153" s="43" t="s">
        <v>624</v>
      </c>
      <c r="G153" s="82"/>
      <c r="H153" s="47">
        <v>-34.32</v>
      </c>
      <c r="I153" s="47">
        <v>274519.94</v>
      </c>
      <c r="J153" s="191" t="s">
        <v>221</v>
      </c>
      <c r="K153" s="192">
        <v>-2</v>
      </c>
      <c r="L153" s="47"/>
    </row>
    <row r="154" spans="1:12" s="104" customFormat="1" x14ac:dyDescent="0.2">
      <c r="A154" s="40" t="s">
        <v>53</v>
      </c>
      <c r="B154" s="131">
        <v>46098</v>
      </c>
      <c r="C154" s="43" t="s">
        <v>414</v>
      </c>
      <c r="D154" s="43" t="s">
        <v>223</v>
      </c>
      <c r="E154" s="132" t="s">
        <v>57</v>
      </c>
      <c r="F154" s="43" t="s">
        <v>625</v>
      </c>
      <c r="G154" s="82"/>
      <c r="H154" s="47">
        <v>-247.19</v>
      </c>
      <c r="I154" s="47">
        <v>274272.75</v>
      </c>
      <c r="J154" s="191" t="s">
        <v>221</v>
      </c>
      <c r="K154" s="192">
        <v>-2</v>
      </c>
      <c r="L154" s="47"/>
    </row>
    <row r="155" spans="1:12" s="104" customFormat="1" x14ac:dyDescent="0.2">
      <c r="A155" s="40" t="s">
        <v>53</v>
      </c>
      <c r="B155" s="131">
        <v>46098</v>
      </c>
      <c r="C155" s="43" t="s">
        <v>414</v>
      </c>
      <c r="D155" s="43" t="s">
        <v>223</v>
      </c>
      <c r="E155" s="132" t="s">
        <v>57</v>
      </c>
      <c r="F155" s="43" t="s">
        <v>626</v>
      </c>
      <c r="G155" s="82"/>
      <c r="H155" s="47">
        <v>-37.61</v>
      </c>
      <c r="I155" s="47">
        <v>274235.14</v>
      </c>
      <c r="J155" s="191" t="s">
        <v>221</v>
      </c>
      <c r="K155" s="192">
        <v>-2</v>
      </c>
      <c r="L155" s="47"/>
    </row>
    <row r="156" spans="1:12" s="104" customFormat="1" x14ac:dyDescent="0.2">
      <c r="A156" s="40" t="s">
        <v>53</v>
      </c>
      <c r="B156" s="131">
        <v>46098</v>
      </c>
      <c r="C156" s="43" t="s">
        <v>414</v>
      </c>
      <c r="D156" s="43" t="s">
        <v>223</v>
      </c>
      <c r="E156" s="132" t="s">
        <v>57</v>
      </c>
      <c r="F156" s="43" t="s">
        <v>627</v>
      </c>
      <c r="G156" s="82"/>
      <c r="H156" s="47">
        <v>-38.35</v>
      </c>
      <c r="I156" s="47">
        <v>274196.78999999998</v>
      </c>
      <c r="J156" s="191" t="s">
        <v>221</v>
      </c>
      <c r="K156" s="192">
        <v>-2</v>
      </c>
      <c r="L156" s="47"/>
    </row>
    <row r="157" spans="1:12" s="104" customFormat="1" x14ac:dyDescent="0.2">
      <c r="A157" s="40" t="s">
        <v>53</v>
      </c>
      <c r="B157" s="131">
        <v>46098</v>
      </c>
      <c r="C157" s="43" t="s">
        <v>414</v>
      </c>
      <c r="D157" s="43" t="s">
        <v>223</v>
      </c>
      <c r="E157" s="132" t="s">
        <v>57</v>
      </c>
      <c r="F157" s="43" t="s">
        <v>628</v>
      </c>
      <c r="G157" s="82"/>
      <c r="H157" s="47">
        <v>-42.48</v>
      </c>
      <c r="I157" s="47">
        <v>274154.31</v>
      </c>
      <c r="J157" s="191" t="s">
        <v>221</v>
      </c>
      <c r="K157" s="192">
        <v>-2</v>
      </c>
      <c r="L157" s="47"/>
    </row>
    <row r="158" spans="1:12" s="104" customFormat="1" x14ac:dyDescent="0.2">
      <c r="A158" s="40" t="s">
        <v>53</v>
      </c>
      <c r="B158" s="131">
        <v>46098</v>
      </c>
      <c r="C158" s="43" t="s">
        <v>415</v>
      </c>
      <c r="D158" s="43" t="s">
        <v>229</v>
      </c>
      <c r="E158" s="132" t="s">
        <v>61</v>
      </c>
      <c r="F158" s="43" t="s">
        <v>629</v>
      </c>
      <c r="G158" s="82"/>
      <c r="H158" s="47">
        <v>-597.5</v>
      </c>
      <c r="I158" s="47">
        <v>273556.81</v>
      </c>
      <c r="J158" s="191" t="s">
        <v>228</v>
      </c>
      <c r="K158" s="192">
        <v>-2</v>
      </c>
      <c r="L158" s="47"/>
    </row>
    <row r="159" spans="1:12" s="104" customFormat="1" x14ac:dyDescent="0.2">
      <c r="A159" s="40" t="s">
        <v>53</v>
      </c>
      <c r="B159" s="131">
        <v>46098</v>
      </c>
      <c r="C159" s="43" t="s">
        <v>415</v>
      </c>
      <c r="D159" s="43" t="s">
        <v>229</v>
      </c>
      <c r="E159" s="132" t="s">
        <v>61</v>
      </c>
      <c r="F159" s="43" t="s">
        <v>630</v>
      </c>
      <c r="G159" s="82"/>
      <c r="H159" s="47">
        <v>-73.989999999999995</v>
      </c>
      <c r="I159" s="47">
        <v>273482.82</v>
      </c>
      <c r="J159" s="191" t="s">
        <v>228</v>
      </c>
      <c r="K159" s="192">
        <v>-2</v>
      </c>
      <c r="L159" s="47"/>
    </row>
    <row r="160" spans="1:12" s="104" customFormat="1" x14ac:dyDescent="0.2">
      <c r="A160" s="40" t="s">
        <v>53</v>
      </c>
      <c r="B160" s="131">
        <v>46098</v>
      </c>
      <c r="C160" s="43" t="s">
        <v>415</v>
      </c>
      <c r="D160" s="43" t="s">
        <v>229</v>
      </c>
      <c r="E160" s="132" t="s">
        <v>61</v>
      </c>
      <c r="F160" s="43" t="s">
        <v>631</v>
      </c>
      <c r="G160" s="82"/>
      <c r="H160" s="47">
        <v>-36</v>
      </c>
      <c r="I160" s="47">
        <v>273446.82</v>
      </c>
      <c r="J160" s="191" t="s">
        <v>228</v>
      </c>
      <c r="K160" s="192">
        <v>-2</v>
      </c>
      <c r="L160" s="47"/>
    </row>
    <row r="161" spans="1:12" s="104" customFormat="1" x14ac:dyDescent="0.2">
      <c r="A161" s="40" t="s">
        <v>53</v>
      </c>
      <c r="B161" s="131">
        <v>46098</v>
      </c>
      <c r="C161" s="43" t="s">
        <v>416</v>
      </c>
      <c r="D161" s="43" t="s">
        <v>417</v>
      </c>
      <c r="E161" s="132" t="s">
        <v>55</v>
      </c>
      <c r="F161" s="43" t="s">
        <v>83</v>
      </c>
      <c r="G161" s="82"/>
      <c r="H161" s="47">
        <v>-639.52</v>
      </c>
      <c r="I161" s="47">
        <v>272807.3</v>
      </c>
      <c r="J161" s="131">
        <v>46099</v>
      </c>
      <c r="K161" s="192">
        <v>-4</v>
      </c>
      <c r="L161" s="47"/>
    </row>
    <row r="162" spans="1:12" s="104" customFormat="1" x14ac:dyDescent="0.2">
      <c r="A162" s="40" t="s">
        <v>53</v>
      </c>
      <c r="B162" s="131">
        <v>46098</v>
      </c>
      <c r="C162" s="43" t="s">
        <v>418</v>
      </c>
      <c r="D162" s="43" t="s">
        <v>58</v>
      </c>
      <c r="E162" s="132" t="s">
        <v>502</v>
      </c>
      <c r="F162" s="43" t="s">
        <v>632</v>
      </c>
      <c r="G162" s="82">
        <v>1850</v>
      </c>
      <c r="H162" s="47"/>
      <c r="I162" s="47">
        <v>274657.3</v>
      </c>
      <c r="J162" s="191" t="s">
        <v>252</v>
      </c>
      <c r="K162" s="192">
        <v>2</v>
      </c>
      <c r="L162" s="47"/>
    </row>
    <row r="163" spans="1:12" s="104" customFormat="1" x14ac:dyDescent="0.2">
      <c r="A163" s="40" t="s">
        <v>53</v>
      </c>
      <c r="B163" s="131">
        <v>46098</v>
      </c>
      <c r="C163" s="43" t="s">
        <v>418</v>
      </c>
      <c r="D163" s="43" t="s">
        <v>58</v>
      </c>
      <c r="E163" s="132" t="s">
        <v>502</v>
      </c>
      <c r="F163" s="43" t="s">
        <v>633</v>
      </c>
      <c r="G163" s="82">
        <v>1550</v>
      </c>
      <c r="H163" s="47"/>
      <c r="I163" s="47">
        <v>276207.3</v>
      </c>
      <c r="J163" s="191" t="s">
        <v>246</v>
      </c>
      <c r="K163" s="192">
        <v>2</v>
      </c>
      <c r="L163" s="47"/>
    </row>
    <row r="164" spans="1:12" s="104" customFormat="1" x14ac:dyDescent="0.2">
      <c r="A164" s="40" t="s">
        <v>53</v>
      </c>
      <c r="B164" s="131">
        <v>46099</v>
      </c>
      <c r="C164" s="43" t="s">
        <v>419</v>
      </c>
      <c r="D164" s="43" t="s">
        <v>417</v>
      </c>
      <c r="E164" s="132" t="s">
        <v>55</v>
      </c>
      <c r="F164" s="43" t="s">
        <v>83</v>
      </c>
      <c r="G164" s="82">
        <v>639.52</v>
      </c>
      <c r="H164" s="47"/>
      <c r="I164" s="47">
        <v>276846.82</v>
      </c>
      <c r="J164" s="131">
        <v>46098</v>
      </c>
      <c r="K164" s="192">
        <v>4</v>
      </c>
      <c r="L164" s="47"/>
    </row>
    <row r="165" spans="1:12" s="104" customFormat="1" x14ac:dyDescent="0.2">
      <c r="A165" s="40" t="s">
        <v>53</v>
      </c>
      <c r="B165" s="131">
        <v>46099</v>
      </c>
      <c r="C165" s="43" t="s">
        <v>420</v>
      </c>
      <c r="D165" s="43" t="s">
        <v>421</v>
      </c>
      <c r="E165" s="132" t="s">
        <v>55</v>
      </c>
      <c r="F165" s="43" t="s">
        <v>83</v>
      </c>
      <c r="G165" s="82"/>
      <c r="H165" s="47">
        <v>-639.52</v>
      </c>
      <c r="I165" s="47">
        <v>276207.3</v>
      </c>
      <c r="J165" s="191" t="s">
        <v>241</v>
      </c>
      <c r="K165" s="192">
        <v>-2</v>
      </c>
      <c r="L165" s="47"/>
    </row>
    <row r="166" spans="1:12" s="104" customFormat="1" x14ac:dyDescent="0.2">
      <c r="A166" s="40" t="s">
        <v>53</v>
      </c>
      <c r="B166" s="131">
        <v>46099</v>
      </c>
      <c r="C166" s="43" t="s">
        <v>422</v>
      </c>
      <c r="D166" s="43" t="s">
        <v>91</v>
      </c>
      <c r="E166" s="132" t="s">
        <v>55</v>
      </c>
      <c r="F166" s="43" t="s">
        <v>98</v>
      </c>
      <c r="G166" s="82">
        <v>1892.34</v>
      </c>
      <c r="H166" s="47"/>
      <c r="I166" s="47">
        <v>278099.64</v>
      </c>
      <c r="J166" s="131">
        <v>46052</v>
      </c>
      <c r="K166" s="192">
        <v>4</v>
      </c>
      <c r="L166" s="47"/>
    </row>
    <row r="167" spans="1:12" s="104" customFormat="1" x14ac:dyDescent="0.2">
      <c r="A167" s="40" t="s">
        <v>53</v>
      </c>
      <c r="B167" s="131">
        <v>46099</v>
      </c>
      <c r="C167" s="43" t="s">
        <v>423</v>
      </c>
      <c r="D167" s="43" t="s">
        <v>424</v>
      </c>
      <c r="E167" s="132" t="s">
        <v>55</v>
      </c>
      <c r="F167" s="43" t="s">
        <v>98</v>
      </c>
      <c r="G167" s="82"/>
      <c r="H167" s="47">
        <v>-1892.34</v>
      </c>
      <c r="I167" s="47">
        <v>276207.3</v>
      </c>
      <c r="J167" s="191" t="s">
        <v>241</v>
      </c>
      <c r="K167" s="192">
        <v>-2</v>
      </c>
      <c r="L167" s="47"/>
    </row>
    <row r="168" spans="1:12" s="104" customFormat="1" x14ac:dyDescent="0.2">
      <c r="A168" s="40" t="s">
        <v>53</v>
      </c>
      <c r="B168" s="131">
        <v>46099</v>
      </c>
      <c r="C168" s="43" t="s">
        <v>425</v>
      </c>
      <c r="D168" s="43" t="s">
        <v>426</v>
      </c>
      <c r="E168" s="132" t="s">
        <v>54</v>
      </c>
      <c r="F168" s="43" t="s">
        <v>634</v>
      </c>
      <c r="G168" s="82"/>
      <c r="H168" s="47">
        <v>-3255.22</v>
      </c>
      <c r="I168" s="47">
        <v>272952.08</v>
      </c>
      <c r="J168" s="191" t="s">
        <v>246</v>
      </c>
      <c r="K168" s="192">
        <v>-2</v>
      </c>
      <c r="L168" s="47"/>
    </row>
    <row r="169" spans="1:12" s="104" customFormat="1" x14ac:dyDescent="0.2">
      <c r="A169" s="40" t="s">
        <v>53</v>
      </c>
      <c r="B169" s="131">
        <v>46099</v>
      </c>
      <c r="C169" s="43" t="s">
        <v>425</v>
      </c>
      <c r="D169" s="43" t="s">
        <v>426</v>
      </c>
      <c r="E169" s="132" t="s">
        <v>54</v>
      </c>
      <c r="F169" s="43" t="s">
        <v>634</v>
      </c>
      <c r="G169" s="82"/>
      <c r="H169" s="47">
        <v>-4360</v>
      </c>
      <c r="I169" s="47">
        <v>268592.08</v>
      </c>
      <c r="J169" s="191" t="s">
        <v>246</v>
      </c>
      <c r="K169" s="192">
        <v>-2</v>
      </c>
      <c r="L169" s="47"/>
    </row>
    <row r="170" spans="1:12" s="104" customFormat="1" x14ac:dyDescent="0.2">
      <c r="A170" s="40" t="s">
        <v>53</v>
      </c>
      <c r="B170" s="131">
        <v>46099</v>
      </c>
      <c r="C170" s="43" t="s">
        <v>425</v>
      </c>
      <c r="D170" s="43" t="s">
        <v>426</v>
      </c>
      <c r="E170" s="132" t="s">
        <v>54</v>
      </c>
      <c r="F170" s="43" t="s">
        <v>634</v>
      </c>
      <c r="G170" s="82"/>
      <c r="H170" s="47">
        <v>-622.45000000000005</v>
      </c>
      <c r="I170" s="47">
        <v>267969.63</v>
      </c>
      <c r="J170" s="191" t="s">
        <v>246</v>
      </c>
      <c r="K170" s="192">
        <v>-2</v>
      </c>
      <c r="L170" s="47"/>
    </row>
    <row r="171" spans="1:12" s="104" customFormat="1" x14ac:dyDescent="0.2">
      <c r="A171" s="40" t="s">
        <v>53</v>
      </c>
      <c r="B171" s="131">
        <v>46099</v>
      </c>
      <c r="C171" s="43" t="s">
        <v>425</v>
      </c>
      <c r="D171" s="43" t="s">
        <v>426</v>
      </c>
      <c r="E171" s="132" t="s">
        <v>54</v>
      </c>
      <c r="F171" s="43" t="s">
        <v>634</v>
      </c>
      <c r="G171" s="82"/>
      <c r="H171" s="47">
        <v>-70.599999999999994</v>
      </c>
      <c r="I171" s="47">
        <v>267899.03000000003</v>
      </c>
      <c r="J171" s="191" t="s">
        <v>246</v>
      </c>
      <c r="K171" s="192">
        <v>-2</v>
      </c>
      <c r="L171" s="47"/>
    </row>
    <row r="172" spans="1:12" s="104" customFormat="1" x14ac:dyDescent="0.2">
      <c r="A172" s="40" t="s">
        <v>53</v>
      </c>
      <c r="B172" s="131">
        <v>46099</v>
      </c>
      <c r="C172" s="43" t="s">
        <v>425</v>
      </c>
      <c r="D172" s="43" t="s">
        <v>426</v>
      </c>
      <c r="E172" s="132" t="s">
        <v>54</v>
      </c>
      <c r="F172" s="43" t="s">
        <v>634</v>
      </c>
      <c r="G172" s="82">
        <v>313.35000000000002</v>
      </c>
      <c r="H172" s="47"/>
      <c r="I172" s="47">
        <v>268212.38</v>
      </c>
      <c r="J172" s="191" t="s">
        <v>246</v>
      </c>
      <c r="K172" s="192">
        <v>-2</v>
      </c>
      <c r="L172" s="47"/>
    </row>
    <row r="173" spans="1:12" s="104" customFormat="1" x14ac:dyDescent="0.2">
      <c r="A173" s="40" t="s">
        <v>53</v>
      </c>
      <c r="B173" s="131">
        <v>46099</v>
      </c>
      <c r="C173" s="43" t="s">
        <v>425</v>
      </c>
      <c r="D173" s="43" t="s">
        <v>426</v>
      </c>
      <c r="E173" s="132" t="s">
        <v>54</v>
      </c>
      <c r="F173" s="43" t="s">
        <v>634</v>
      </c>
      <c r="G173" s="82">
        <v>19.43</v>
      </c>
      <c r="H173" s="47"/>
      <c r="I173" s="47">
        <v>268231.81</v>
      </c>
      <c r="J173" s="191" t="s">
        <v>246</v>
      </c>
      <c r="K173" s="192">
        <v>-2</v>
      </c>
      <c r="L173" s="47"/>
    </row>
    <row r="174" spans="1:12" s="104" customFormat="1" x14ac:dyDescent="0.2">
      <c r="A174" s="40" t="s">
        <v>53</v>
      </c>
      <c r="B174" s="131">
        <v>46099</v>
      </c>
      <c r="C174" s="43" t="s">
        <v>425</v>
      </c>
      <c r="D174" s="43" t="s">
        <v>426</v>
      </c>
      <c r="E174" s="132" t="s">
        <v>54</v>
      </c>
      <c r="F174" s="43" t="s">
        <v>634</v>
      </c>
      <c r="G174" s="82">
        <v>45.46</v>
      </c>
      <c r="H174" s="47"/>
      <c r="I174" s="47">
        <v>268277.27</v>
      </c>
      <c r="J174" s="191" t="s">
        <v>246</v>
      </c>
      <c r="K174" s="192">
        <v>-2</v>
      </c>
      <c r="L174" s="47"/>
    </row>
    <row r="175" spans="1:12" s="104" customFormat="1" x14ac:dyDescent="0.2">
      <c r="A175" s="40" t="s">
        <v>53</v>
      </c>
      <c r="B175" s="131">
        <v>46099</v>
      </c>
      <c r="C175" s="43" t="s">
        <v>425</v>
      </c>
      <c r="D175" s="43" t="s">
        <v>426</v>
      </c>
      <c r="E175" s="132" t="s">
        <v>54</v>
      </c>
      <c r="F175" s="43" t="s">
        <v>634</v>
      </c>
      <c r="G175" s="82">
        <v>12.71</v>
      </c>
      <c r="H175" s="47"/>
      <c r="I175" s="47">
        <v>268289.98</v>
      </c>
      <c r="J175" s="191" t="s">
        <v>246</v>
      </c>
      <c r="K175" s="192">
        <v>-2</v>
      </c>
      <c r="L175" s="47"/>
    </row>
    <row r="176" spans="1:12" s="104" customFormat="1" x14ac:dyDescent="0.2">
      <c r="A176" s="40" t="s">
        <v>53</v>
      </c>
      <c r="B176" s="131">
        <v>46099</v>
      </c>
      <c r="C176" s="43" t="s">
        <v>425</v>
      </c>
      <c r="D176" s="43" t="s">
        <v>426</v>
      </c>
      <c r="E176" s="132" t="s">
        <v>54</v>
      </c>
      <c r="F176" s="43" t="s">
        <v>635</v>
      </c>
      <c r="G176" s="82"/>
      <c r="H176" s="47">
        <v>-214.39</v>
      </c>
      <c r="I176" s="47">
        <v>268075.59000000003</v>
      </c>
      <c r="J176" s="191" t="s">
        <v>246</v>
      </c>
      <c r="K176" s="192">
        <v>-2</v>
      </c>
      <c r="L176" s="47"/>
    </row>
    <row r="177" spans="1:12" s="104" customFormat="1" x14ac:dyDescent="0.2">
      <c r="A177" s="40" t="s">
        <v>53</v>
      </c>
      <c r="B177" s="131">
        <v>46099</v>
      </c>
      <c r="C177" s="43" t="s">
        <v>425</v>
      </c>
      <c r="D177" s="43" t="s">
        <v>426</v>
      </c>
      <c r="E177" s="132" t="s">
        <v>54</v>
      </c>
      <c r="F177" s="43" t="s">
        <v>635</v>
      </c>
      <c r="G177" s="82"/>
      <c r="H177" s="47">
        <v>-416</v>
      </c>
      <c r="I177" s="47">
        <v>267659.59000000003</v>
      </c>
      <c r="J177" s="191" t="s">
        <v>246</v>
      </c>
      <c r="K177" s="192">
        <v>-2</v>
      </c>
      <c r="L177" s="47"/>
    </row>
    <row r="178" spans="1:12" s="104" customFormat="1" x14ac:dyDescent="0.2">
      <c r="A178" s="40" t="s">
        <v>53</v>
      </c>
      <c r="B178" s="131">
        <v>46099</v>
      </c>
      <c r="C178" s="43" t="s">
        <v>425</v>
      </c>
      <c r="D178" s="43" t="s">
        <v>426</v>
      </c>
      <c r="E178" s="132" t="s">
        <v>54</v>
      </c>
      <c r="F178" s="43" t="s">
        <v>635</v>
      </c>
      <c r="G178" s="82"/>
      <c r="H178" s="47">
        <v>-163.92</v>
      </c>
      <c r="I178" s="47">
        <v>267495.67</v>
      </c>
      <c r="J178" s="191" t="s">
        <v>246</v>
      </c>
      <c r="K178" s="192">
        <v>-2</v>
      </c>
      <c r="L178" s="47"/>
    </row>
    <row r="179" spans="1:12" s="104" customFormat="1" x14ac:dyDescent="0.2">
      <c r="A179" s="40" t="s">
        <v>53</v>
      </c>
      <c r="B179" s="131">
        <v>46099</v>
      </c>
      <c r="C179" s="43" t="s">
        <v>425</v>
      </c>
      <c r="D179" s="43" t="s">
        <v>426</v>
      </c>
      <c r="E179" s="132" t="s">
        <v>54</v>
      </c>
      <c r="F179" s="43" t="s">
        <v>635</v>
      </c>
      <c r="G179" s="82"/>
      <c r="H179" s="47">
        <v>-66.14</v>
      </c>
      <c r="I179" s="47">
        <v>267429.53000000003</v>
      </c>
      <c r="J179" s="191" t="s">
        <v>246</v>
      </c>
      <c r="K179" s="192">
        <v>-2</v>
      </c>
      <c r="L179" s="47"/>
    </row>
    <row r="180" spans="1:12" s="104" customFormat="1" x14ac:dyDescent="0.2">
      <c r="A180" s="40" t="s">
        <v>53</v>
      </c>
      <c r="B180" s="131">
        <v>46099</v>
      </c>
      <c r="C180" s="43" t="s">
        <v>425</v>
      </c>
      <c r="D180" s="43" t="s">
        <v>426</v>
      </c>
      <c r="E180" s="132" t="s">
        <v>54</v>
      </c>
      <c r="F180" s="43" t="s">
        <v>635</v>
      </c>
      <c r="G180" s="82"/>
      <c r="H180" s="47">
        <v>-4.92</v>
      </c>
      <c r="I180" s="47">
        <v>267424.61</v>
      </c>
      <c r="J180" s="191" t="s">
        <v>246</v>
      </c>
      <c r="K180" s="192">
        <v>-2</v>
      </c>
      <c r="L180" s="47"/>
    </row>
    <row r="181" spans="1:12" s="104" customFormat="1" x14ac:dyDescent="0.2">
      <c r="A181" s="40" t="s">
        <v>53</v>
      </c>
      <c r="B181" s="131">
        <v>46099</v>
      </c>
      <c r="C181" s="43" t="s">
        <v>425</v>
      </c>
      <c r="D181" s="43" t="s">
        <v>426</v>
      </c>
      <c r="E181" s="132" t="s">
        <v>54</v>
      </c>
      <c r="F181" s="43" t="s">
        <v>635</v>
      </c>
      <c r="G181" s="82">
        <v>46.03</v>
      </c>
      <c r="H181" s="47"/>
      <c r="I181" s="47">
        <v>267470.64</v>
      </c>
      <c r="J181" s="191" t="s">
        <v>246</v>
      </c>
      <c r="K181" s="192">
        <v>-2</v>
      </c>
      <c r="L181" s="47"/>
    </row>
    <row r="182" spans="1:12" s="104" customFormat="1" x14ac:dyDescent="0.2">
      <c r="A182" s="40" t="s">
        <v>53</v>
      </c>
      <c r="B182" s="131">
        <v>46099</v>
      </c>
      <c r="C182" s="43" t="s">
        <v>425</v>
      </c>
      <c r="D182" s="43" t="s">
        <v>426</v>
      </c>
      <c r="E182" s="132" t="s">
        <v>54</v>
      </c>
      <c r="F182" s="43" t="s">
        <v>635</v>
      </c>
      <c r="G182" s="82">
        <v>1.1299999999999999</v>
      </c>
      <c r="H182" s="47"/>
      <c r="I182" s="47">
        <v>267471.77</v>
      </c>
      <c r="J182" s="191" t="s">
        <v>246</v>
      </c>
      <c r="K182" s="192">
        <v>-2</v>
      </c>
      <c r="L182" s="47"/>
    </row>
    <row r="183" spans="1:12" s="104" customFormat="1" x14ac:dyDescent="0.2">
      <c r="A183" s="40" t="s">
        <v>53</v>
      </c>
      <c r="B183" s="131">
        <v>46099</v>
      </c>
      <c r="C183" s="43" t="s">
        <v>425</v>
      </c>
      <c r="D183" s="43" t="s">
        <v>426</v>
      </c>
      <c r="E183" s="132" t="s">
        <v>54</v>
      </c>
      <c r="F183" s="43" t="s">
        <v>635</v>
      </c>
      <c r="G183" s="82">
        <v>0.72</v>
      </c>
      <c r="H183" s="47"/>
      <c r="I183" s="47">
        <v>267472.49</v>
      </c>
      <c r="J183" s="191" t="s">
        <v>246</v>
      </c>
      <c r="K183" s="192">
        <v>-2</v>
      </c>
      <c r="L183" s="47"/>
    </row>
    <row r="184" spans="1:12" s="104" customFormat="1" x14ac:dyDescent="0.2">
      <c r="A184" s="40" t="s">
        <v>53</v>
      </c>
      <c r="B184" s="131">
        <v>46099</v>
      </c>
      <c r="C184" s="43" t="s">
        <v>425</v>
      </c>
      <c r="D184" s="43" t="s">
        <v>426</v>
      </c>
      <c r="E184" s="132" t="s">
        <v>54</v>
      </c>
      <c r="F184" s="43" t="s">
        <v>635</v>
      </c>
      <c r="G184" s="82">
        <v>0.23</v>
      </c>
      <c r="H184" s="47"/>
      <c r="I184" s="47">
        <v>267472.71999999997</v>
      </c>
      <c r="J184" s="191" t="s">
        <v>246</v>
      </c>
      <c r="K184" s="192">
        <v>-2</v>
      </c>
      <c r="L184" s="47"/>
    </row>
    <row r="185" spans="1:12" s="104" customFormat="1" x14ac:dyDescent="0.2">
      <c r="A185" s="40" t="s">
        <v>53</v>
      </c>
      <c r="B185" s="131">
        <v>46099</v>
      </c>
      <c r="C185" s="43" t="s">
        <v>425</v>
      </c>
      <c r="D185" s="43" t="s">
        <v>426</v>
      </c>
      <c r="E185" s="132" t="s">
        <v>54</v>
      </c>
      <c r="F185" s="43" t="s">
        <v>636</v>
      </c>
      <c r="G185" s="82"/>
      <c r="H185" s="47">
        <v>-2115.38</v>
      </c>
      <c r="I185" s="47">
        <v>265357.34000000003</v>
      </c>
      <c r="J185" s="191" t="s">
        <v>246</v>
      </c>
      <c r="K185" s="192">
        <v>-2</v>
      </c>
      <c r="L185" s="47"/>
    </row>
    <row r="186" spans="1:12" s="104" customFormat="1" x14ac:dyDescent="0.2">
      <c r="A186" s="40" t="s">
        <v>53</v>
      </c>
      <c r="B186" s="131">
        <v>46099</v>
      </c>
      <c r="C186" s="43" t="s">
        <v>425</v>
      </c>
      <c r="D186" s="43" t="s">
        <v>426</v>
      </c>
      <c r="E186" s="132" t="s">
        <v>54</v>
      </c>
      <c r="F186" s="43" t="s">
        <v>636</v>
      </c>
      <c r="G186" s="82"/>
      <c r="H186" s="47">
        <v>-199.89</v>
      </c>
      <c r="I186" s="47">
        <v>265157.45</v>
      </c>
      <c r="J186" s="191" t="s">
        <v>246</v>
      </c>
      <c r="K186" s="192">
        <v>-2</v>
      </c>
      <c r="L186" s="47"/>
    </row>
    <row r="187" spans="1:12" s="104" customFormat="1" x14ac:dyDescent="0.2">
      <c r="A187" s="40" t="s">
        <v>53</v>
      </c>
      <c r="B187" s="131">
        <v>46099</v>
      </c>
      <c r="C187" s="43" t="s">
        <v>425</v>
      </c>
      <c r="D187" s="43" t="s">
        <v>426</v>
      </c>
      <c r="E187" s="132" t="s">
        <v>54</v>
      </c>
      <c r="F187" s="43" t="s">
        <v>637</v>
      </c>
      <c r="G187" s="82"/>
      <c r="H187" s="47">
        <v>-12.29</v>
      </c>
      <c r="I187" s="47">
        <v>265145.15999999997</v>
      </c>
      <c r="J187" s="191" t="s">
        <v>246</v>
      </c>
      <c r="K187" s="192">
        <v>-2</v>
      </c>
      <c r="L187" s="47"/>
    </row>
    <row r="188" spans="1:12" s="104" customFormat="1" x14ac:dyDescent="0.2">
      <c r="A188" s="40" t="s">
        <v>53</v>
      </c>
      <c r="B188" s="131">
        <v>46099</v>
      </c>
      <c r="C188" s="43" t="s">
        <v>425</v>
      </c>
      <c r="D188" s="43" t="s">
        <v>426</v>
      </c>
      <c r="E188" s="132" t="s">
        <v>54</v>
      </c>
      <c r="F188" s="43" t="s">
        <v>637</v>
      </c>
      <c r="G188" s="82"/>
      <c r="H188" s="47">
        <v>-0.94</v>
      </c>
      <c r="I188" s="47">
        <v>265144.21999999997</v>
      </c>
      <c r="J188" s="191" t="s">
        <v>246</v>
      </c>
      <c r="K188" s="192">
        <v>-2</v>
      </c>
      <c r="L188" s="47"/>
    </row>
    <row r="189" spans="1:12" s="104" customFormat="1" x14ac:dyDescent="0.2">
      <c r="A189" s="40" t="s">
        <v>53</v>
      </c>
      <c r="B189" s="131">
        <v>46099</v>
      </c>
      <c r="C189" s="43" t="s">
        <v>427</v>
      </c>
      <c r="D189" s="43" t="s">
        <v>225</v>
      </c>
      <c r="E189" s="132" t="s">
        <v>20</v>
      </c>
      <c r="F189" s="43" t="s">
        <v>638</v>
      </c>
      <c r="G189" s="82"/>
      <c r="H189" s="47">
        <v>-13.5</v>
      </c>
      <c r="I189" s="47">
        <v>265130.71999999997</v>
      </c>
      <c r="J189" s="191" t="s">
        <v>221</v>
      </c>
      <c r="K189" s="192">
        <v>-2</v>
      </c>
      <c r="L189" s="47"/>
    </row>
    <row r="190" spans="1:12" s="104" customFormat="1" x14ac:dyDescent="0.2">
      <c r="A190" s="40" t="s">
        <v>53</v>
      </c>
      <c r="B190" s="131">
        <v>46099</v>
      </c>
      <c r="C190" s="43" t="s">
        <v>428</v>
      </c>
      <c r="D190" s="43" t="s">
        <v>58</v>
      </c>
      <c r="E190" s="132" t="s">
        <v>503</v>
      </c>
      <c r="F190" s="43" t="s">
        <v>639</v>
      </c>
      <c r="G190" s="82">
        <v>9327.2900000000009</v>
      </c>
      <c r="H190" s="47"/>
      <c r="I190" s="47">
        <v>274458.01</v>
      </c>
      <c r="J190" s="191" t="s">
        <v>241</v>
      </c>
      <c r="K190" s="192">
        <v>2</v>
      </c>
      <c r="L190" s="47"/>
    </row>
    <row r="191" spans="1:12" s="104" customFormat="1" x14ac:dyDescent="0.2">
      <c r="A191" s="40" t="s">
        <v>53</v>
      </c>
      <c r="B191" s="131">
        <v>46099</v>
      </c>
      <c r="C191" s="43" t="s">
        <v>428</v>
      </c>
      <c r="D191" s="43" t="s">
        <v>58</v>
      </c>
      <c r="E191" s="132" t="s">
        <v>503</v>
      </c>
      <c r="F191" s="43" t="s">
        <v>640</v>
      </c>
      <c r="G191" s="82">
        <v>3000</v>
      </c>
      <c r="H191" s="47"/>
      <c r="I191" s="47">
        <v>277458.01</v>
      </c>
      <c r="J191" s="191" t="s">
        <v>246</v>
      </c>
      <c r="K191" s="192">
        <v>2</v>
      </c>
      <c r="L191" s="47"/>
    </row>
    <row r="192" spans="1:12" s="104" customFormat="1" x14ac:dyDescent="0.2">
      <c r="A192" s="40" t="s">
        <v>53</v>
      </c>
      <c r="B192" s="131">
        <v>46099</v>
      </c>
      <c r="C192" s="43" t="s">
        <v>428</v>
      </c>
      <c r="D192" s="43" t="s">
        <v>58</v>
      </c>
      <c r="E192" s="132" t="s">
        <v>503</v>
      </c>
      <c r="F192" s="43" t="s">
        <v>641</v>
      </c>
      <c r="G192" s="82">
        <v>1850</v>
      </c>
      <c r="H192" s="47"/>
      <c r="I192" s="47">
        <v>279308.01</v>
      </c>
      <c r="J192" s="191" t="s">
        <v>241</v>
      </c>
      <c r="K192" s="192">
        <v>2</v>
      </c>
      <c r="L192" s="47"/>
    </row>
    <row r="193" spans="1:12" s="104" customFormat="1" x14ac:dyDescent="0.2">
      <c r="A193" s="40" t="s">
        <v>53</v>
      </c>
      <c r="B193" s="131">
        <v>46100</v>
      </c>
      <c r="C193" s="43" t="s">
        <v>429</v>
      </c>
      <c r="D193" s="43" t="s">
        <v>430</v>
      </c>
      <c r="E193" s="132" t="s">
        <v>87</v>
      </c>
      <c r="F193" s="43" t="s">
        <v>642</v>
      </c>
      <c r="G193" s="82"/>
      <c r="H193" s="47">
        <v>-100</v>
      </c>
      <c r="I193" s="47">
        <v>279208.01</v>
      </c>
      <c r="J193" s="191"/>
      <c r="K193" s="192">
        <v>-1</v>
      </c>
      <c r="L193" s="47"/>
    </row>
    <row r="194" spans="1:12" s="104" customFormat="1" x14ac:dyDescent="0.2">
      <c r="A194" s="40" t="s">
        <v>53</v>
      </c>
      <c r="B194" s="131">
        <v>46100</v>
      </c>
      <c r="C194" s="43" t="s">
        <v>431</v>
      </c>
      <c r="D194" s="43" t="s">
        <v>208</v>
      </c>
      <c r="E194" s="132" t="s">
        <v>70</v>
      </c>
      <c r="F194" s="43" t="s">
        <v>643</v>
      </c>
      <c r="G194" s="82"/>
      <c r="H194" s="47">
        <v>-253.8</v>
      </c>
      <c r="I194" s="47">
        <v>278954.21000000002</v>
      </c>
      <c r="J194" s="191" t="s">
        <v>204</v>
      </c>
      <c r="K194" s="192">
        <v>-2</v>
      </c>
      <c r="L194" s="47"/>
    </row>
    <row r="195" spans="1:12" s="104" customFormat="1" x14ac:dyDescent="0.2">
      <c r="A195" s="40" t="s">
        <v>53</v>
      </c>
      <c r="B195" s="131">
        <v>46100</v>
      </c>
      <c r="C195" s="43" t="s">
        <v>432</v>
      </c>
      <c r="D195" s="43" t="s">
        <v>433</v>
      </c>
      <c r="E195" s="132" t="s">
        <v>55</v>
      </c>
      <c r="F195" s="43" t="s">
        <v>644</v>
      </c>
      <c r="G195" s="82"/>
      <c r="H195" s="209">
        <v>-23.81</v>
      </c>
      <c r="I195" s="47">
        <v>278930.40000000002</v>
      </c>
      <c r="J195" s="21" t="s">
        <v>237</v>
      </c>
      <c r="K195" s="192">
        <v>-2</v>
      </c>
      <c r="L195" s="47"/>
    </row>
    <row r="196" spans="1:12" s="104" customFormat="1" x14ac:dyDescent="0.2">
      <c r="A196" s="40" t="s">
        <v>53</v>
      </c>
      <c r="B196" s="131">
        <v>46100</v>
      </c>
      <c r="C196" s="43" t="s">
        <v>434</v>
      </c>
      <c r="D196" s="43" t="s">
        <v>435</v>
      </c>
      <c r="E196" s="132" t="s">
        <v>55</v>
      </c>
      <c r="F196" s="43" t="s">
        <v>645</v>
      </c>
      <c r="G196" s="82"/>
      <c r="H196" s="209">
        <v>-143.74</v>
      </c>
      <c r="I196" s="47">
        <v>278786.65999999997</v>
      </c>
      <c r="J196" s="191" t="s">
        <v>237</v>
      </c>
      <c r="K196" s="192">
        <v>-2</v>
      </c>
      <c r="L196" s="47"/>
    </row>
    <row r="197" spans="1:12" s="104" customFormat="1" x14ac:dyDescent="0.2">
      <c r="A197" s="40" t="s">
        <v>53</v>
      </c>
      <c r="B197" s="131">
        <v>46100</v>
      </c>
      <c r="C197" s="43" t="s">
        <v>436</v>
      </c>
      <c r="D197" s="43" t="s">
        <v>58</v>
      </c>
      <c r="E197" s="132" t="s">
        <v>504</v>
      </c>
      <c r="F197" s="43" t="s">
        <v>646</v>
      </c>
      <c r="G197" s="82">
        <v>7550</v>
      </c>
      <c r="H197" s="47"/>
      <c r="I197" s="47">
        <v>286336.65999999997</v>
      </c>
      <c r="J197" s="191" t="s">
        <v>237</v>
      </c>
      <c r="K197" s="192">
        <v>2</v>
      </c>
      <c r="L197" s="47"/>
    </row>
    <row r="198" spans="1:12" s="104" customFormat="1" x14ac:dyDescent="0.2">
      <c r="A198" s="40" t="s">
        <v>53</v>
      </c>
      <c r="B198" s="131">
        <v>46100</v>
      </c>
      <c r="C198" s="43" t="s">
        <v>436</v>
      </c>
      <c r="D198" s="43" t="s">
        <v>58</v>
      </c>
      <c r="E198" s="132" t="s">
        <v>504</v>
      </c>
      <c r="F198" s="43" t="s">
        <v>647</v>
      </c>
      <c r="G198" s="82">
        <v>1259.96</v>
      </c>
      <c r="H198" s="47"/>
      <c r="I198" s="47">
        <v>287596.62</v>
      </c>
      <c r="J198" s="191" t="s">
        <v>241</v>
      </c>
      <c r="K198" s="192">
        <v>2</v>
      </c>
      <c r="L198" s="47"/>
    </row>
    <row r="199" spans="1:12" s="104" customFormat="1" x14ac:dyDescent="0.2">
      <c r="A199" s="40" t="s">
        <v>53</v>
      </c>
      <c r="B199" s="131">
        <v>46101</v>
      </c>
      <c r="C199" s="43" t="s">
        <v>437</v>
      </c>
      <c r="D199" s="43" t="s">
        <v>206</v>
      </c>
      <c r="E199" s="132" t="s">
        <v>21</v>
      </c>
      <c r="F199" s="43" t="s">
        <v>648</v>
      </c>
      <c r="G199" s="82"/>
      <c r="H199" s="47">
        <v>-899.42</v>
      </c>
      <c r="I199" s="47">
        <v>286697.2</v>
      </c>
      <c r="J199" s="191" t="s">
        <v>204</v>
      </c>
      <c r="K199" s="192">
        <v>-2</v>
      </c>
      <c r="L199" s="47"/>
    </row>
    <row r="200" spans="1:12" s="104" customFormat="1" x14ac:dyDescent="0.2">
      <c r="A200" s="40" t="s">
        <v>53</v>
      </c>
      <c r="B200" s="131">
        <v>46101</v>
      </c>
      <c r="C200" s="43" t="s">
        <v>438</v>
      </c>
      <c r="D200" s="43" t="s">
        <v>439</v>
      </c>
      <c r="E200" s="132" t="s">
        <v>74</v>
      </c>
      <c r="F200" s="43" t="s">
        <v>649</v>
      </c>
      <c r="G200" s="82"/>
      <c r="H200" s="47">
        <v>-6000</v>
      </c>
      <c r="I200" s="47">
        <v>280697.2</v>
      </c>
      <c r="J200" s="191" t="s">
        <v>228</v>
      </c>
      <c r="K200" s="192">
        <v>-2</v>
      </c>
      <c r="L200" s="47"/>
    </row>
    <row r="201" spans="1:12" s="104" customFormat="1" x14ac:dyDescent="0.2">
      <c r="A201" s="40" t="s">
        <v>53</v>
      </c>
      <c r="B201" s="131">
        <v>46101</v>
      </c>
      <c r="C201" s="43" t="s">
        <v>440</v>
      </c>
      <c r="D201" s="43" t="s">
        <v>58</v>
      </c>
      <c r="E201" s="132" t="s">
        <v>505</v>
      </c>
      <c r="F201" s="43" t="s">
        <v>650</v>
      </c>
      <c r="G201" s="82">
        <v>1333.63</v>
      </c>
      <c r="H201" s="47"/>
      <c r="I201" s="47">
        <v>282030.83</v>
      </c>
      <c r="J201" s="191" t="s">
        <v>228</v>
      </c>
      <c r="K201" s="192">
        <v>2</v>
      </c>
      <c r="L201" s="47"/>
    </row>
    <row r="202" spans="1:12" s="104" customFormat="1" x14ac:dyDescent="0.2">
      <c r="A202" s="40" t="s">
        <v>53</v>
      </c>
      <c r="B202" s="131">
        <v>46101</v>
      </c>
      <c r="C202" s="43" t="s">
        <v>440</v>
      </c>
      <c r="D202" s="43" t="s">
        <v>58</v>
      </c>
      <c r="E202" s="132" t="s">
        <v>505</v>
      </c>
      <c r="F202" s="43" t="s">
        <v>651</v>
      </c>
      <c r="G202" s="82">
        <v>952.85</v>
      </c>
      <c r="H202" s="47"/>
      <c r="I202" s="47">
        <v>282983.67999999999</v>
      </c>
      <c r="J202" s="191" t="s">
        <v>237</v>
      </c>
      <c r="K202" s="192">
        <v>2</v>
      </c>
      <c r="L202" s="47"/>
    </row>
    <row r="203" spans="1:12" s="104" customFormat="1" x14ac:dyDescent="0.2">
      <c r="A203" s="40" t="s">
        <v>53</v>
      </c>
      <c r="B203" s="131">
        <v>46102</v>
      </c>
      <c r="C203" s="43" t="s">
        <v>441</v>
      </c>
      <c r="D203" s="43" t="s">
        <v>58</v>
      </c>
      <c r="E203" s="132" t="s">
        <v>506</v>
      </c>
      <c r="F203" s="43" t="s">
        <v>652</v>
      </c>
      <c r="G203" s="82">
        <v>2050</v>
      </c>
      <c r="H203" s="47"/>
      <c r="I203" s="47">
        <v>285033.68</v>
      </c>
      <c r="J203" s="191" t="s">
        <v>228</v>
      </c>
      <c r="K203" s="192">
        <v>2</v>
      </c>
      <c r="L203" s="47"/>
    </row>
    <row r="204" spans="1:12" s="104" customFormat="1" x14ac:dyDescent="0.2">
      <c r="A204" s="40" t="s">
        <v>53</v>
      </c>
      <c r="B204" s="131">
        <v>46104</v>
      </c>
      <c r="C204" s="43" t="s">
        <v>442</v>
      </c>
      <c r="D204" s="43" t="s">
        <v>207</v>
      </c>
      <c r="E204" s="132" t="s">
        <v>19</v>
      </c>
      <c r="F204" s="43" t="s">
        <v>653</v>
      </c>
      <c r="G204" s="82"/>
      <c r="H204" s="47">
        <v>-277.5</v>
      </c>
      <c r="I204" s="47">
        <v>284756.18</v>
      </c>
      <c r="J204" s="191" t="s">
        <v>204</v>
      </c>
      <c r="K204" s="192">
        <v>-2</v>
      </c>
      <c r="L204" s="47"/>
    </row>
    <row r="205" spans="1:12" s="104" customFormat="1" x14ac:dyDescent="0.2">
      <c r="A205" s="40" t="s">
        <v>53</v>
      </c>
      <c r="B205" s="131">
        <v>46104</v>
      </c>
      <c r="C205" s="43" t="s">
        <v>443</v>
      </c>
      <c r="D205" s="43" t="s">
        <v>348</v>
      </c>
      <c r="E205" s="132" t="s">
        <v>88</v>
      </c>
      <c r="F205" s="43" t="s">
        <v>539</v>
      </c>
      <c r="G205" s="82">
        <v>190.28</v>
      </c>
      <c r="H205" s="47"/>
      <c r="I205" s="47">
        <v>284946.46000000002</v>
      </c>
      <c r="J205" s="131">
        <v>46084</v>
      </c>
      <c r="K205" s="192">
        <v>4</v>
      </c>
      <c r="L205" s="47"/>
    </row>
    <row r="206" spans="1:12" s="104" customFormat="1" x14ac:dyDescent="0.2">
      <c r="A206" s="40" t="s">
        <v>53</v>
      </c>
      <c r="B206" s="131">
        <v>46104</v>
      </c>
      <c r="C206" s="43" t="s">
        <v>443</v>
      </c>
      <c r="D206" s="43" t="s">
        <v>348</v>
      </c>
      <c r="E206" s="132" t="s">
        <v>88</v>
      </c>
      <c r="F206" s="43" t="s">
        <v>540</v>
      </c>
      <c r="G206" s="82">
        <v>212.6</v>
      </c>
      <c r="H206" s="47"/>
      <c r="I206" s="47">
        <v>285159.06</v>
      </c>
      <c r="J206" s="131">
        <v>46084</v>
      </c>
      <c r="K206" s="192">
        <v>4</v>
      </c>
      <c r="L206" s="47"/>
    </row>
    <row r="207" spans="1:12" s="104" customFormat="1" x14ac:dyDescent="0.2">
      <c r="A207" s="40" t="s">
        <v>53</v>
      </c>
      <c r="B207" s="131">
        <v>46104</v>
      </c>
      <c r="C207" s="43" t="s">
        <v>444</v>
      </c>
      <c r="D207" s="43" t="s">
        <v>350</v>
      </c>
      <c r="E207" s="132" t="s">
        <v>55</v>
      </c>
      <c r="F207" s="43" t="s">
        <v>541</v>
      </c>
      <c r="G207" s="82">
        <v>27.48</v>
      </c>
      <c r="H207" s="47"/>
      <c r="I207" s="47">
        <v>285186.53999999998</v>
      </c>
      <c r="J207" s="131">
        <v>46084</v>
      </c>
      <c r="K207" s="192">
        <v>4</v>
      </c>
      <c r="L207" s="47"/>
    </row>
    <row r="208" spans="1:12" s="104" customFormat="1" x14ac:dyDescent="0.2">
      <c r="A208" s="40" t="s">
        <v>53</v>
      </c>
      <c r="B208" s="131">
        <v>46104</v>
      </c>
      <c r="C208" s="43" t="s">
        <v>445</v>
      </c>
      <c r="D208" s="43" t="s">
        <v>58</v>
      </c>
      <c r="E208" s="132" t="s">
        <v>507</v>
      </c>
      <c r="F208" s="43" t="s">
        <v>654</v>
      </c>
      <c r="G208" s="82">
        <v>4985.42</v>
      </c>
      <c r="H208" s="47"/>
      <c r="I208" s="47">
        <v>290171.96000000002</v>
      </c>
      <c r="J208" s="191" t="s">
        <v>221</v>
      </c>
      <c r="K208" s="192">
        <v>2</v>
      </c>
      <c r="L208" s="47"/>
    </row>
    <row r="209" spans="1:12" s="104" customFormat="1" x14ac:dyDescent="0.2">
      <c r="A209" s="40" t="s">
        <v>53</v>
      </c>
      <c r="B209" s="131">
        <v>46104</v>
      </c>
      <c r="C209" s="43" t="s">
        <v>445</v>
      </c>
      <c r="D209" s="43" t="s">
        <v>58</v>
      </c>
      <c r="E209" s="132" t="s">
        <v>507</v>
      </c>
      <c r="F209" s="43" t="s">
        <v>655</v>
      </c>
      <c r="G209" s="82"/>
      <c r="H209" s="47">
        <v>-1750</v>
      </c>
      <c r="I209" s="47">
        <v>288421.96000000002</v>
      </c>
      <c r="J209" s="191" t="s">
        <v>221</v>
      </c>
      <c r="K209" s="192">
        <v>-2</v>
      </c>
      <c r="L209" s="47"/>
    </row>
    <row r="210" spans="1:12" s="104" customFormat="1" x14ac:dyDescent="0.2">
      <c r="A210" s="40" t="s">
        <v>53</v>
      </c>
      <c r="B210" s="131">
        <v>46104</v>
      </c>
      <c r="C210" s="43" t="s">
        <v>445</v>
      </c>
      <c r="D210" s="43" t="s">
        <v>58</v>
      </c>
      <c r="E210" s="132" t="s">
        <v>507</v>
      </c>
      <c r="F210" s="43" t="s">
        <v>656</v>
      </c>
      <c r="G210" s="82">
        <v>768.49</v>
      </c>
      <c r="H210" s="47"/>
      <c r="I210" s="47">
        <v>289190.45</v>
      </c>
      <c r="J210" s="191" t="s">
        <v>228</v>
      </c>
      <c r="K210" s="192">
        <v>2</v>
      </c>
      <c r="L210" s="47"/>
    </row>
    <row r="211" spans="1:12" s="104" customFormat="1" x14ac:dyDescent="0.2">
      <c r="A211" s="40" t="s">
        <v>53</v>
      </c>
      <c r="B211" s="131">
        <v>46104</v>
      </c>
      <c r="C211" s="43" t="s">
        <v>446</v>
      </c>
      <c r="D211" s="43"/>
      <c r="E211" s="132" t="s">
        <v>508</v>
      </c>
      <c r="F211" s="43" t="s">
        <v>508</v>
      </c>
      <c r="G211" s="82">
        <v>27420</v>
      </c>
      <c r="H211" s="47"/>
      <c r="I211" s="47">
        <v>316610.45</v>
      </c>
      <c r="J211" s="21" t="s">
        <v>228</v>
      </c>
      <c r="K211" s="192">
        <v>2</v>
      </c>
      <c r="L211" s="47"/>
    </row>
    <row r="212" spans="1:12" s="104" customFormat="1" x14ac:dyDescent="0.2">
      <c r="A212" s="40" t="s">
        <v>53</v>
      </c>
      <c r="B212" s="131">
        <v>46105</v>
      </c>
      <c r="C212" s="43" t="s">
        <v>447</v>
      </c>
      <c r="D212" s="43" t="s">
        <v>198</v>
      </c>
      <c r="E212" s="132" t="s">
        <v>55</v>
      </c>
      <c r="F212" s="43" t="s">
        <v>541</v>
      </c>
      <c r="G212" s="82"/>
      <c r="H212" s="47">
        <v>-27.48</v>
      </c>
      <c r="I212" s="47">
        <v>316582.96999999997</v>
      </c>
      <c r="J212" s="191" t="s">
        <v>197</v>
      </c>
      <c r="K212" s="192">
        <v>-2</v>
      </c>
      <c r="L212" s="47"/>
    </row>
    <row r="213" spans="1:12" s="104" customFormat="1" x14ac:dyDescent="0.2">
      <c r="A213" s="40" t="s">
        <v>53</v>
      </c>
      <c r="B213" s="131">
        <v>46105</v>
      </c>
      <c r="C213" s="43" t="s">
        <v>448</v>
      </c>
      <c r="D213" s="43" t="s">
        <v>449</v>
      </c>
      <c r="E213" s="132" t="s">
        <v>88</v>
      </c>
      <c r="F213" s="43" t="s">
        <v>539</v>
      </c>
      <c r="G213" s="82"/>
      <c r="H213" s="47">
        <v>-190.28</v>
      </c>
      <c r="I213" s="47">
        <v>316392.69</v>
      </c>
      <c r="J213" s="191"/>
      <c r="K213" s="192">
        <v>-1</v>
      </c>
      <c r="L213" s="47"/>
    </row>
    <row r="214" spans="1:12" s="104" customFormat="1" x14ac:dyDescent="0.2">
      <c r="A214" s="40" t="s">
        <v>53</v>
      </c>
      <c r="B214" s="131">
        <v>46105</v>
      </c>
      <c r="C214" s="43" t="s">
        <v>448</v>
      </c>
      <c r="D214" s="43" t="s">
        <v>449</v>
      </c>
      <c r="E214" s="132" t="s">
        <v>88</v>
      </c>
      <c r="F214" s="43" t="s">
        <v>540</v>
      </c>
      <c r="G214" s="82"/>
      <c r="H214" s="47">
        <v>-212.6</v>
      </c>
      <c r="I214" s="47">
        <v>316180.09000000003</v>
      </c>
      <c r="J214" s="191"/>
      <c r="K214" s="192">
        <v>-1</v>
      </c>
      <c r="L214" s="47"/>
    </row>
    <row r="215" spans="1:12" s="104" customFormat="1" x14ac:dyDescent="0.2">
      <c r="A215" s="40" t="s">
        <v>53</v>
      </c>
      <c r="B215" s="131">
        <v>46105</v>
      </c>
      <c r="C215" s="43" t="s">
        <v>450</v>
      </c>
      <c r="D215" s="43" t="s">
        <v>58</v>
      </c>
      <c r="E215" s="132" t="s">
        <v>509</v>
      </c>
      <c r="F215" s="43" t="s">
        <v>657</v>
      </c>
      <c r="G215" s="82">
        <v>1500</v>
      </c>
      <c r="H215" s="47"/>
      <c r="I215" s="47">
        <v>317680.09000000003</v>
      </c>
      <c r="J215" s="191" t="s">
        <v>217</v>
      </c>
      <c r="K215" s="192">
        <v>2</v>
      </c>
      <c r="L215" s="47"/>
    </row>
    <row r="216" spans="1:12" s="104" customFormat="1" x14ac:dyDescent="0.2">
      <c r="A216" s="40" t="s">
        <v>53</v>
      </c>
      <c r="B216" s="131">
        <v>46106</v>
      </c>
      <c r="C216" s="43" t="s">
        <v>451</v>
      </c>
      <c r="D216" s="43" t="s">
        <v>452</v>
      </c>
      <c r="E216" s="132" t="s">
        <v>510</v>
      </c>
      <c r="F216" s="43" t="s">
        <v>658</v>
      </c>
      <c r="G216" s="82"/>
      <c r="H216" s="47">
        <v>-844.5</v>
      </c>
      <c r="I216" s="47">
        <v>316835.59000000003</v>
      </c>
      <c r="J216" s="191"/>
      <c r="K216" s="192">
        <v>-1</v>
      </c>
      <c r="L216" s="47"/>
    </row>
    <row r="217" spans="1:12" s="104" customFormat="1" x14ac:dyDescent="0.2">
      <c r="A217" s="40" t="s">
        <v>53</v>
      </c>
      <c r="B217" s="131">
        <v>46106</v>
      </c>
      <c r="C217" s="43" t="s">
        <v>453</v>
      </c>
      <c r="D217" s="43" t="s">
        <v>58</v>
      </c>
      <c r="E217" s="132" t="s">
        <v>511</v>
      </c>
      <c r="F217" s="43" t="s">
        <v>659</v>
      </c>
      <c r="G217" s="82">
        <v>802.25</v>
      </c>
      <c r="H217" s="47"/>
      <c r="I217" s="47">
        <v>317637.84000000003</v>
      </c>
      <c r="J217" s="191" t="s">
        <v>217</v>
      </c>
      <c r="K217" s="192">
        <v>2</v>
      </c>
      <c r="L217" s="47"/>
    </row>
    <row r="218" spans="1:12" s="104" customFormat="1" x14ac:dyDescent="0.2">
      <c r="A218" s="40" t="s">
        <v>53</v>
      </c>
      <c r="B218" s="131">
        <v>46107</v>
      </c>
      <c r="C218" s="43" t="s">
        <v>454</v>
      </c>
      <c r="D218" s="43" t="s">
        <v>58</v>
      </c>
      <c r="E218" s="132" t="s">
        <v>512</v>
      </c>
      <c r="F218" s="43" t="s">
        <v>660</v>
      </c>
      <c r="G218" s="82">
        <v>2213.91</v>
      </c>
      <c r="H218" s="47"/>
      <c r="I218" s="47">
        <v>319851.75</v>
      </c>
      <c r="J218" s="191" t="s">
        <v>212</v>
      </c>
      <c r="K218" s="192">
        <v>2</v>
      </c>
      <c r="L218" s="47"/>
    </row>
    <row r="219" spans="1:12" s="104" customFormat="1" x14ac:dyDescent="0.2">
      <c r="A219" s="40" t="s">
        <v>53</v>
      </c>
      <c r="B219" s="131">
        <v>46107</v>
      </c>
      <c r="C219" s="43" t="s">
        <v>454</v>
      </c>
      <c r="D219" s="43" t="s">
        <v>58</v>
      </c>
      <c r="E219" s="132" t="s">
        <v>512</v>
      </c>
      <c r="F219" s="43" t="s">
        <v>661</v>
      </c>
      <c r="G219" s="194">
        <v>1850</v>
      </c>
      <c r="H219" s="47"/>
      <c r="I219" s="47">
        <v>321701.75</v>
      </c>
      <c r="J219" s="191" t="s">
        <v>215</v>
      </c>
      <c r="K219" s="192">
        <v>2</v>
      </c>
      <c r="L219" s="47"/>
    </row>
    <row r="220" spans="1:12" s="104" customFormat="1" x14ac:dyDescent="0.2">
      <c r="A220" s="40" t="s">
        <v>53</v>
      </c>
      <c r="B220" s="131">
        <v>46107</v>
      </c>
      <c r="C220" s="43" t="s">
        <v>454</v>
      </c>
      <c r="D220" s="43" t="s">
        <v>58</v>
      </c>
      <c r="E220" s="132" t="s">
        <v>512</v>
      </c>
      <c r="F220" s="43" t="s">
        <v>662</v>
      </c>
      <c r="G220" s="194">
        <v>3563.93</v>
      </c>
      <c r="H220" s="47"/>
      <c r="I220" s="47">
        <v>325265.68</v>
      </c>
      <c r="J220" s="191" t="s">
        <v>215</v>
      </c>
      <c r="K220" s="192">
        <v>2</v>
      </c>
      <c r="L220" s="47"/>
    </row>
    <row r="221" spans="1:12" s="104" customFormat="1" x14ac:dyDescent="0.2">
      <c r="A221" s="40" t="s">
        <v>53</v>
      </c>
      <c r="B221" s="131">
        <v>46108</v>
      </c>
      <c r="C221" s="43" t="s">
        <v>455</v>
      </c>
      <c r="D221" s="43" t="s">
        <v>456</v>
      </c>
      <c r="E221" s="132" t="s">
        <v>57</v>
      </c>
      <c r="F221" s="43" t="s">
        <v>663</v>
      </c>
      <c r="G221" s="82"/>
      <c r="H221" s="47">
        <v>-78</v>
      </c>
      <c r="I221" s="47">
        <v>325187.68</v>
      </c>
      <c r="J221" s="191"/>
      <c r="K221" s="192">
        <v>-1</v>
      </c>
      <c r="L221" s="47"/>
    </row>
    <row r="222" spans="1:12" s="104" customFormat="1" x14ac:dyDescent="0.2">
      <c r="A222" s="40" t="s">
        <v>53</v>
      </c>
      <c r="B222" s="131">
        <v>46108</v>
      </c>
      <c r="C222" s="43" t="s">
        <v>457</v>
      </c>
      <c r="D222" s="43" t="s">
        <v>75</v>
      </c>
      <c r="E222" s="132" t="s">
        <v>513</v>
      </c>
      <c r="F222" s="43" t="s">
        <v>513</v>
      </c>
      <c r="G222" s="82"/>
      <c r="H222" s="47">
        <v>-202.82</v>
      </c>
      <c r="I222" s="47">
        <v>324984.86</v>
      </c>
      <c r="J222" s="191" t="s">
        <v>217</v>
      </c>
      <c r="K222" s="192">
        <v>-2</v>
      </c>
      <c r="L222" s="47"/>
    </row>
    <row r="223" spans="1:12" s="104" customFormat="1" x14ac:dyDescent="0.2">
      <c r="A223" s="40" t="s">
        <v>53</v>
      </c>
      <c r="B223" s="131">
        <v>46108</v>
      </c>
      <c r="C223" s="43" t="s">
        <v>458</v>
      </c>
      <c r="D223" s="43" t="s">
        <v>58</v>
      </c>
      <c r="E223" s="132" t="s">
        <v>514</v>
      </c>
      <c r="F223" s="43" t="s">
        <v>664</v>
      </c>
      <c r="G223" s="82">
        <v>8295.67</v>
      </c>
      <c r="H223" s="47"/>
      <c r="I223" s="47">
        <v>333280.53000000003</v>
      </c>
      <c r="J223" s="191" t="s">
        <v>204</v>
      </c>
      <c r="K223" s="192">
        <v>2</v>
      </c>
      <c r="L223" s="47"/>
    </row>
    <row r="224" spans="1:12" s="104" customFormat="1" x14ac:dyDescent="0.2">
      <c r="A224" s="40" t="s">
        <v>53</v>
      </c>
      <c r="B224" s="131">
        <v>46108</v>
      </c>
      <c r="C224" s="43" t="s">
        <v>458</v>
      </c>
      <c r="D224" s="43" t="s">
        <v>58</v>
      </c>
      <c r="E224" s="132" t="s">
        <v>514</v>
      </c>
      <c r="F224" s="43" t="s">
        <v>665</v>
      </c>
      <c r="G224" s="82">
        <v>1844.04</v>
      </c>
      <c r="H224" s="47"/>
      <c r="I224" s="47">
        <v>335124.57</v>
      </c>
      <c r="J224" s="191" t="s">
        <v>212</v>
      </c>
      <c r="K224" s="192">
        <v>2</v>
      </c>
      <c r="L224" s="47"/>
    </row>
    <row r="225" spans="1:12" s="104" customFormat="1" x14ac:dyDescent="0.2">
      <c r="A225" s="40" t="s">
        <v>53</v>
      </c>
      <c r="B225" s="131">
        <v>46108</v>
      </c>
      <c r="C225" s="43" t="s">
        <v>458</v>
      </c>
      <c r="D225" s="43" t="s">
        <v>58</v>
      </c>
      <c r="E225" s="132" t="s">
        <v>514</v>
      </c>
      <c r="F225" s="43" t="s">
        <v>666</v>
      </c>
      <c r="G225" s="82">
        <v>1561.23</v>
      </c>
      <c r="H225" s="47"/>
      <c r="I225" s="47">
        <v>336685.8</v>
      </c>
      <c r="J225" s="191" t="s">
        <v>204</v>
      </c>
      <c r="K225" s="192">
        <v>2</v>
      </c>
      <c r="L225" s="47"/>
    </row>
    <row r="226" spans="1:12" s="104" customFormat="1" x14ac:dyDescent="0.2">
      <c r="A226" s="40" t="s">
        <v>53</v>
      </c>
      <c r="B226" s="131">
        <v>46111</v>
      </c>
      <c r="C226" s="43" t="s">
        <v>459</v>
      </c>
      <c r="D226" s="43" t="s">
        <v>460</v>
      </c>
      <c r="E226" s="132" t="s">
        <v>55</v>
      </c>
      <c r="F226" s="43" t="s">
        <v>667</v>
      </c>
      <c r="G226" s="82"/>
      <c r="H226" s="207">
        <v>-1302.8399999999999</v>
      </c>
      <c r="I226" s="47">
        <v>335382.96000000002</v>
      </c>
      <c r="J226" s="191" t="s">
        <v>197</v>
      </c>
      <c r="K226" s="192">
        <v>-2</v>
      </c>
      <c r="L226" s="47"/>
    </row>
    <row r="227" spans="1:12" s="104" customFormat="1" x14ac:dyDescent="0.2">
      <c r="A227" s="40" t="s">
        <v>53</v>
      </c>
      <c r="B227" s="131">
        <v>46111</v>
      </c>
      <c r="C227" s="43" t="s">
        <v>461</v>
      </c>
      <c r="D227" s="43" t="s">
        <v>462</v>
      </c>
      <c r="E227" s="132" t="s">
        <v>55</v>
      </c>
      <c r="F227" s="43" t="s">
        <v>668</v>
      </c>
      <c r="G227" s="82"/>
      <c r="H227" s="207">
        <v>-96.25</v>
      </c>
      <c r="I227" s="47">
        <v>335286.71000000002</v>
      </c>
      <c r="J227" s="191" t="s">
        <v>197</v>
      </c>
      <c r="K227" s="192">
        <v>-2</v>
      </c>
      <c r="L227" s="47"/>
    </row>
    <row r="228" spans="1:12" s="104" customFormat="1" x14ac:dyDescent="0.2">
      <c r="A228" s="40" t="s">
        <v>53</v>
      </c>
      <c r="B228" s="131">
        <v>46111</v>
      </c>
      <c r="C228" s="43" t="s">
        <v>463</v>
      </c>
      <c r="D228" s="43" t="s">
        <v>464</v>
      </c>
      <c r="E228" s="132" t="s">
        <v>55</v>
      </c>
      <c r="F228" s="43" t="s">
        <v>669</v>
      </c>
      <c r="G228" s="82"/>
      <c r="H228" s="207">
        <v>-122.38</v>
      </c>
      <c r="I228" s="47">
        <v>335164.33</v>
      </c>
      <c r="J228" s="191" t="s">
        <v>197</v>
      </c>
      <c r="K228" s="192">
        <v>-2</v>
      </c>
      <c r="L228" s="47"/>
    </row>
    <row r="229" spans="1:12" s="104" customFormat="1" x14ac:dyDescent="0.2">
      <c r="A229" s="40" t="s">
        <v>53</v>
      </c>
      <c r="B229" s="131">
        <v>46111</v>
      </c>
      <c r="C229" s="43" t="s">
        <v>465</v>
      </c>
      <c r="D229" s="43" t="s">
        <v>466</v>
      </c>
      <c r="E229" s="132" t="s">
        <v>57</v>
      </c>
      <c r="F229" s="43" t="s">
        <v>670</v>
      </c>
      <c r="G229" s="82"/>
      <c r="H229" s="47">
        <v>-718.85</v>
      </c>
      <c r="I229" s="47">
        <v>334445.48</v>
      </c>
      <c r="J229" s="191"/>
      <c r="K229" s="192">
        <v>-1</v>
      </c>
      <c r="L229" s="47"/>
    </row>
    <row r="230" spans="1:12" s="104" customFormat="1" x14ac:dyDescent="0.2">
      <c r="A230" s="40" t="s">
        <v>53</v>
      </c>
      <c r="B230" s="131">
        <v>46111</v>
      </c>
      <c r="C230" s="43" t="s">
        <v>467</v>
      </c>
      <c r="D230" s="43" t="s">
        <v>58</v>
      </c>
      <c r="E230" s="132" t="s">
        <v>515</v>
      </c>
      <c r="F230" s="43" t="s">
        <v>665</v>
      </c>
      <c r="G230" s="193">
        <v>2666.14</v>
      </c>
      <c r="H230" s="47"/>
      <c r="I230" s="47">
        <v>337111.62</v>
      </c>
      <c r="J230" s="191" t="s">
        <v>204</v>
      </c>
      <c r="K230" s="192">
        <v>2</v>
      </c>
      <c r="L230" s="47"/>
    </row>
    <row r="231" spans="1:12" s="104" customFormat="1" x14ac:dyDescent="0.2">
      <c r="A231" s="40" t="s">
        <v>53</v>
      </c>
      <c r="B231" s="131">
        <v>46111</v>
      </c>
      <c r="C231" s="43" t="s">
        <v>467</v>
      </c>
      <c r="D231" s="43" t="s">
        <v>58</v>
      </c>
      <c r="E231" s="132" t="s">
        <v>515</v>
      </c>
      <c r="F231" s="43" t="s">
        <v>671</v>
      </c>
      <c r="G231" s="193">
        <v>2931.4</v>
      </c>
      <c r="H231" s="47"/>
      <c r="I231" s="47">
        <v>340043.02</v>
      </c>
      <c r="J231" s="191" t="s">
        <v>204</v>
      </c>
      <c r="K231" s="192">
        <v>2</v>
      </c>
      <c r="L231" s="47"/>
    </row>
    <row r="232" spans="1:12" s="104" customFormat="1" x14ac:dyDescent="0.2">
      <c r="A232" s="40" t="s">
        <v>53</v>
      </c>
      <c r="B232" s="131">
        <v>46111</v>
      </c>
      <c r="C232" s="43" t="s">
        <v>467</v>
      </c>
      <c r="D232" s="43" t="s">
        <v>58</v>
      </c>
      <c r="E232" s="132" t="s">
        <v>515</v>
      </c>
      <c r="F232" s="43" t="s">
        <v>672</v>
      </c>
      <c r="G232" s="82">
        <v>1700</v>
      </c>
      <c r="H232" s="47"/>
      <c r="I232" s="47">
        <v>341743.02</v>
      </c>
      <c r="J232" s="191" t="s">
        <v>197</v>
      </c>
      <c r="K232" s="192">
        <v>2</v>
      </c>
      <c r="L232" s="47"/>
    </row>
    <row r="233" spans="1:12" s="104" customFormat="1" x14ac:dyDescent="0.2">
      <c r="A233" s="40" t="s">
        <v>53</v>
      </c>
      <c r="B233" s="131">
        <v>46112</v>
      </c>
      <c r="C233" s="43" t="s">
        <v>468</v>
      </c>
      <c r="D233" s="43" t="s">
        <v>469</v>
      </c>
      <c r="E233" s="132" t="s">
        <v>55</v>
      </c>
      <c r="F233" s="43"/>
      <c r="G233" s="82"/>
      <c r="H233" s="47">
        <v>-12.12</v>
      </c>
      <c r="I233" s="47">
        <v>341730.9</v>
      </c>
      <c r="J233" s="191"/>
      <c r="K233" s="192">
        <v>-1</v>
      </c>
      <c r="L233" s="47"/>
    </row>
    <row r="234" spans="1:12" s="104" customFormat="1" x14ac:dyDescent="0.2">
      <c r="A234" s="40" t="s">
        <v>53</v>
      </c>
      <c r="B234" s="131">
        <v>46112</v>
      </c>
      <c r="C234" s="43" t="s">
        <v>470</v>
      </c>
      <c r="D234" s="43" t="s">
        <v>471</v>
      </c>
      <c r="E234" s="132" t="s">
        <v>55</v>
      </c>
      <c r="F234" s="43" t="s">
        <v>673</v>
      </c>
      <c r="G234" s="82"/>
      <c r="H234" s="47">
        <v>-126.95</v>
      </c>
      <c r="I234" s="47">
        <v>341603.95</v>
      </c>
      <c r="J234" s="191"/>
      <c r="K234" s="192">
        <v>-1</v>
      </c>
      <c r="L234" s="47"/>
    </row>
    <row r="235" spans="1:12" s="104" customFormat="1" x14ac:dyDescent="0.2">
      <c r="A235" s="40" t="s">
        <v>53</v>
      </c>
      <c r="B235" s="131">
        <v>46112</v>
      </c>
      <c r="C235" s="43" t="s">
        <v>470</v>
      </c>
      <c r="D235" s="43" t="s">
        <v>471</v>
      </c>
      <c r="E235" s="132" t="s">
        <v>55</v>
      </c>
      <c r="F235" s="43" t="s">
        <v>674</v>
      </c>
      <c r="G235" s="82"/>
      <c r="H235" s="47">
        <v>-427.04</v>
      </c>
      <c r="I235" s="47">
        <v>341176.91</v>
      </c>
      <c r="J235" s="191"/>
      <c r="K235" s="192">
        <v>-1</v>
      </c>
      <c r="L235" s="47"/>
    </row>
    <row r="236" spans="1:12" s="104" customFormat="1" x14ac:dyDescent="0.2">
      <c r="A236" s="40" t="s">
        <v>53</v>
      </c>
      <c r="B236" s="131">
        <v>46112</v>
      </c>
      <c r="C236" s="43" t="s">
        <v>470</v>
      </c>
      <c r="D236" s="43" t="s">
        <v>471</v>
      </c>
      <c r="E236" s="132" t="s">
        <v>55</v>
      </c>
      <c r="F236" s="43" t="s">
        <v>675</v>
      </c>
      <c r="G236" s="82"/>
      <c r="H236" s="47">
        <v>-99.99</v>
      </c>
      <c r="I236" s="47">
        <v>341076.92</v>
      </c>
      <c r="J236" s="191"/>
      <c r="K236" s="192">
        <v>-1</v>
      </c>
      <c r="L236" s="47"/>
    </row>
    <row r="237" spans="1:12" s="104" customFormat="1" x14ac:dyDescent="0.2">
      <c r="A237" s="40" t="s">
        <v>53</v>
      </c>
      <c r="B237" s="131">
        <v>46112</v>
      </c>
      <c r="C237" s="43" t="s">
        <v>470</v>
      </c>
      <c r="D237" s="43" t="s">
        <v>471</v>
      </c>
      <c r="E237" s="132" t="s">
        <v>55</v>
      </c>
      <c r="F237" s="43" t="s">
        <v>676</v>
      </c>
      <c r="G237" s="82"/>
      <c r="H237" s="47">
        <v>-59.58</v>
      </c>
      <c r="I237" s="47">
        <v>341017.34</v>
      </c>
      <c r="J237" s="191"/>
      <c r="K237" s="192">
        <v>-1</v>
      </c>
      <c r="L237" s="47"/>
    </row>
    <row r="238" spans="1:12" s="104" customFormat="1" x14ac:dyDescent="0.2">
      <c r="A238" s="40" t="s">
        <v>53</v>
      </c>
      <c r="B238" s="131">
        <v>46112</v>
      </c>
      <c r="C238" s="43" t="s">
        <v>470</v>
      </c>
      <c r="D238" s="43" t="s">
        <v>471</v>
      </c>
      <c r="E238" s="132" t="s">
        <v>55</v>
      </c>
      <c r="F238" s="43" t="s">
        <v>96</v>
      </c>
      <c r="G238" s="82"/>
      <c r="H238" s="47">
        <v>-208.77</v>
      </c>
      <c r="I238" s="47">
        <v>340808.57</v>
      </c>
      <c r="J238" s="191"/>
      <c r="K238" s="192">
        <v>-1</v>
      </c>
      <c r="L238" s="47"/>
    </row>
    <row r="239" spans="1:12" s="104" customFormat="1" x14ac:dyDescent="0.2">
      <c r="A239" s="40" t="s">
        <v>53</v>
      </c>
      <c r="B239" s="131">
        <v>46112</v>
      </c>
      <c r="C239" s="43" t="s">
        <v>470</v>
      </c>
      <c r="D239" s="43" t="s">
        <v>471</v>
      </c>
      <c r="E239" s="132" t="s">
        <v>55</v>
      </c>
      <c r="F239" s="43" t="s">
        <v>677</v>
      </c>
      <c r="G239" s="82"/>
      <c r="H239" s="47">
        <v>-50</v>
      </c>
      <c r="I239" s="47">
        <v>340758.57</v>
      </c>
      <c r="J239" s="191"/>
      <c r="K239" s="192">
        <v>-1</v>
      </c>
      <c r="L239" s="47"/>
    </row>
    <row r="240" spans="1:12" s="104" customFormat="1" x14ac:dyDescent="0.2">
      <c r="A240" s="40" t="s">
        <v>53</v>
      </c>
      <c r="B240" s="131">
        <v>46112</v>
      </c>
      <c r="C240" s="43" t="s">
        <v>470</v>
      </c>
      <c r="D240" s="43" t="s">
        <v>471</v>
      </c>
      <c r="E240" s="132" t="s">
        <v>55</v>
      </c>
      <c r="F240" s="43" t="s">
        <v>678</v>
      </c>
      <c r="G240" s="82"/>
      <c r="H240" s="47">
        <v>-32.979999999999997</v>
      </c>
      <c r="I240" s="47">
        <v>340725.59</v>
      </c>
      <c r="J240" s="191"/>
      <c r="K240" s="192">
        <v>-1</v>
      </c>
      <c r="L240" s="47"/>
    </row>
    <row r="241" spans="1:12" s="104" customFormat="1" x14ac:dyDescent="0.2">
      <c r="A241" s="40" t="s">
        <v>53</v>
      </c>
      <c r="B241" s="131">
        <v>46112</v>
      </c>
      <c r="C241" s="43" t="s">
        <v>470</v>
      </c>
      <c r="D241" s="43" t="s">
        <v>471</v>
      </c>
      <c r="E241" s="132" t="s">
        <v>55</v>
      </c>
      <c r="F241" s="43" t="s">
        <v>679</v>
      </c>
      <c r="G241" s="82"/>
      <c r="H241" s="47">
        <v>-69.44</v>
      </c>
      <c r="I241" s="47">
        <v>340656.15</v>
      </c>
      <c r="J241" s="191"/>
      <c r="K241" s="192">
        <v>-1</v>
      </c>
      <c r="L241" s="47"/>
    </row>
    <row r="242" spans="1:12" s="104" customFormat="1" x14ac:dyDescent="0.2">
      <c r="A242" s="40" t="s">
        <v>53</v>
      </c>
      <c r="B242" s="131">
        <v>46112</v>
      </c>
      <c r="C242" s="43" t="s">
        <v>470</v>
      </c>
      <c r="D242" s="43" t="s">
        <v>471</v>
      </c>
      <c r="E242" s="132" t="s">
        <v>55</v>
      </c>
      <c r="F242" s="43" t="s">
        <v>680</v>
      </c>
      <c r="G242" s="82"/>
      <c r="H242" s="47">
        <v>-209.65</v>
      </c>
      <c r="I242" s="47">
        <v>340446.5</v>
      </c>
      <c r="J242" s="191"/>
      <c r="K242" s="192">
        <v>-1</v>
      </c>
      <c r="L242" s="47"/>
    </row>
    <row r="243" spans="1:12" s="104" customFormat="1" x14ac:dyDescent="0.2">
      <c r="A243" s="40" t="s">
        <v>53</v>
      </c>
      <c r="B243" s="131">
        <v>46112</v>
      </c>
      <c r="C243" s="43" t="s">
        <v>470</v>
      </c>
      <c r="D243" s="43" t="s">
        <v>471</v>
      </c>
      <c r="E243" s="132" t="s">
        <v>55</v>
      </c>
      <c r="F243" s="43" t="s">
        <v>681</v>
      </c>
      <c r="G243" s="82"/>
      <c r="H243" s="47">
        <v>-19.989999999999998</v>
      </c>
      <c r="I243" s="47">
        <v>340426.51</v>
      </c>
      <c r="J243" s="191"/>
      <c r="K243" s="192">
        <v>-1</v>
      </c>
      <c r="L243" s="47"/>
    </row>
    <row r="244" spans="1:12" s="104" customFormat="1" x14ac:dyDescent="0.2">
      <c r="A244" s="40" t="s">
        <v>53</v>
      </c>
      <c r="B244" s="131">
        <v>46112</v>
      </c>
      <c r="C244" s="43" t="s">
        <v>470</v>
      </c>
      <c r="D244" s="43" t="s">
        <v>471</v>
      </c>
      <c r="E244" s="132" t="s">
        <v>55</v>
      </c>
      <c r="F244" s="43" t="s">
        <v>681</v>
      </c>
      <c r="G244" s="82"/>
      <c r="H244" s="47">
        <v>-45.6</v>
      </c>
      <c r="I244" s="47">
        <v>340380.91</v>
      </c>
      <c r="J244" s="191"/>
      <c r="K244" s="192">
        <v>-1</v>
      </c>
      <c r="L244" s="47"/>
    </row>
    <row r="245" spans="1:12" s="104" customFormat="1" x14ac:dyDescent="0.2">
      <c r="A245" s="40" t="s">
        <v>53</v>
      </c>
      <c r="B245" s="131">
        <v>46112</v>
      </c>
      <c r="C245" s="43" t="s">
        <v>470</v>
      </c>
      <c r="D245" s="43" t="s">
        <v>471</v>
      </c>
      <c r="E245" s="132" t="s">
        <v>55</v>
      </c>
      <c r="F245" s="43" t="s">
        <v>95</v>
      </c>
      <c r="G245" s="82"/>
      <c r="H245" s="47">
        <v>-34.47</v>
      </c>
      <c r="I245" s="47">
        <v>340346.44</v>
      </c>
      <c r="J245" s="191"/>
      <c r="K245" s="192">
        <v>-1</v>
      </c>
      <c r="L245" s="47"/>
    </row>
    <row r="246" spans="1:12" s="104" customFormat="1" x14ac:dyDescent="0.2">
      <c r="A246" s="40" t="s">
        <v>53</v>
      </c>
      <c r="B246" s="131">
        <v>46112</v>
      </c>
      <c r="C246" s="43" t="s">
        <v>470</v>
      </c>
      <c r="D246" s="43" t="s">
        <v>471</v>
      </c>
      <c r="E246" s="132" t="s">
        <v>55</v>
      </c>
      <c r="F246" s="43" t="s">
        <v>95</v>
      </c>
      <c r="G246" s="82"/>
      <c r="H246" s="47">
        <v>-34.950000000000003</v>
      </c>
      <c r="I246" s="47">
        <v>340311.49</v>
      </c>
      <c r="J246" s="191"/>
      <c r="K246" s="192">
        <v>-1</v>
      </c>
      <c r="L246" s="47"/>
    </row>
    <row r="247" spans="1:12" s="104" customFormat="1" x14ac:dyDescent="0.2">
      <c r="A247" s="40" t="s">
        <v>53</v>
      </c>
      <c r="B247" s="131">
        <v>46112</v>
      </c>
      <c r="C247" s="43" t="s">
        <v>470</v>
      </c>
      <c r="D247" s="43" t="s">
        <v>471</v>
      </c>
      <c r="E247" s="132" t="s">
        <v>55</v>
      </c>
      <c r="F247" s="43" t="s">
        <v>682</v>
      </c>
      <c r="G247" s="82"/>
      <c r="H247" s="47">
        <v>-64.44</v>
      </c>
      <c r="I247" s="47">
        <v>340247.05</v>
      </c>
      <c r="J247" s="191"/>
      <c r="K247" s="192">
        <v>-1</v>
      </c>
      <c r="L247" s="47"/>
    </row>
    <row r="248" spans="1:12" s="104" customFormat="1" x14ac:dyDescent="0.2">
      <c r="A248" s="40" t="s">
        <v>53</v>
      </c>
      <c r="B248" s="131">
        <v>46112</v>
      </c>
      <c r="C248" s="43" t="s">
        <v>470</v>
      </c>
      <c r="D248" s="43" t="s">
        <v>471</v>
      </c>
      <c r="E248" s="132" t="s">
        <v>55</v>
      </c>
      <c r="F248" s="43" t="s">
        <v>683</v>
      </c>
      <c r="G248" s="82"/>
      <c r="H248" s="47">
        <v>-13.95</v>
      </c>
      <c r="I248" s="47">
        <v>340233.1</v>
      </c>
      <c r="J248" s="191"/>
      <c r="K248" s="192">
        <v>-1</v>
      </c>
      <c r="L248" s="47"/>
    </row>
    <row r="249" spans="1:12" s="104" customFormat="1" x14ac:dyDescent="0.2">
      <c r="A249" s="40" t="s">
        <v>53</v>
      </c>
      <c r="B249" s="131">
        <v>46112</v>
      </c>
      <c r="C249" s="43" t="s">
        <v>470</v>
      </c>
      <c r="D249" s="43" t="s">
        <v>471</v>
      </c>
      <c r="E249" s="132" t="s">
        <v>55</v>
      </c>
      <c r="F249" s="43" t="s">
        <v>684</v>
      </c>
      <c r="G249" s="82"/>
      <c r="H249" s="47">
        <v>-5.3</v>
      </c>
      <c r="I249" s="47">
        <v>340227.8</v>
      </c>
      <c r="J249" s="191"/>
      <c r="K249" s="192">
        <v>-1</v>
      </c>
      <c r="L249" s="47"/>
    </row>
    <row r="250" spans="1:12" s="104" customFormat="1" x14ac:dyDescent="0.2">
      <c r="A250" s="40" t="s">
        <v>53</v>
      </c>
      <c r="B250" s="131">
        <v>46112</v>
      </c>
      <c r="C250" s="43" t="s">
        <v>470</v>
      </c>
      <c r="D250" s="43" t="s">
        <v>471</v>
      </c>
      <c r="E250" s="132" t="s">
        <v>55</v>
      </c>
      <c r="F250" s="43" t="s">
        <v>685</v>
      </c>
      <c r="G250" s="82"/>
      <c r="H250" s="47">
        <v>-2.4</v>
      </c>
      <c r="I250" s="47">
        <v>340225.4</v>
      </c>
      <c r="J250" s="191"/>
      <c r="K250" s="192">
        <v>-1</v>
      </c>
      <c r="L250" s="47"/>
    </row>
    <row r="251" spans="1:12" s="104" customFormat="1" x14ac:dyDescent="0.2">
      <c r="A251" s="40" t="s">
        <v>53</v>
      </c>
      <c r="B251" s="131">
        <v>46112</v>
      </c>
      <c r="C251" s="43" t="s">
        <v>470</v>
      </c>
      <c r="D251" s="43" t="s">
        <v>471</v>
      </c>
      <c r="E251" s="132" t="s">
        <v>55</v>
      </c>
      <c r="F251" s="43" t="s">
        <v>686</v>
      </c>
      <c r="G251" s="82"/>
      <c r="H251" s="47">
        <v>-2.72</v>
      </c>
      <c r="I251" s="47">
        <v>340222.68</v>
      </c>
      <c r="J251" s="191"/>
      <c r="K251" s="192">
        <v>-1</v>
      </c>
      <c r="L251" s="47"/>
    </row>
    <row r="252" spans="1:12" s="104" customFormat="1" x14ac:dyDescent="0.2">
      <c r="A252" s="40" t="s">
        <v>53</v>
      </c>
      <c r="B252" s="131">
        <v>46112</v>
      </c>
      <c r="C252" s="43" t="s">
        <v>470</v>
      </c>
      <c r="D252" s="43" t="s">
        <v>471</v>
      </c>
      <c r="E252" s="132" t="s">
        <v>55</v>
      </c>
      <c r="F252" s="43" t="s">
        <v>687</v>
      </c>
      <c r="G252" s="82"/>
      <c r="H252" s="47">
        <v>-49.97</v>
      </c>
      <c r="I252" s="47">
        <v>340172.71</v>
      </c>
      <c r="J252" s="191"/>
      <c r="K252" s="192">
        <v>-1</v>
      </c>
      <c r="L252" s="47"/>
    </row>
    <row r="253" spans="1:12" s="104" customFormat="1" x14ac:dyDescent="0.2">
      <c r="A253" s="40" t="s">
        <v>53</v>
      </c>
      <c r="B253" s="131">
        <v>46112</v>
      </c>
      <c r="C253" s="43" t="s">
        <v>470</v>
      </c>
      <c r="D253" s="43" t="s">
        <v>471</v>
      </c>
      <c r="E253" s="132" t="s">
        <v>55</v>
      </c>
      <c r="F253" s="43" t="s">
        <v>688</v>
      </c>
      <c r="G253" s="82"/>
      <c r="H253" s="47">
        <v>-50</v>
      </c>
      <c r="I253" s="47">
        <v>340122.71</v>
      </c>
      <c r="J253" s="191"/>
      <c r="K253" s="192">
        <v>-1</v>
      </c>
      <c r="L253" s="47"/>
    </row>
    <row r="254" spans="1:12" s="104" customFormat="1" x14ac:dyDescent="0.2">
      <c r="A254" s="40" t="s">
        <v>53</v>
      </c>
      <c r="B254" s="131">
        <v>46112</v>
      </c>
      <c r="C254" s="43" t="s">
        <v>470</v>
      </c>
      <c r="D254" s="43" t="s">
        <v>471</v>
      </c>
      <c r="E254" s="132" t="s">
        <v>55</v>
      </c>
      <c r="F254" s="43" t="s">
        <v>71</v>
      </c>
      <c r="G254" s="82"/>
      <c r="H254" s="47">
        <v>-7.5</v>
      </c>
      <c r="I254" s="47">
        <v>340115.21</v>
      </c>
      <c r="J254" s="191"/>
      <c r="K254" s="192">
        <v>-1</v>
      </c>
      <c r="L254" s="47"/>
    </row>
    <row r="255" spans="1:12" s="104" customFormat="1" x14ac:dyDescent="0.2">
      <c r="A255" s="40" t="s">
        <v>53</v>
      </c>
      <c r="B255" s="131">
        <v>46112</v>
      </c>
      <c r="C255" s="43" t="s">
        <v>470</v>
      </c>
      <c r="D255" s="43" t="s">
        <v>471</v>
      </c>
      <c r="E255" s="132" t="s">
        <v>55</v>
      </c>
      <c r="F255" s="43" t="s">
        <v>71</v>
      </c>
      <c r="G255" s="82"/>
      <c r="H255" s="47">
        <v>-7.5</v>
      </c>
      <c r="I255" s="47">
        <v>340107.71</v>
      </c>
      <c r="J255" s="191"/>
      <c r="K255" s="192">
        <v>-1</v>
      </c>
      <c r="L255" s="47"/>
    </row>
    <row r="256" spans="1:12" s="104" customFormat="1" x14ac:dyDescent="0.2">
      <c r="A256" s="40" t="s">
        <v>53</v>
      </c>
      <c r="B256" s="131">
        <v>46112</v>
      </c>
      <c r="C256" s="43" t="s">
        <v>470</v>
      </c>
      <c r="D256" s="43" t="s">
        <v>471</v>
      </c>
      <c r="E256" s="132" t="s">
        <v>55</v>
      </c>
      <c r="F256" s="43" t="s">
        <v>71</v>
      </c>
      <c r="G256" s="82"/>
      <c r="H256" s="47">
        <v>-7.5</v>
      </c>
      <c r="I256" s="47">
        <v>340100.21</v>
      </c>
      <c r="J256" s="191"/>
      <c r="K256" s="192">
        <v>-1</v>
      </c>
      <c r="L256" s="47"/>
    </row>
    <row r="257" spans="1:12" s="104" customFormat="1" x14ac:dyDescent="0.2">
      <c r="A257" s="40" t="s">
        <v>53</v>
      </c>
      <c r="B257" s="131">
        <v>46112</v>
      </c>
      <c r="C257" s="43" t="s">
        <v>470</v>
      </c>
      <c r="D257" s="43" t="s">
        <v>471</v>
      </c>
      <c r="E257" s="132" t="s">
        <v>55</v>
      </c>
      <c r="F257" s="43" t="s">
        <v>71</v>
      </c>
      <c r="G257" s="82"/>
      <c r="H257" s="47">
        <v>-8</v>
      </c>
      <c r="I257" s="47">
        <v>340092.21</v>
      </c>
      <c r="J257" s="191"/>
      <c r="K257" s="192">
        <v>-1</v>
      </c>
      <c r="L257" s="47"/>
    </row>
    <row r="258" spans="1:12" s="104" customFormat="1" x14ac:dyDescent="0.2">
      <c r="A258" s="40" t="s">
        <v>53</v>
      </c>
      <c r="B258" s="131">
        <v>46112</v>
      </c>
      <c r="C258" s="43" t="s">
        <v>470</v>
      </c>
      <c r="D258" s="43" t="s">
        <v>471</v>
      </c>
      <c r="E258" s="132" t="s">
        <v>55</v>
      </c>
      <c r="F258" s="43" t="s">
        <v>71</v>
      </c>
      <c r="G258" s="82"/>
      <c r="H258" s="47">
        <v>-8</v>
      </c>
      <c r="I258" s="47">
        <v>340084.21</v>
      </c>
      <c r="J258" s="191"/>
      <c r="K258" s="192">
        <v>-1</v>
      </c>
      <c r="L258" s="47"/>
    </row>
    <row r="259" spans="1:12" s="104" customFormat="1" x14ac:dyDescent="0.2">
      <c r="A259" s="40" t="s">
        <v>53</v>
      </c>
      <c r="B259" s="131">
        <v>46112</v>
      </c>
      <c r="C259" s="43" t="s">
        <v>470</v>
      </c>
      <c r="D259" s="43" t="s">
        <v>471</v>
      </c>
      <c r="E259" s="132" t="s">
        <v>55</v>
      </c>
      <c r="F259" s="43" t="s">
        <v>689</v>
      </c>
      <c r="G259" s="82"/>
      <c r="H259" s="47">
        <v>-20</v>
      </c>
      <c r="I259" s="47">
        <v>340064.21</v>
      </c>
      <c r="J259" s="191"/>
      <c r="K259" s="192">
        <v>-1</v>
      </c>
      <c r="L259" s="47"/>
    </row>
    <row r="260" spans="1:12" s="104" customFormat="1" x14ac:dyDescent="0.2">
      <c r="A260" s="40" t="s">
        <v>53</v>
      </c>
      <c r="B260" s="131">
        <v>46112</v>
      </c>
      <c r="C260" s="43" t="s">
        <v>470</v>
      </c>
      <c r="D260" s="43" t="s">
        <v>471</v>
      </c>
      <c r="E260" s="132" t="s">
        <v>55</v>
      </c>
      <c r="F260" s="43" t="s">
        <v>690</v>
      </c>
      <c r="G260" s="82"/>
      <c r="H260" s="47">
        <v>-10</v>
      </c>
      <c r="I260" s="47">
        <v>340054.21</v>
      </c>
      <c r="J260" s="191"/>
      <c r="K260" s="192">
        <v>-1</v>
      </c>
      <c r="L260" s="47"/>
    </row>
    <row r="261" spans="1:12" s="104" customFormat="1" x14ac:dyDescent="0.2">
      <c r="A261" s="40" t="s">
        <v>53</v>
      </c>
      <c r="B261" s="131">
        <v>46112</v>
      </c>
      <c r="C261" s="43" t="s">
        <v>470</v>
      </c>
      <c r="D261" s="43" t="s">
        <v>471</v>
      </c>
      <c r="E261" s="132" t="s">
        <v>55</v>
      </c>
      <c r="F261" s="43" t="s">
        <v>691</v>
      </c>
      <c r="G261" s="82"/>
      <c r="H261" s="47">
        <v>-22.99</v>
      </c>
      <c r="I261" s="47">
        <v>340031.22</v>
      </c>
      <c r="J261" s="191"/>
      <c r="K261" s="192">
        <v>-1</v>
      </c>
      <c r="L261" s="47"/>
    </row>
    <row r="262" spans="1:12" s="104" customFormat="1" x14ac:dyDescent="0.2">
      <c r="A262" s="40" t="s">
        <v>53</v>
      </c>
      <c r="B262" s="131">
        <v>46112</v>
      </c>
      <c r="C262" s="43" t="s">
        <v>470</v>
      </c>
      <c r="D262" s="43" t="s">
        <v>471</v>
      </c>
      <c r="E262" s="132" t="s">
        <v>55</v>
      </c>
      <c r="F262" s="43" t="s">
        <v>692</v>
      </c>
      <c r="G262" s="82"/>
      <c r="H262" s="47">
        <v>-45.98</v>
      </c>
      <c r="I262" s="47">
        <v>339985.24</v>
      </c>
      <c r="J262" s="191"/>
      <c r="K262" s="192">
        <v>-1</v>
      </c>
      <c r="L262" s="47"/>
    </row>
    <row r="263" spans="1:12" s="104" customFormat="1" x14ac:dyDescent="0.2">
      <c r="A263" s="40" t="s">
        <v>53</v>
      </c>
      <c r="B263" s="131">
        <v>46112</v>
      </c>
      <c r="C263" s="43" t="s">
        <v>470</v>
      </c>
      <c r="D263" s="43" t="s">
        <v>471</v>
      </c>
      <c r="E263" s="132" t="s">
        <v>55</v>
      </c>
      <c r="F263" s="43" t="s">
        <v>693</v>
      </c>
      <c r="G263" s="82"/>
      <c r="H263" s="47">
        <v>-157.03</v>
      </c>
      <c r="I263" s="47">
        <v>339828.21</v>
      </c>
      <c r="J263" s="191"/>
      <c r="K263" s="192">
        <v>-1</v>
      </c>
      <c r="L263" s="47"/>
    </row>
    <row r="264" spans="1:12" s="104" customFormat="1" x14ac:dyDescent="0.2">
      <c r="A264" s="40" t="s">
        <v>53</v>
      </c>
      <c r="B264" s="131">
        <v>46112</v>
      </c>
      <c r="C264" s="43" t="s">
        <v>470</v>
      </c>
      <c r="D264" s="43" t="s">
        <v>471</v>
      </c>
      <c r="E264" s="132" t="s">
        <v>55</v>
      </c>
      <c r="F264" s="43" t="s">
        <v>694</v>
      </c>
      <c r="G264" s="82"/>
      <c r="H264" s="47">
        <v>-74.98</v>
      </c>
      <c r="I264" s="47">
        <v>339753.23</v>
      </c>
      <c r="J264" s="191"/>
      <c r="K264" s="192">
        <v>-1</v>
      </c>
      <c r="L264" s="47"/>
    </row>
    <row r="265" spans="1:12" s="104" customFormat="1" x14ac:dyDescent="0.2">
      <c r="A265" s="40" t="s">
        <v>53</v>
      </c>
      <c r="B265" s="131">
        <v>46112</v>
      </c>
      <c r="C265" s="43" t="s">
        <v>470</v>
      </c>
      <c r="D265" s="43" t="s">
        <v>471</v>
      </c>
      <c r="E265" s="132" t="s">
        <v>55</v>
      </c>
      <c r="F265" s="43" t="s">
        <v>695</v>
      </c>
      <c r="G265" s="82"/>
      <c r="H265" s="47">
        <v>-12.99</v>
      </c>
      <c r="I265" s="47">
        <v>339740.24</v>
      </c>
      <c r="J265" s="191"/>
      <c r="K265" s="192">
        <v>-1</v>
      </c>
      <c r="L265" s="47"/>
    </row>
    <row r="266" spans="1:12" s="104" customFormat="1" x14ac:dyDescent="0.2">
      <c r="A266" s="40" t="s">
        <v>53</v>
      </c>
      <c r="B266" s="131">
        <v>46112</v>
      </c>
      <c r="C266" s="43" t="s">
        <v>470</v>
      </c>
      <c r="D266" s="43" t="s">
        <v>471</v>
      </c>
      <c r="E266" s="132" t="s">
        <v>55</v>
      </c>
      <c r="F266" s="43" t="s">
        <v>696</v>
      </c>
      <c r="G266" s="82"/>
      <c r="H266" s="47">
        <v>-155.72999999999999</v>
      </c>
      <c r="I266" s="47">
        <v>339584.51</v>
      </c>
      <c r="J266" s="191"/>
      <c r="K266" s="192">
        <v>-1</v>
      </c>
      <c r="L266" s="47"/>
    </row>
    <row r="267" spans="1:12" s="104" customFormat="1" x14ac:dyDescent="0.2">
      <c r="A267" s="40" t="s">
        <v>53</v>
      </c>
      <c r="B267" s="131">
        <v>46112</v>
      </c>
      <c r="C267" s="43" t="s">
        <v>470</v>
      </c>
      <c r="D267" s="43" t="s">
        <v>471</v>
      </c>
      <c r="E267" s="132" t="s">
        <v>55</v>
      </c>
      <c r="F267" s="43" t="s">
        <v>697</v>
      </c>
      <c r="G267" s="82"/>
      <c r="H267" s="47">
        <v>-16.47</v>
      </c>
      <c r="I267" s="47">
        <v>339568.04</v>
      </c>
      <c r="J267" s="191"/>
      <c r="K267" s="192">
        <v>-1</v>
      </c>
      <c r="L267" s="47"/>
    </row>
    <row r="268" spans="1:12" s="104" customFormat="1" x14ac:dyDescent="0.2">
      <c r="A268" s="40" t="s">
        <v>53</v>
      </c>
      <c r="B268" s="131">
        <v>46112</v>
      </c>
      <c r="C268" s="43" t="s">
        <v>470</v>
      </c>
      <c r="D268" s="43" t="s">
        <v>471</v>
      </c>
      <c r="E268" s="132" t="s">
        <v>55</v>
      </c>
      <c r="F268" s="43" t="s">
        <v>698</v>
      </c>
      <c r="G268" s="82"/>
      <c r="H268" s="47">
        <v>-138.16</v>
      </c>
      <c r="I268" s="47">
        <v>339429.88</v>
      </c>
      <c r="J268" s="191"/>
      <c r="K268" s="192">
        <v>-1</v>
      </c>
      <c r="L268" s="47"/>
    </row>
    <row r="269" spans="1:12" s="104" customFormat="1" x14ac:dyDescent="0.2">
      <c r="A269" s="40" t="s">
        <v>53</v>
      </c>
      <c r="B269" s="131">
        <v>46112</v>
      </c>
      <c r="C269" s="43" t="s">
        <v>470</v>
      </c>
      <c r="D269" s="43" t="s">
        <v>471</v>
      </c>
      <c r="E269" s="132" t="s">
        <v>55</v>
      </c>
      <c r="F269" s="43" t="s">
        <v>699</v>
      </c>
      <c r="G269" s="82"/>
      <c r="H269" s="47">
        <v>-162.93</v>
      </c>
      <c r="I269" s="47">
        <v>339266.95</v>
      </c>
      <c r="J269" s="191"/>
      <c r="K269" s="192">
        <v>-1</v>
      </c>
      <c r="L269" s="47"/>
    </row>
    <row r="270" spans="1:12" s="104" customFormat="1" x14ac:dyDescent="0.2">
      <c r="A270" s="40" t="s">
        <v>53</v>
      </c>
      <c r="B270" s="131">
        <v>46112</v>
      </c>
      <c r="C270" s="43" t="s">
        <v>470</v>
      </c>
      <c r="D270" s="43" t="s">
        <v>471</v>
      </c>
      <c r="E270" s="132" t="s">
        <v>55</v>
      </c>
      <c r="F270" s="43" t="s">
        <v>699</v>
      </c>
      <c r="G270" s="82"/>
      <c r="H270" s="47">
        <v>-154.63999999999999</v>
      </c>
      <c r="I270" s="47">
        <v>339112.31</v>
      </c>
      <c r="J270" s="191"/>
      <c r="K270" s="192">
        <v>-1</v>
      </c>
      <c r="L270" s="47"/>
    </row>
    <row r="271" spans="1:12" s="104" customFormat="1" x14ac:dyDescent="0.2">
      <c r="A271" s="40" t="s">
        <v>53</v>
      </c>
      <c r="B271" s="131">
        <v>46112</v>
      </c>
      <c r="C271" s="43" t="s">
        <v>470</v>
      </c>
      <c r="D271" s="43" t="s">
        <v>471</v>
      </c>
      <c r="E271" s="132" t="s">
        <v>55</v>
      </c>
      <c r="F271" s="43" t="s">
        <v>696</v>
      </c>
      <c r="G271" s="82"/>
      <c r="H271" s="47">
        <v>-98.39</v>
      </c>
      <c r="I271" s="47">
        <v>339013.92</v>
      </c>
      <c r="J271" s="191"/>
      <c r="K271" s="192">
        <v>-1</v>
      </c>
      <c r="L271" s="47"/>
    </row>
    <row r="272" spans="1:12" s="104" customFormat="1" x14ac:dyDescent="0.2">
      <c r="A272" s="40" t="s">
        <v>53</v>
      </c>
      <c r="B272" s="131">
        <v>46112</v>
      </c>
      <c r="C272" s="43" t="s">
        <v>470</v>
      </c>
      <c r="D272" s="43" t="s">
        <v>471</v>
      </c>
      <c r="E272" s="132" t="s">
        <v>55</v>
      </c>
      <c r="F272" s="43" t="s">
        <v>696</v>
      </c>
      <c r="G272" s="82"/>
      <c r="H272" s="47">
        <v>-124.74</v>
      </c>
      <c r="I272" s="47">
        <v>338889.18</v>
      </c>
      <c r="J272" s="191"/>
      <c r="K272" s="192">
        <v>-1</v>
      </c>
      <c r="L272" s="47"/>
    </row>
    <row r="273" spans="1:12" s="104" customFormat="1" x14ac:dyDescent="0.2">
      <c r="A273" s="40" t="s">
        <v>53</v>
      </c>
      <c r="B273" s="131">
        <v>46112</v>
      </c>
      <c r="C273" s="43" t="s">
        <v>470</v>
      </c>
      <c r="D273" s="43" t="s">
        <v>471</v>
      </c>
      <c r="E273" s="132" t="s">
        <v>55</v>
      </c>
      <c r="F273" s="43" t="s">
        <v>72</v>
      </c>
      <c r="G273" s="82"/>
      <c r="H273" s="47">
        <v>-71.78</v>
      </c>
      <c r="I273" s="47">
        <v>338817.4</v>
      </c>
      <c r="J273" s="191"/>
      <c r="K273" s="192">
        <v>-1</v>
      </c>
      <c r="L273" s="47"/>
    </row>
    <row r="274" spans="1:12" s="104" customFormat="1" x14ac:dyDescent="0.2">
      <c r="A274" s="40" t="s">
        <v>53</v>
      </c>
      <c r="B274" s="131">
        <v>46112</v>
      </c>
      <c r="C274" s="43" t="s">
        <v>470</v>
      </c>
      <c r="D274" s="43" t="s">
        <v>471</v>
      </c>
      <c r="E274" s="132" t="s">
        <v>55</v>
      </c>
      <c r="F274" s="43" t="s">
        <v>72</v>
      </c>
      <c r="G274" s="82"/>
      <c r="H274" s="47">
        <v>-69.59</v>
      </c>
      <c r="I274" s="47">
        <v>338747.81</v>
      </c>
      <c r="J274" s="191"/>
      <c r="K274" s="192">
        <v>-1</v>
      </c>
      <c r="L274" s="47"/>
    </row>
    <row r="275" spans="1:12" s="104" customFormat="1" x14ac:dyDescent="0.2">
      <c r="A275" s="40" t="s">
        <v>53</v>
      </c>
      <c r="B275" s="131">
        <v>46112</v>
      </c>
      <c r="C275" s="43" t="s">
        <v>470</v>
      </c>
      <c r="D275" s="43" t="s">
        <v>471</v>
      </c>
      <c r="E275" s="132" t="s">
        <v>55</v>
      </c>
      <c r="F275" s="43" t="s">
        <v>72</v>
      </c>
      <c r="G275" s="82"/>
      <c r="H275" s="47">
        <v>-74.63</v>
      </c>
      <c r="I275" s="47">
        <v>338673.18</v>
      </c>
      <c r="J275" s="191"/>
      <c r="K275" s="192">
        <v>-1</v>
      </c>
      <c r="L275" s="47"/>
    </row>
    <row r="276" spans="1:12" s="104" customFormat="1" x14ac:dyDescent="0.2">
      <c r="A276" s="40" t="s">
        <v>53</v>
      </c>
      <c r="B276" s="131">
        <v>46112</v>
      </c>
      <c r="C276" s="43" t="s">
        <v>470</v>
      </c>
      <c r="D276" s="43" t="s">
        <v>471</v>
      </c>
      <c r="E276" s="132" t="s">
        <v>55</v>
      </c>
      <c r="F276" s="43" t="s">
        <v>72</v>
      </c>
      <c r="G276" s="82"/>
      <c r="H276" s="47">
        <v>-52.5</v>
      </c>
      <c r="I276" s="47">
        <v>338620.68</v>
      </c>
      <c r="J276" s="191"/>
      <c r="K276" s="192">
        <v>-1</v>
      </c>
      <c r="L276" s="47"/>
    </row>
    <row r="277" spans="1:12" s="104" customFormat="1" x14ac:dyDescent="0.2">
      <c r="A277" s="40" t="s">
        <v>53</v>
      </c>
      <c r="B277" s="131">
        <v>46112</v>
      </c>
      <c r="C277" s="43" t="s">
        <v>470</v>
      </c>
      <c r="D277" s="43" t="s">
        <v>471</v>
      </c>
      <c r="E277" s="132" t="s">
        <v>55</v>
      </c>
      <c r="F277" s="43" t="s">
        <v>72</v>
      </c>
      <c r="G277" s="82"/>
      <c r="H277" s="47">
        <v>-52.58</v>
      </c>
      <c r="I277" s="47">
        <v>338568.1</v>
      </c>
      <c r="J277" s="191"/>
      <c r="K277" s="192">
        <v>-1</v>
      </c>
      <c r="L277" s="47"/>
    </row>
    <row r="278" spans="1:12" s="104" customFormat="1" x14ac:dyDescent="0.2">
      <c r="A278" s="40" t="s">
        <v>53</v>
      </c>
      <c r="B278" s="131">
        <v>46112</v>
      </c>
      <c r="C278" s="43" t="s">
        <v>470</v>
      </c>
      <c r="D278" s="43" t="s">
        <v>471</v>
      </c>
      <c r="E278" s="132" t="s">
        <v>55</v>
      </c>
      <c r="F278" s="43" t="s">
        <v>700</v>
      </c>
      <c r="G278" s="82"/>
      <c r="H278" s="47">
        <v>-15.15</v>
      </c>
      <c r="I278" s="47">
        <v>338552.95</v>
      </c>
      <c r="J278" s="191"/>
      <c r="K278" s="192">
        <v>-1</v>
      </c>
      <c r="L278" s="47"/>
    </row>
    <row r="279" spans="1:12" s="104" customFormat="1" x14ac:dyDescent="0.2">
      <c r="A279" s="40" t="s">
        <v>53</v>
      </c>
      <c r="B279" s="131">
        <v>46112</v>
      </c>
      <c r="C279" s="43" t="s">
        <v>470</v>
      </c>
      <c r="D279" s="43" t="s">
        <v>471</v>
      </c>
      <c r="E279" s="132" t="s">
        <v>55</v>
      </c>
      <c r="F279" s="43" t="s">
        <v>701</v>
      </c>
      <c r="G279" s="82"/>
      <c r="H279" s="47">
        <v>-20</v>
      </c>
      <c r="I279" s="47">
        <v>338532.95</v>
      </c>
      <c r="J279" s="191"/>
      <c r="K279" s="192">
        <v>-1</v>
      </c>
      <c r="L279" s="47"/>
    </row>
    <row r="280" spans="1:12" s="104" customFormat="1" x14ac:dyDescent="0.2">
      <c r="A280" s="40" t="s">
        <v>53</v>
      </c>
      <c r="B280" s="131">
        <v>46112</v>
      </c>
      <c r="C280" s="43" t="s">
        <v>470</v>
      </c>
      <c r="D280" s="43" t="s">
        <v>471</v>
      </c>
      <c r="E280" s="132" t="s">
        <v>55</v>
      </c>
      <c r="F280" s="43" t="s">
        <v>702</v>
      </c>
      <c r="G280" s="82"/>
      <c r="H280" s="47">
        <v>-17.829999999999998</v>
      </c>
      <c r="I280" s="47">
        <v>338515.12</v>
      </c>
      <c r="J280" s="191"/>
      <c r="K280" s="192">
        <v>-1</v>
      </c>
      <c r="L280" s="47"/>
    </row>
    <row r="281" spans="1:12" s="104" customFormat="1" x14ac:dyDescent="0.2">
      <c r="A281" s="40" t="s">
        <v>53</v>
      </c>
      <c r="B281" s="131">
        <v>46112</v>
      </c>
      <c r="C281" s="43" t="s">
        <v>470</v>
      </c>
      <c r="D281" s="43" t="s">
        <v>471</v>
      </c>
      <c r="E281" s="132" t="s">
        <v>55</v>
      </c>
      <c r="F281" s="43" t="s">
        <v>703</v>
      </c>
      <c r="G281" s="82"/>
      <c r="H281" s="47">
        <v>-163.94</v>
      </c>
      <c r="I281" s="47">
        <v>338351.18</v>
      </c>
      <c r="J281" s="191"/>
      <c r="K281" s="192">
        <v>-1</v>
      </c>
      <c r="L281" s="47"/>
    </row>
    <row r="282" spans="1:12" s="104" customFormat="1" x14ac:dyDescent="0.2">
      <c r="A282" s="40" t="s">
        <v>53</v>
      </c>
      <c r="B282" s="131">
        <v>46112</v>
      </c>
      <c r="C282" s="43" t="s">
        <v>470</v>
      </c>
      <c r="D282" s="43" t="s">
        <v>471</v>
      </c>
      <c r="E282" s="132" t="s">
        <v>55</v>
      </c>
      <c r="F282" s="43" t="s">
        <v>703</v>
      </c>
      <c r="G282" s="82"/>
      <c r="H282" s="47">
        <v>-2</v>
      </c>
      <c r="I282" s="47">
        <v>338349.18</v>
      </c>
      <c r="J282" s="191"/>
      <c r="K282" s="192">
        <v>-1</v>
      </c>
      <c r="L282" s="47"/>
    </row>
    <row r="283" spans="1:12" s="104" customFormat="1" x14ac:dyDescent="0.2">
      <c r="A283" s="40" t="s">
        <v>53</v>
      </c>
      <c r="B283" s="131">
        <v>46112</v>
      </c>
      <c r="C283" s="43" t="s">
        <v>470</v>
      </c>
      <c r="D283" s="43" t="s">
        <v>471</v>
      </c>
      <c r="E283" s="132" t="s">
        <v>55</v>
      </c>
      <c r="F283" s="43" t="s">
        <v>704</v>
      </c>
      <c r="G283" s="82"/>
      <c r="H283" s="47">
        <v>-11.48</v>
      </c>
      <c r="I283" s="47">
        <v>338337.7</v>
      </c>
      <c r="J283" s="191"/>
      <c r="K283" s="192">
        <v>-1</v>
      </c>
      <c r="L283" s="47"/>
    </row>
    <row r="284" spans="1:12" s="104" customFormat="1" x14ac:dyDescent="0.2">
      <c r="A284" s="40" t="s">
        <v>53</v>
      </c>
      <c r="B284" s="131">
        <v>46112</v>
      </c>
      <c r="C284" s="43" t="s">
        <v>470</v>
      </c>
      <c r="D284" s="43" t="s">
        <v>471</v>
      </c>
      <c r="E284" s="132" t="s">
        <v>55</v>
      </c>
      <c r="F284" s="43" t="s">
        <v>704</v>
      </c>
      <c r="G284" s="82"/>
      <c r="H284" s="47">
        <v>-15.66</v>
      </c>
      <c r="I284" s="47">
        <v>338322.04</v>
      </c>
      <c r="J284" s="191"/>
      <c r="K284" s="192">
        <v>-1</v>
      </c>
      <c r="L284" s="47"/>
    </row>
    <row r="285" spans="1:12" s="104" customFormat="1" x14ac:dyDescent="0.2">
      <c r="A285" s="40" t="s">
        <v>53</v>
      </c>
      <c r="B285" s="131">
        <v>46112</v>
      </c>
      <c r="C285" s="43" t="s">
        <v>470</v>
      </c>
      <c r="D285" s="43" t="s">
        <v>471</v>
      </c>
      <c r="E285" s="132" t="s">
        <v>55</v>
      </c>
      <c r="F285" s="43" t="s">
        <v>704</v>
      </c>
      <c r="G285" s="82"/>
      <c r="H285" s="47">
        <v>-7.83</v>
      </c>
      <c r="I285" s="47">
        <v>338314.21</v>
      </c>
      <c r="J285" s="191"/>
      <c r="K285" s="192">
        <v>-1</v>
      </c>
      <c r="L285" s="47"/>
    </row>
    <row r="286" spans="1:12" s="104" customFormat="1" x14ac:dyDescent="0.2">
      <c r="A286" s="40" t="s">
        <v>53</v>
      </c>
      <c r="B286" s="131">
        <v>46112</v>
      </c>
      <c r="C286" s="43" t="s">
        <v>470</v>
      </c>
      <c r="D286" s="43" t="s">
        <v>471</v>
      </c>
      <c r="E286" s="132" t="s">
        <v>55</v>
      </c>
      <c r="F286" s="43" t="s">
        <v>704</v>
      </c>
      <c r="G286" s="82"/>
      <c r="H286" s="47">
        <v>-11.48</v>
      </c>
      <c r="I286" s="47">
        <v>338302.73</v>
      </c>
      <c r="J286" s="191"/>
      <c r="K286" s="192">
        <v>-1</v>
      </c>
      <c r="L286" s="47"/>
    </row>
    <row r="287" spans="1:12" s="104" customFormat="1" x14ac:dyDescent="0.2">
      <c r="A287" s="40" t="s">
        <v>53</v>
      </c>
      <c r="B287" s="131">
        <v>46112</v>
      </c>
      <c r="C287" s="43" t="s">
        <v>470</v>
      </c>
      <c r="D287" s="43" t="s">
        <v>471</v>
      </c>
      <c r="E287" s="132" t="s">
        <v>55</v>
      </c>
      <c r="F287" s="43" t="s">
        <v>184</v>
      </c>
      <c r="G287" s="82"/>
      <c r="H287" s="47">
        <v>-13.69</v>
      </c>
      <c r="I287" s="47">
        <v>338289.04</v>
      </c>
      <c r="J287" s="191"/>
      <c r="K287" s="192">
        <v>-1</v>
      </c>
      <c r="L287" s="47"/>
    </row>
    <row r="288" spans="1:12" s="104" customFormat="1" x14ac:dyDescent="0.2">
      <c r="A288" s="40" t="s">
        <v>53</v>
      </c>
      <c r="B288" s="131">
        <v>46112</v>
      </c>
      <c r="C288" s="43" t="s">
        <v>470</v>
      </c>
      <c r="D288" s="43" t="s">
        <v>471</v>
      </c>
      <c r="E288" s="132" t="s">
        <v>55</v>
      </c>
      <c r="F288" s="43" t="s">
        <v>705</v>
      </c>
      <c r="G288" s="82"/>
      <c r="H288" s="47">
        <v>-12.55</v>
      </c>
      <c r="I288" s="47">
        <v>338276.49</v>
      </c>
      <c r="J288" s="191"/>
      <c r="K288" s="192">
        <v>-1</v>
      </c>
      <c r="L288" s="47"/>
    </row>
    <row r="289" spans="1:12" s="104" customFormat="1" x14ac:dyDescent="0.2">
      <c r="A289" s="40" t="s">
        <v>53</v>
      </c>
      <c r="B289" s="131">
        <v>46112</v>
      </c>
      <c r="C289" s="43" t="s">
        <v>470</v>
      </c>
      <c r="D289" s="43" t="s">
        <v>471</v>
      </c>
      <c r="E289" s="132" t="s">
        <v>55</v>
      </c>
      <c r="F289" s="43" t="s">
        <v>706</v>
      </c>
      <c r="G289" s="82"/>
      <c r="H289" s="47">
        <v>-30.57</v>
      </c>
      <c r="I289" s="47">
        <v>338245.92</v>
      </c>
      <c r="J289" s="191"/>
      <c r="K289" s="192">
        <v>-1</v>
      </c>
      <c r="L289" s="47"/>
    </row>
    <row r="290" spans="1:12" s="104" customFormat="1" x14ac:dyDescent="0.2">
      <c r="A290" s="40" t="s">
        <v>53</v>
      </c>
      <c r="B290" s="131">
        <v>46112</v>
      </c>
      <c r="C290" s="43" t="s">
        <v>470</v>
      </c>
      <c r="D290" s="43" t="s">
        <v>471</v>
      </c>
      <c r="E290" s="132" t="s">
        <v>55</v>
      </c>
      <c r="F290" s="43" t="s">
        <v>84</v>
      </c>
      <c r="G290" s="82"/>
      <c r="H290" s="47">
        <v>-13.73</v>
      </c>
      <c r="I290" s="47">
        <v>338232.19</v>
      </c>
      <c r="J290" s="191"/>
      <c r="K290" s="192">
        <v>-1</v>
      </c>
      <c r="L290" s="47"/>
    </row>
    <row r="291" spans="1:12" s="104" customFormat="1" x14ac:dyDescent="0.2">
      <c r="A291" s="40" t="s">
        <v>53</v>
      </c>
      <c r="B291" s="131">
        <v>46112</v>
      </c>
      <c r="C291" s="43" t="s">
        <v>470</v>
      </c>
      <c r="D291" s="43" t="s">
        <v>471</v>
      </c>
      <c r="E291" s="132" t="s">
        <v>55</v>
      </c>
      <c r="F291" s="43" t="s">
        <v>84</v>
      </c>
      <c r="G291" s="82"/>
      <c r="H291" s="47">
        <v>-14.97</v>
      </c>
      <c r="I291" s="47">
        <v>338217.22</v>
      </c>
      <c r="J291" s="191"/>
      <c r="K291" s="192">
        <v>-1</v>
      </c>
      <c r="L291" s="47"/>
    </row>
    <row r="292" spans="1:12" s="104" customFormat="1" x14ac:dyDescent="0.2">
      <c r="A292" s="40" t="s">
        <v>53</v>
      </c>
      <c r="B292" s="131">
        <v>46112</v>
      </c>
      <c r="C292" s="43" t="s">
        <v>470</v>
      </c>
      <c r="D292" s="43" t="s">
        <v>471</v>
      </c>
      <c r="E292" s="132" t="s">
        <v>55</v>
      </c>
      <c r="F292" s="43" t="s">
        <v>707</v>
      </c>
      <c r="G292" s="82"/>
      <c r="H292" s="47">
        <v>-6.36</v>
      </c>
      <c r="I292" s="47">
        <v>338210.86</v>
      </c>
      <c r="J292" s="191"/>
      <c r="K292" s="192">
        <v>-1</v>
      </c>
      <c r="L292" s="47"/>
    </row>
    <row r="293" spans="1:12" s="104" customFormat="1" x14ac:dyDescent="0.2">
      <c r="A293" s="40" t="s">
        <v>53</v>
      </c>
      <c r="B293" s="131">
        <v>46112</v>
      </c>
      <c r="C293" s="43" t="s">
        <v>470</v>
      </c>
      <c r="D293" s="43" t="s">
        <v>471</v>
      </c>
      <c r="E293" s="132" t="s">
        <v>55</v>
      </c>
      <c r="F293" s="43" t="s">
        <v>708</v>
      </c>
      <c r="G293" s="82"/>
      <c r="H293" s="47">
        <v>-59.25</v>
      </c>
      <c r="I293" s="47">
        <v>338151.61</v>
      </c>
      <c r="J293" s="191"/>
      <c r="K293" s="192">
        <v>-1</v>
      </c>
      <c r="L293" s="47"/>
    </row>
    <row r="294" spans="1:12" s="104" customFormat="1" x14ac:dyDescent="0.2">
      <c r="A294" s="40" t="s">
        <v>53</v>
      </c>
      <c r="B294" s="131">
        <v>46112</v>
      </c>
      <c r="C294" s="43" t="s">
        <v>470</v>
      </c>
      <c r="D294" s="43" t="s">
        <v>471</v>
      </c>
      <c r="E294" s="132" t="s">
        <v>55</v>
      </c>
      <c r="F294" s="43" t="s">
        <v>709</v>
      </c>
      <c r="G294" s="82"/>
      <c r="H294" s="47">
        <v>-13.53</v>
      </c>
      <c r="I294" s="47">
        <v>338138.08</v>
      </c>
      <c r="J294" s="191"/>
      <c r="K294" s="192">
        <v>-1</v>
      </c>
      <c r="L294" s="47"/>
    </row>
    <row r="295" spans="1:12" s="104" customFormat="1" x14ac:dyDescent="0.2">
      <c r="A295" s="40" t="s">
        <v>53</v>
      </c>
      <c r="B295" s="131">
        <v>46112</v>
      </c>
      <c r="C295" s="43" t="s">
        <v>470</v>
      </c>
      <c r="D295" s="43" t="s">
        <v>471</v>
      </c>
      <c r="E295" s="132" t="s">
        <v>55</v>
      </c>
      <c r="F295" s="43" t="s">
        <v>709</v>
      </c>
      <c r="G295" s="82"/>
      <c r="H295" s="47">
        <v>-97.3</v>
      </c>
      <c r="I295" s="47">
        <v>338040.78</v>
      </c>
      <c r="J295" s="191"/>
      <c r="K295" s="192">
        <v>-1</v>
      </c>
      <c r="L295" s="47"/>
    </row>
    <row r="296" spans="1:12" s="104" customFormat="1" x14ac:dyDescent="0.2">
      <c r="A296" s="40" t="s">
        <v>53</v>
      </c>
      <c r="B296" s="131">
        <v>46112</v>
      </c>
      <c r="C296" s="43" t="s">
        <v>472</v>
      </c>
      <c r="D296" s="43" t="s">
        <v>473</v>
      </c>
      <c r="E296" s="132" t="s">
        <v>473</v>
      </c>
      <c r="F296" s="43" t="s">
        <v>24</v>
      </c>
      <c r="G296" s="82"/>
      <c r="H296" s="47">
        <v>-151798.66</v>
      </c>
      <c r="I296" s="47">
        <v>186242.12</v>
      </c>
      <c r="J296" s="191"/>
      <c r="K296" s="192">
        <v>-1</v>
      </c>
      <c r="L296" s="47"/>
    </row>
    <row r="297" spans="1:12" s="104" customFormat="1" x14ac:dyDescent="0.2">
      <c r="A297" s="40" t="s">
        <v>53</v>
      </c>
      <c r="B297" s="131">
        <v>46112</v>
      </c>
      <c r="C297" s="43" t="s">
        <v>472</v>
      </c>
      <c r="D297" s="43" t="s">
        <v>473</v>
      </c>
      <c r="E297" s="132" t="s">
        <v>473</v>
      </c>
      <c r="F297" s="43" t="s">
        <v>24</v>
      </c>
      <c r="G297" s="82"/>
      <c r="H297" s="47">
        <v>-240.83</v>
      </c>
      <c r="I297" s="47">
        <v>186001.29</v>
      </c>
      <c r="J297" s="191"/>
      <c r="K297" s="192">
        <v>-1</v>
      </c>
      <c r="L297" s="47"/>
    </row>
    <row r="298" spans="1:12" s="104" customFormat="1" x14ac:dyDescent="0.2">
      <c r="A298" s="40" t="s">
        <v>53</v>
      </c>
      <c r="B298" s="131">
        <v>46112</v>
      </c>
      <c r="C298" s="43" t="s">
        <v>474</v>
      </c>
      <c r="D298" s="43"/>
      <c r="E298" s="132" t="s">
        <v>516</v>
      </c>
      <c r="F298" s="43" t="s">
        <v>710</v>
      </c>
      <c r="G298" s="82">
        <v>49435.06</v>
      </c>
      <c r="H298" s="47"/>
      <c r="I298" s="47">
        <v>235436.35</v>
      </c>
      <c r="J298" s="191"/>
      <c r="K298" s="192">
        <v>1</v>
      </c>
      <c r="L298" s="47"/>
    </row>
    <row r="299" spans="1:12" s="104" customFormat="1" x14ac:dyDescent="0.2">
      <c r="A299" s="40" t="s">
        <v>53</v>
      </c>
      <c r="B299" s="131">
        <v>46112</v>
      </c>
      <c r="C299" s="43" t="s">
        <v>475</v>
      </c>
      <c r="D299" s="43" t="s">
        <v>58</v>
      </c>
      <c r="E299" s="132" t="s">
        <v>517</v>
      </c>
      <c r="F299" s="43" t="s">
        <v>711</v>
      </c>
      <c r="G299" s="82">
        <v>13466.4</v>
      </c>
      <c r="H299" s="47"/>
      <c r="I299" s="47">
        <v>248902.75</v>
      </c>
      <c r="J299" s="191"/>
      <c r="K299" s="192">
        <v>1</v>
      </c>
      <c r="L299" s="47"/>
    </row>
    <row r="300" spans="1:12" s="104" customFormat="1" x14ac:dyDescent="0.2">
      <c r="A300" s="40" t="s">
        <v>53</v>
      </c>
      <c r="B300" s="131">
        <v>46112</v>
      </c>
      <c r="C300" s="43" t="s">
        <v>475</v>
      </c>
      <c r="D300" s="43" t="s">
        <v>58</v>
      </c>
      <c r="E300" s="132" t="s">
        <v>517</v>
      </c>
      <c r="F300" s="43" t="s">
        <v>712</v>
      </c>
      <c r="G300" s="82">
        <v>7292.75</v>
      </c>
      <c r="H300" s="47"/>
      <c r="I300" s="47">
        <v>256195.5</v>
      </c>
      <c r="J300" s="191"/>
      <c r="K300" s="192">
        <v>1</v>
      </c>
      <c r="L300" s="47"/>
    </row>
    <row r="301" spans="1:12" s="104" customFormat="1" x14ac:dyDescent="0.2">
      <c r="A301" s="40" t="s">
        <v>53</v>
      </c>
      <c r="B301" s="131">
        <v>46112</v>
      </c>
      <c r="C301" s="43" t="s">
        <v>475</v>
      </c>
      <c r="D301" s="43" t="s">
        <v>58</v>
      </c>
      <c r="E301" s="132" t="s">
        <v>517</v>
      </c>
      <c r="F301" s="43" t="s">
        <v>713</v>
      </c>
      <c r="G301" s="82">
        <v>13664.27</v>
      </c>
      <c r="H301" s="47"/>
      <c r="I301" s="47">
        <v>269859.77</v>
      </c>
      <c r="J301" s="191"/>
      <c r="K301" s="192">
        <v>1</v>
      </c>
      <c r="L301" s="47"/>
    </row>
    <row r="302" spans="1:12" s="104" customFormat="1" x14ac:dyDescent="0.2">
      <c r="A302" s="40" t="s">
        <v>53</v>
      </c>
      <c r="B302" s="131">
        <v>46112</v>
      </c>
      <c r="C302" s="43" t="s">
        <v>475</v>
      </c>
      <c r="D302" s="43" t="s">
        <v>58</v>
      </c>
      <c r="E302" s="132" t="s">
        <v>517</v>
      </c>
      <c r="F302" s="43" t="s">
        <v>714</v>
      </c>
      <c r="G302" s="82">
        <v>1171</v>
      </c>
      <c r="H302" s="47"/>
      <c r="I302" s="47">
        <v>271030.77</v>
      </c>
      <c r="J302" s="191"/>
      <c r="K302" s="192">
        <v>1</v>
      </c>
      <c r="L302" s="47"/>
    </row>
    <row r="303" spans="1:12" s="104" customFormat="1" x14ac:dyDescent="0.2">
      <c r="A303" s="40" t="s">
        <v>53</v>
      </c>
      <c r="B303" s="131">
        <v>46112</v>
      </c>
      <c r="C303" s="43" t="s">
        <v>475</v>
      </c>
      <c r="D303" s="43" t="s">
        <v>58</v>
      </c>
      <c r="E303" s="132" t="s">
        <v>517</v>
      </c>
      <c r="F303" s="43" t="s">
        <v>715</v>
      </c>
      <c r="G303" s="82">
        <v>1994.98</v>
      </c>
      <c r="H303" s="47"/>
      <c r="I303" s="47">
        <v>273025.75</v>
      </c>
      <c r="J303" s="191"/>
      <c r="K303" s="192">
        <v>1</v>
      </c>
      <c r="L303" s="47"/>
    </row>
    <row r="304" spans="1:12" s="104" customFormat="1" x14ac:dyDescent="0.2">
      <c r="A304" s="40" t="s">
        <v>53</v>
      </c>
      <c r="B304" s="131">
        <v>46112</v>
      </c>
      <c r="C304" s="43" t="s">
        <v>475</v>
      </c>
      <c r="D304" s="43" t="s">
        <v>58</v>
      </c>
      <c r="E304" s="132" t="s">
        <v>517</v>
      </c>
      <c r="F304" s="43" t="s">
        <v>671</v>
      </c>
      <c r="G304" s="197">
        <v>388</v>
      </c>
      <c r="H304" s="47"/>
      <c r="I304" s="47">
        <v>273413.75</v>
      </c>
      <c r="J304" s="191" t="s">
        <v>197</v>
      </c>
      <c r="K304" s="192">
        <v>2</v>
      </c>
      <c r="L304" s="47"/>
    </row>
    <row r="305" spans="1:12" s="104" customFormat="1" x14ac:dyDescent="0.2">
      <c r="A305" s="40" t="s">
        <v>53</v>
      </c>
      <c r="B305" s="131">
        <v>46112</v>
      </c>
      <c r="C305" s="43" t="s">
        <v>475</v>
      </c>
      <c r="D305" s="43" t="s">
        <v>58</v>
      </c>
      <c r="E305" s="132" t="s">
        <v>517</v>
      </c>
      <c r="F305" s="43" t="s">
        <v>716</v>
      </c>
      <c r="G305" s="197">
        <v>3859.89</v>
      </c>
      <c r="H305" s="47"/>
      <c r="I305" s="47">
        <v>277273.64</v>
      </c>
      <c r="J305" s="191" t="s">
        <v>197</v>
      </c>
      <c r="K305" s="192">
        <v>2</v>
      </c>
      <c r="L305" s="47"/>
    </row>
    <row r="306" spans="1:12" s="104" customFormat="1" x14ac:dyDescent="0.2">
      <c r="A306" s="40" t="s">
        <v>53</v>
      </c>
      <c r="B306" s="131">
        <v>46112</v>
      </c>
      <c r="C306" s="43" t="s">
        <v>475</v>
      </c>
      <c r="D306" s="43" t="s">
        <v>58</v>
      </c>
      <c r="E306" s="132" t="s">
        <v>517</v>
      </c>
      <c r="F306" s="43" t="s">
        <v>717</v>
      </c>
      <c r="G306" s="197">
        <v>1994.96</v>
      </c>
      <c r="H306" s="47"/>
      <c r="I306" s="47">
        <v>279268.59999999998</v>
      </c>
      <c r="J306" s="191" t="s">
        <v>197</v>
      </c>
      <c r="K306" s="192">
        <v>2</v>
      </c>
      <c r="L306" s="47"/>
    </row>
    <row r="307" spans="1:12" s="104" customFormat="1" x14ac:dyDescent="0.2">
      <c r="A307" s="40" t="s">
        <v>53</v>
      </c>
      <c r="B307" s="131">
        <v>46112</v>
      </c>
      <c r="C307" s="43" t="s">
        <v>475</v>
      </c>
      <c r="D307" s="43" t="s">
        <v>58</v>
      </c>
      <c r="E307" s="132" t="s">
        <v>517</v>
      </c>
      <c r="F307" s="43" t="s">
        <v>718</v>
      </c>
      <c r="G307" s="82">
        <v>1800</v>
      </c>
      <c r="H307" s="47"/>
      <c r="I307" s="47">
        <v>281068.59999999998</v>
      </c>
      <c r="J307" s="191"/>
      <c r="K307" s="192">
        <v>1</v>
      </c>
      <c r="L307" s="47"/>
    </row>
    <row r="308" spans="1:12" s="104" customFormat="1" x14ac:dyDescent="0.2">
      <c r="A308" s="40" t="s">
        <v>53</v>
      </c>
      <c r="B308" s="131">
        <v>46112</v>
      </c>
      <c r="C308" s="43" t="s">
        <v>476</v>
      </c>
      <c r="D308" s="43" t="s">
        <v>477</v>
      </c>
      <c r="E308" s="132" t="s">
        <v>518</v>
      </c>
      <c r="F308" s="43" t="s">
        <v>518</v>
      </c>
      <c r="G308" s="82"/>
      <c r="H308" s="47">
        <v>-12356.33</v>
      </c>
      <c r="I308" s="47">
        <v>268712.27</v>
      </c>
      <c r="J308" s="191"/>
      <c r="K308" s="192">
        <v>-1</v>
      </c>
      <c r="L308" s="47"/>
    </row>
    <row r="309" spans="1:12" s="104" customFormat="1" x14ac:dyDescent="0.2">
      <c r="A309" s="40" t="s">
        <v>53</v>
      </c>
      <c r="B309" s="131">
        <v>46112</v>
      </c>
      <c r="C309" s="43" t="s">
        <v>478</v>
      </c>
      <c r="D309" s="43" t="s">
        <v>104</v>
      </c>
      <c r="E309" s="132" t="s">
        <v>104</v>
      </c>
      <c r="F309" s="43" t="s">
        <v>719</v>
      </c>
      <c r="G309" s="82">
        <v>48462.1</v>
      </c>
      <c r="H309" s="47"/>
      <c r="I309" s="47">
        <v>317174.37</v>
      </c>
      <c r="J309" s="21" t="s">
        <v>197</v>
      </c>
      <c r="K309" s="192">
        <v>2</v>
      </c>
      <c r="L309" s="47"/>
    </row>
    <row r="310" spans="1:12" s="104" customFormat="1" x14ac:dyDescent="0.2">
      <c r="A310" s="40" t="s">
        <v>53</v>
      </c>
      <c r="B310" s="131">
        <v>46112</v>
      </c>
      <c r="C310" s="43" t="s">
        <v>478</v>
      </c>
      <c r="D310" s="43" t="s">
        <v>104</v>
      </c>
      <c r="E310" s="132" t="s">
        <v>104</v>
      </c>
      <c r="F310" s="43" t="s">
        <v>720</v>
      </c>
      <c r="G310" s="82">
        <v>27420</v>
      </c>
      <c r="H310" s="47"/>
      <c r="I310" s="47">
        <v>344594.37</v>
      </c>
      <c r="J310" s="21" t="s">
        <v>197</v>
      </c>
      <c r="K310" s="192">
        <v>2</v>
      </c>
      <c r="L310" s="47"/>
    </row>
    <row r="311" spans="1:12" x14ac:dyDescent="0.2">
      <c r="C311" s="42"/>
      <c r="D311" s="42"/>
      <c r="E311" s="42"/>
      <c r="F311" s="44"/>
      <c r="G311" s="100">
        <v>591639.35</v>
      </c>
      <c r="H311" s="101">
        <v>349426.32</v>
      </c>
      <c r="I311" s="102">
        <v>344594.37</v>
      </c>
      <c r="J311" s="154"/>
    </row>
    <row r="312" spans="1:12" x14ac:dyDescent="0.2">
      <c r="G312" s="48"/>
      <c r="H312" s="48"/>
      <c r="I312" s="103"/>
      <c r="J312" s="155"/>
    </row>
    <row r="313" spans="1:12" x14ac:dyDescent="0.2">
      <c r="G313" s="49"/>
      <c r="H313" s="49"/>
      <c r="I313" s="49"/>
      <c r="J313" s="156"/>
    </row>
    <row r="314" spans="1:12" ht="13.5" thickBot="1" x14ac:dyDescent="0.25">
      <c r="F314" s="104">
        <v>1</v>
      </c>
      <c r="G314" s="50">
        <f>+SUMIF(K6:K310,1,G6:G310)+SUMIF(K6:K310,1,H6:H310)</f>
        <v>88824.459999999992</v>
      </c>
      <c r="H314" s="51" t="s">
        <v>38</v>
      </c>
      <c r="I314" s="47"/>
      <c r="J314" s="156"/>
    </row>
    <row r="315" spans="1:12" ht="13.5" thickTop="1" x14ac:dyDescent="0.2">
      <c r="G315" s="49"/>
      <c r="H315" s="51"/>
      <c r="I315" s="47"/>
      <c r="J315" s="156"/>
    </row>
    <row r="316" spans="1:12" ht="13.5" thickBot="1" x14ac:dyDescent="0.25">
      <c r="F316" s="104">
        <v>-1</v>
      </c>
      <c r="G316" s="50">
        <f>+SUMIF(K6:K310,-1,G6:G310)+SUMIF(K6:K310,-1,H6:H310)</f>
        <v>-172138.88999999998</v>
      </c>
      <c r="H316" s="51" t="s">
        <v>76</v>
      </c>
      <c r="I316" s="47"/>
      <c r="J316" s="156"/>
    </row>
    <row r="317" spans="1:12" ht="13.5" thickTop="1" x14ac:dyDescent="0.2">
      <c r="G317" s="45"/>
      <c r="H317" s="45"/>
    </row>
  </sheetData>
  <sortState xmlns:xlrd2="http://schemas.microsoft.com/office/spreadsheetml/2017/richdata2" ref="A6:K309">
    <sortCondition ref="B6:B309"/>
  </sortState>
  <mergeCells count="3">
    <mergeCell ref="B1:H1"/>
    <mergeCell ref="B2:I2"/>
    <mergeCell ref="B3:I3"/>
  </mergeCells>
  <pageMargins left="0.5" right="0.5" top="0" bottom="0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97"/>
  <sheetViews>
    <sheetView zoomScale="85" zoomScaleNormal="85" workbookViewId="0">
      <pane ySplit="2" topLeftCell="A3" activePane="bottomLeft" state="frozen"/>
      <selection activeCell="F44" sqref="F44"/>
      <selection pane="bottomLeft" activeCell="A3" sqref="A3"/>
    </sheetView>
  </sheetViews>
  <sheetFormatPr defaultColWidth="9.33203125" defaultRowHeight="12.75" x14ac:dyDescent="0.2"/>
  <cols>
    <col min="1" max="1" width="12" style="14" customWidth="1"/>
    <col min="2" max="2" width="12.6640625" style="14" bestFit="1" customWidth="1"/>
    <col min="3" max="3" width="12.5" style="14" bestFit="1" customWidth="1"/>
    <col min="4" max="4" width="19.5" style="14" customWidth="1"/>
    <col min="5" max="5" width="46.1640625" style="14" customWidth="1"/>
    <col min="6" max="6" width="48.83203125" style="22" customWidth="1"/>
    <col min="7" max="7" width="16.6640625" style="25" customWidth="1"/>
    <col min="8" max="8" width="15.5" style="14" customWidth="1"/>
    <col min="9" max="9" width="52.6640625" style="137" hidden="1" customWidth="1"/>
    <col min="10" max="10" width="12" style="18" bestFit="1" customWidth="1"/>
    <col min="11" max="11" width="10.33203125" style="18" bestFit="1" customWidth="1"/>
    <col min="12" max="16384" width="9.33203125" style="14"/>
  </cols>
  <sheetData>
    <row r="1" spans="1:13" x14ac:dyDescent="0.2">
      <c r="A1" s="128" t="s">
        <v>77</v>
      </c>
    </row>
    <row r="2" spans="1:13" x14ac:dyDescent="0.2">
      <c r="A2" s="112" t="s">
        <v>45</v>
      </c>
      <c r="B2" s="64" t="s">
        <v>28</v>
      </c>
      <c r="C2" s="64" t="s">
        <v>46</v>
      </c>
      <c r="D2" s="64" t="s">
        <v>47</v>
      </c>
      <c r="E2" s="113" t="s">
        <v>78</v>
      </c>
      <c r="F2" s="113" t="s">
        <v>48</v>
      </c>
      <c r="G2" s="114" t="s">
        <v>29</v>
      </c>
      <c r="H2" s="64" t="s">
        <v>79</v>
      </c>
    </row>
    <row r="3" spans="1:13" x14ac:dyDescent="0.2">
      <c r="A3" s="40" t="s">
        <v>53</v>
      </c>
      <c r="B3" s="21" t="s">
        <v>197</v>
      </c>
      <c r="C3" s="65"/>
      <c r="D3" s="26" t="s">
        <v>33</v>
      </c>
      <c r="E3" s="115"/>
      <c r="F3" s="115" t="s">
        <v>8</v>
      </c>
      <c r="G3" s="65">
        <v>-428548.32</v>
      </c>
      <c r="H3" s="25" t="s">
        <v>7</v>
      </c>
      <c r="I3" s="137" t="s">
        <v>721</v>
      </c>
      <c r="J3" s="21"/>
    </row>
    <row r="4" spans="1:13" ht="13.5" thickBot="1" x14ac:dyDescent="0.25">
      <c r="A4" s="40"/>
      <c r="B4" s="107"/>
      <c r="E4" s="23"/>
      <c r="F4" s="115"/>
      <c r="G4" s="120">
        <f>SUM(G3)</f>
        <v>-428548.32</v>
      </c>
      <c r="H4" s="25"/>
    </row>
    <row r="5" spans="1:13" ht="13.5" thickTop="1" x14ac:dyDescent="0.2">
      <c r="A5" s="40"/>
      <c r="B5" s="107"/>
      <c r="E5" s="23"/>
      <c r="G5" s="119"/>
      <c r="H5" s="25"/>
    </row>
    <row r="6" spans="1:13" x14ac:dyDescent="0.2">
      <c r="A6" s="15" t="s">
        <v>80</v>
      </c>
      <c r="B6" s="26"/>
      <c r="G6" s="187"/>
    </row>
    <row r="7" spans="1:13" x14ac:dyDescent="0.2">
      <c r="A7" s="112" t="s">
        <v>45</v>
      </c>
      <c r="B7" s="64" t="s">
        <v>28</v>
      </c>
      <c r="C7" s="64" t="s">
        <v>46</v>
      </c>
      <c r="D7" s="113" t="s">
        <v>47</v>
      </c>
      <c r="E7" s="113" t="s">
        <v>32</v>
      </c>
      <c r="F7" s="114" t="s">
        <v>48</v>
      </c>
      <c r="G7" s="114" t="s">
        <v>29</v>
      </c>
      <c r="H7" s="64" t="s">
        <v>79</v>
      </c>
      <c r="I7" s="138"/>
      <c r="J7" s="127"/>
      <c r="L7" s="27"/>
      <c r="M7" s="37"/>
    </row>
    <row r="8" spans="1:13" s="104" customFormat="1" x14ac:dyDescent="0.2">
      <c r="A8" s="40" t="s">
        <v>53</v>
      </c>
      <c r="B8" s="131">
        <v>46112</v>
      </c>
      <c r="C8" s="43" t="s">
        <v>474</v>
      </c>
      <c r="D8" s="43"/>
      <c r="E8" s="132" t="s">
        <v>516</v>
      </c>
      <c r="F8" s="43" t="s">
        <v>710</v>
      </c>
      <c r="G8" s="82">
        <v>49435.06</v>
      </c>
      <c r="H8" s="142" t="s">
        <v>15</v>
      </c>
      <c r="I8" s="137" t="s">
        <v>722</v>
      </c>
      <c r="J8" s="21"/>
      <c r="K8" s="40"/>
    </row>
    <row r="9" spans="1:13" s="104" customFormat="1" x14ac:dyDescent="0.2">
      <c r="A9" s="40" t="s">
        <v>53</v>
      </c>
      <c r="B9" s="131">
        <v>46112</v>
      </c>
      <c r="C9" s="43" t="s">
        <v>475</v>
      </c>
      <c r="D9" s="43" t="s">
        <v>58</v>
      </c>
      <c r="E9" s="132" t="s">
        <v>517</v>
      </c>
      <c r="F9" s="43" t="s">
        <v>711</v>
      </c>
      <c r="G9" s="82">
        <v>13466.4</v>
      </c>
      <c r="H9" s="142" t="s">
        <v>15</v>
      </c>
      <c r="I9" s="137" t="s">
        <v>724</v>
      </c>
      <c r="J9" s="21"/>
      <c r="K9" s="40"/>
    </row>
    <row r="10" spans="1:13" s="104" customFormat="1" x14ac:dyDescent="0.2">
      <c r="A10" s="40" t="s">
        <v>53</v>
      </c>
      <c r="B10" s="131">
        <v>46112</v>
      </c>
      <c r="C10" s="43" t="s">
        <v>475</v>
      </c>
      <c r="D10" s="43" t="s">
        <v>58</v>
      </c>
      <c r="E10" s="132" t="s">
        <v>517</v>
      </c>
      <c r="F10" s="43" t="s">
        <v>712</v>
      </c>
      <c r="G10" s="82">
        <v>7292.75</v>
      </c>
      <c r="H10" s="142" t="s">
        <v>15</v>
      </c>
      <c r="I10" s="137" t="s">
        <v>724</v>
      </c>
      <c r="J10" s="21"/>
      <c r="K10" s="40"/>
    </row>
    <row r="11" spans="1:13" s="104" customFormat="1" x14ac:dyDescent="0.2">
      <c r="A11" s="40" t="s">
        <v>53</v>
      </c>
      <c r="B11" s="131">
        <v>46112</v>
      </c>
      <c r="C11" s="43" t="s">
        <v>475</v>
      </c>
      <c r="D11" s="43" t="s">
        <v>58</v>
      </c>
      <c r="E11" s="132" t="s">
        <v>517</v>
      </c>
      <c r="F11" s="43" t="s">
        <v>713</v>
      </c>
      <c r="G11" s="82">
        <v>13664.27</v>
      </c>
      <c r="H11" s="142" t="s">
        <v>15</v>
      </c>
      <c r="I11" s="137" t="s">
        <v>724</v>
      </c>
      <c r="J11" s="21"/>
      <c r="K11" s="40"/>
    </row>
    <row r="12" spans="1:13" s="104" customFormat="1" x14ac:dyDescent="0.2">
      <c r="A12" s="40" t="s">
        <v>53</v>
      </c>
      <c r="B12" s="131">
        <v>46112</v>
      </c>
      <c r="C12" s="43" t="s">
        <v>475</v>
      </c>
      <c r="D12" s="43" t="s">
        <v>58</v>
      </c>
      <c r="E12" s="132" t="s">
        <v>517</v>
      </c>
      <c r="F12" s="43" t="s">
        <v>714</v>
      </c>
      <c r="G12" s="82">
        <v>1171</v>
      </c>
      <c r="H12" s="142" t="s">
        <v>15</v>
      </c>
      <c r="I12" s="137" t="s">
        <v>724</v>
      </c>
      <c r="J12" s="21"/>
      <c r="K12" s="40"/>
    </row>
    <row r="13" spans="1:13" s="104" customFormat="1" x14ac:dyDescent="0.2">
      <c r="A13" s="40" t="s">
        <v>53</v>
      </c>
      <c r="B13" s="131">
        <v>46112</v>
      </c>
      <c r="C13" s="43" t="s">
        <v>475</v>
      </c>
      <c r="D13" s="43" t="s">
        <v>58</v>
      </c>
      <c r="E13" s="132" t="s">
        <v>517</v>
      </c>
      <c r="F13" s="43" t="s">
        <v>715</v>
      </c>
      <c r="G13" s="82">
        <v>1994.98</v>
      </c>
      <c r="H13" s="142" t="s">
        <v>15</v>
      </c>
      <c r="I13" s="137" t="s">
        <v>724</v>
      </c>
      <c r="J13" s="21"/>
      <c r="K13" s="40"/>
    </row>
    <row r="14" spans="1:13" s="104" customFormat="1" x14ac:dyDescent="0.2">
      <c r="A14" s="40" t="s">
        <v>53</v>
      </c>
      <c r="B14" s="131">
        <v>46112</v>
      </c>
      <c r="C14" s="43" t="s">
        <v>475</v>
      </c>
      <c r="D14" s="43" t="s">
        <v>58</v>
      </c>
      <c r="E14" s="132" t="s">
        <v>517</v>
      </c>
      <c r="F14" s="43" t="s">
        <v>718</v>
      </c>
      <c r="G14" s="82">
        <v>1800</v>
      </c>
      <c r="H14" s="142" t="s">
        <v>15</v>
      </c>
      <c r="I14" s="137" t="s">
        <v>724</v>
      </c>
      <c r="J14" s="21"/>
      <c r="K14" s="40"/>
    </row>
    <row r="15" spans="1:13" ht="13.5" thickBot="1" x14ac:dyDescent="0.25">
      <c r="G15" s="129">
        <f>SUM(G8:G14)</f>
        <v>88824.459999999992</v>
      </c>
    </row>
    <row r="16" spans="1:13" ht="13.5" thickTop="1" x14ac:dyDescent="0.2"/>
    <row r="17" spans="1:11" s="104" customFormat="1" x14ac:dyDescent="0.2">
      <c r="A17" s="40" t="s">
        <v>53</v>
      </c>
      <c r="B17" s="131">
        <v>46055</v>
      </c>
      <c r="C17" s="43" t="s">
        <v>102</v>
      </c>
      <c r="D17" s="43" t="s">
        <v>103</v>
      </c>
      <c r="E17" s="132" t="s">
        <v>55</v>
      </c>
      <c r="F17" s="43" t="s">
        <v>83</v>
      </c>
      <c r="G17" s="47">
        <v>-639.52</v>
      </c>
      <c r="H17" s="25" t="s">
        <v>7</v>
      </c>
      <c r="I17" s="139" t="s">
        <v>725</v>
      </c>
      <c r="J17" s="40"/>
      <c r="K17" s="40"/>
    </row>
    <row r="18" spans="1:11" s="104" customFormat="1" x14ac:dyDescent="0.2">
      <c r="A18" s="40" t="s">
        <v>53</v>
      </c>
      <c r="B18" s="131">
        <v>46083</v>
      </c>
      <c r="C18" s="43" t="s">
        <v>340</v>
      </c>
      <c r="D18" s="43" t="s">
        <v>341</v>
      </c>
      <c r="E18" s="132" t="s">
        <v>55</v>
      </c>
      <c r="F18" s="43" t="s">
        <v>528</v>
      </c>
      <c r="G18" s="47">
        <v>-210.25</v>
      </c>
      <c r="H18" s="25" t="s">
        <v>7</v>
      </c>
      <c r="I18" s="226" t="s">
        <v>726</v>
      </c>
      <c r="J18" s="131"/>
      <c r="K18" s="40"/>
    </row>
    <row r="19" spans="1:11" s="104" customFormat="1" x14ac:dyDescent="0.2">
      <c r="A19" s="40" t="s">
        <v>53</v>
      </c>
      <c r="B19" s="131">
        <v>46083</v>
      </c>
      <c r="C19" s="43" t="s">
        <v>340</v>
      </c>
      <c r="D19" s="43" t="s">
        <v>341</v>
      </c>
      <c r="E19" s="132" t="s">
        <v>55</v>
      </c>
      <c r="F19" s="43" t="s">
        <v>529</v>
      </c>
      <c r="G19" s="47">
        <v>-164.45</v>
      </c>
      <c r="H19" s="25" t="s">
        <v>7</v>
      </c>
      <c r="I19" s="226"/>
      <c r="J19" s="131"/>
      <c r="K19" s="40"/>
    </row>
    <row r="20" spans="1:11" s="104" customFormat="1" x14ac:dyDescent="0.2">
      <c r="A20" s="40" t="s">
        <v>53</v>
      </c>
      <c r="B20" s="131">
        <v>46083</v>
      </c>
      <c r="C20" s="43" t="s">
        <v>340</v>
      </c>
      <c r="D20" s="43" t="s">
        <v>341</v>
      </c>
      <c r="E20" s="132" t="s">
        <v>55</v>
      </c>
      <c r="F20" s="43" t="s">
        <v>136</v>
      </c>
      <c r="G20" s="47">
        <v>-179.8</v>
      </c>
      <c r="H20" s="25" t="s">
        <v>7</v>
      </c>
      <c r="I20" s="226"/>
      <c r="J20" s="40"/>
      <c r="K20" s="40"/>
    </row>
    <row r="21" spans="1:11" s="104" customFormat="1" x14ac:dyDescent="0.2">
      <c r="A21" s="40" t="s">
        <v>53</v>
      </c>
      <c r="B21" s="131">
        <v>46090</v>
      </c>
      <c r="C21" s="43" t="s">
        <v>369</v>
      </c>
      <c r="D21" s="43" t="s">
        <v>370</v>
      </c>
      <c r="E21" s="132" t="s">
        <v>489</v>
      </c>
      <c r="F21" s="43" t="s">
        <v>572</v>
      </c>
      <c r="G21" s="47">
        <v>-928.7</v>
      </c>
      <c r="H21" s="25" t="s">
        <v>7</v>
      </c>
      <c r="I21" s="211" t="s">
        <v>727</v>
      </c>
      <c r="J21" s="40"/>
      <c r="K21" s="40"/>
    </row>
    <row r="22" spans="1:11" s="104" customFormat="1" x14ac:dyDescent="0.2">
      <c r="A22" s="40" t="s">
        <v>53</v>
      </c>
      <c r="B22" s="131">
        <v>46098</v>
      </c>
      <c r="C22" s="43" t="s">
        <v>411</v>
      </c>
      <c r="D22" s="43" t="s">
        <v>412</v>
      </c>
      <c r="E22" s="132" t="s">
        <v>501</v>
      </c>
      <c r="F22" s="43" t="s">
        <v>621</v>
      </c>
      <c r="G22" s="47">
        <v>-413.4</v>
      </c>
      <c r="H22" s="25" t="s">
        <v>7</v>
      </c>
      <c r="I22" s="139" t="s">
        <v>726</v>
      </c>
      <c r="J22" s="40"/>
      <c r="K22" s="40"/>
    </row>
    <row r="23" spans="1:11" s="104" customFormat="1" x14ac:dyDescent="0.2">
      <c r="A23" s="40" t="s">
        <v>53</v>
      </c>
      <c r="B23" s="131">
        <v>46100</v>
      </c>
      <c r="C23" s="43" t="s">
        <v>429</v>
      </c>
      <c r="D23" s="43" t="s">
        <v>430</v>
      </c>
      <c r="E23" s="132" t="s">
        <v>87</v>
      </c>
      <c r="F23" s="43" t="s">
        <v>642</v>
      </c>
      <c r="G23" s="47">
        <v>-100</v>
      </c>
      <c r="H23" s="25" t="s">
        <v>7</v>
      </c>
      <c r="I23" s="211" t="s">
        <v>726</v>
      </c>
      <c r="J23" s="40"/>
      <c r="K23" s="40"/>
    </row>
    <row r="24" spans="1:11" s="104" customFormat="1" x14ac:dyDescent="0.2">
      <c r="A24" s="40" t="s">
        <v>53</v>
      </c>
      <c r="B24" s="131">
        <v>46105</v>
      </c>
      <c r="C24" s="43" t="s">
        <v>448</v>
      </c>
      <c r="D24" s="43" t="s">
        <v>449</v>
      </c>
      <c r="E24" s="132" t="s">
        <v>88</v>
      </c>
      <c r="F24" s="43" t="s">
        <v>539</v>
      </c>
      <c r="G24" s="47">
        <v>-190.28</v>
      </c>
      <c r="H24" s="25" t="s">
        <v>7</v>
      </c>
      <c r="I24" s="226" t="s">
        <v>728</v>
      </c>
      <c r="J24" s="40"/>
      <c r="K24" s="40"/>
    </row>
    <row r="25" spans="1:11" s="104" customFormat="1" x14ac:dyDescent="0.2">
      <c r="A25" s="40" t="s">
        <v>53</v>
      </c>
      <c r="B25" s="131">
        <v>46105</v>
      </c>
      <c r="C25" s="43" t="s">
        <v>448</v>
      </c>
      <c r="D25" s="43" t="s">
        <v>449</v>
      </c>
      <c r="E25" s="132" t="s">
        <v>88</v>
      </c>
      <c r="F25" s="43" t="s">
        <v>540</v>
      </c>
      <c r="G25" s="47">
        <v>-212.6</v>
      </c>
      <c r="H25" s="25" t="s">
        <v>7</v>
      </c>
      <c r="I25" s="226"/>
      <c r="J25" s="40"/>
      <c r="K25" s="40"/>
    </row>
    <row r="26" spans="1:11" s="104" customFormat="1" x14ac:dyDescent="0.2">
      <c r="A26" s="40" t="s">
        <v>53</v>
      </c>
      <c r="B26" s="131">
        <v>46106</v>
      </c>
      <c r="C26" s="43" t="s">
        <v>451</v>
      </c>
      <c r="D26" s="43" t="s">
        <v>452</v>
      </c>
      <c r="E26" s="132" t="s">
        <v>510</v>
      </c>
      <c r="F26" s="43" t="s">
        <v>658</v>
      </c>
      <c r="G26" s="47">
        <v>-844.5</v>
      </c>
      <c r="H26" s="25" t="s">
        <v>7</v>
      </c>
      <c r="I26" s="211" t="s">
        <v>724</v>
      </c>
      <c r="J26" s="40"/>
      <c r="K26" s="40"/>
    </row>
    <row r="27" spans="1:11" s="104" customFormat="1" x14ac:dyDescent="0.2">
      <c r="A27" s="40" t="s">
        <v>53</v>
      </c>
      <c r="B27" s="131">
        <v>46108</v>
      </c>
      <c r="C27" s="43" t="s">
        <v>455</v>
      </c>
      <c r="D27" s="43" t="s">
        <v>456</v>
      </c>
      <c r="E27" s="132" t="s">
        <v>57</v>
      </c>
      <c r="F27" s="43" t="s">
        <v>663</v>
      </c>
      <c r="G27" s="47">
        <v>-78</v>
      </c>
      <c r="H27" s="25" t="s">
        <v>7</v>
      </c>
      <c r="I27" s="211" t="s">
        <v>727</v>
      </c>
      <c r="J27" s="40"/>
      <c r="K27" s="40"/>
    </row>
    <row r="28" spans="1:11" s="104" customFormat="1" x14ac:dyDescent="0.2">
      <c r="A28" s="40" t="s">
        <v>53</v>
      </c>
      <c r="B28" s="131">
        <v>46111</v>
      </c>
      <c r="C28" s="43" t="s">
        <v>465</v>
      </c>
      <c r="D28" s="43" t="s">
        <v>466</v>
      </c>
      <c r="E28" s="132" t="s">
        <v>57</v>
      </c>
      <c r="F28" s="43" t="s">
        <v>670</v>
      </c>
      <c r="G28" s="47">
        <v>-718.85</v>
      </c>
      <c r="H28" s="25" t="s">
        <v>7</v>
      </c>
      <c r="I28" s="211" t="s">
        <v>727</v>
      </c>
      <c r="J28" s="40"/>
      <c r="K28" s="40"/>
    </row>
    <row r="29" spans="1:11" s="104" customFormat="1" x14ac:dyDescent="0.2">
      <c r="A29" s="40" t="s">
        <v>53</v>
      </c>
      <c r="B29" s="131">
        <v>46112</v>
      </c>
      <c r="C29" s="43" t="s">
        <v>468</v>
      </c>
      <c r="D29" s="43" t="s">
        <v>469</v>
      </c>
      <c r="E29" s="132" t="s">
        <v>55</v>
      </c>
      <c r="F29" s="43"/>
      <c r="G29" s="47">
        <v>-12.12</v>
      </c>
      <c r="H29" s="25" t="s">
        <v>7</v>
      </c>
      <c r="I29" s="226" t="s">
        <v>724</v>
      </c>
      <c r="J29" s="40"/>
      <c r="K29" s="40"/>
    </row>
    <row r="30" spans="1:11" s="104" customFormat="1" x14ac:dyDescent="0.2">
      <c r="A30" s="40" t="s">
        <v>53</v>
      </c>
      <c r="B30" s="131">
        <v>46112</v>
      </c>
      <c r="C30" s="43" t="s">
        <v>470</v>
      </c>
      <c r="D30" s="43" t="s">
        <v>471</v>
      </c>
      <c r="E30" s="132" t="s">
        <v>55</v>
      </c>
      <c r="F30" s="43" t="s">
        <v>673</v>
      </c>
      <c r="G30" s="47">
        <v>-126.95</v>
      </c>
      <c r="H30" s="25" t="s">
        <v>7</v>
      </c>
      <c r="I30" s="226"/>
      <c r="J30" s="40"/>
      <c r="K30" s="40"/>
    </row>
    <row r="31" spans="1:11" s="104" customFormat="1" x14ac:dyDescent="0.2">
      <c r="A31" s="40" t="s">
        <v>53</v>
      </c>
      <c r="B31" s="131">
        <v>46112</v>
      </c>
      <c r="C31" s="43" t="s">
        <v>470</v>
      </c>
      <c r="D31" s="43" t="s">
        <v>471</v>
      </c>
      <c r="E31" s="132" t="s">
        <v>55</v>
      </c>
      <c r="F31" s="43" t="s">
        <v>674</v>
      </c>
      <c r="G31" s="47">
        <v>-427.04</v>
      </c>
      <c r="H31" s="25" t="s">
        <v>7</v>
      </c>
      <c r="I31" s="226"/>
      <c r="J31" s="40"/>
      <c r="K31" s="40"/>
    </row>
    <row r="32" spans="1:11" s="104" customFormat="1" x14ac:dyDescent="0.2">
      <c r="A32" s="40" t="s">
        <v>53</v>
      </c>
      <c r="B32" s="131">
        <v>46112</v>
      </c>
      <c r="C32" s="43" t="s">
        <v>470</v>
      </c>
      <c r="D32" s="43" t="s">
        <v>471</v>
      </c>
      <c r="E32" s="132" t="s">
        <v>55</v>
      </c>
      <c r="F32" s="43" t="s">
        <v>675</v>
      </c>
      <c r="G32" s="47">
        <v>-99.99</v>
      </c>
      <c r="H32" s="25" t="s">
        <v>7</v>
      </c>
      <c r="I32" s="226"/>
      <c r="J32" s="40"/>
      <c r="K32" s="40"/>
    </row>
    <row r="33" spans="1:11" s="104" customFormat="1" x14ac:dyDescent="0.2">
      <c r="A33" s="40" t="s">
        <v>53</v>
      </c>
      <c r="B33" s="131">
        <v>46112</v>
      </c>
      <c r="C33" s="43" t="s">
        <v>470</v>
      </c>
      <c r="D33" s="43" t="s">
        <v>471</v>
      </c>
      <c r="E33" s="132" t="s">
        <v>55</v>
      </c>
      <c r="F33" s="43" t="s">
        <v>676</v>
      </c>
      <c r="G33" s="47">
        <v>-59.58</v>
      </c>
      <c r="H33" s="25" t="s">
        <v>7</v>
      </c>
      <c r="I33" s="226"/>
      <c r="J33" s="40"/>
      <c r="K33" s="40"/>
    </row>
    <row r="34" spans="1:11" s="104" customFormat="1" x14ac:dyDescent="0.2">
      <c r="A34" s="40" t="s">
        <v>53</v>
      </c>
      <c r="B34" s="131">
        <v>46112</v>
      </c>
      <c r="C34" s="43" t="s">
        <v>470</v>
      </c>
      <c r="D34" s="43" t="s">
        <v>471</v>
      </c>
      <c r="E34" s="132" t="s">
        <v>55</v>
      </c>
      <c r="F34" s="43" t="s">
        <v>96</v>
      </c>
      <c r="G34" s="47">
        <v>-208.77</v>
      </c>
      <c r="H34" s="25" t="s">
        <v>7</v>
      </c>
      <c r="I34" s="226"/>
      <c r="J34" s="40"/>
      <c r="K34" s="40"/>
    </row>
    <row r="35" spans="1:11" s="104" customFormat="1" x14ac:dyDescent="0.2">
      <c r="A35" s="40" t="s">
        <v>53</v>
      </c>
      <c r="B35" s="131">
        <v>46112</v>
      </c>
      <c r="C35" s="43" t="s">
        <v>470</v>
      </c>
      <c r="D35" s="43" t="s">
        <v>471</v>
      </c>
      <c r="E35" s="132" t="s">
        <v>55</v>
      </c>
      <c r="F35" s="43" t="s">
        <v>677</v>
      </c>
      <c r="G35" s="47">
        <v>-50</v>
      </c>
      <c r="H35" s="25" t="s">
        <v>7</v>
      </c>
      <c r="I35" s="226"/>
      <c r="J35" s="40"/>
      <c r="K35" s="40"/>
    </row>
    <row r="36" spans="1:11" s="104" customFormat="1" x14ac:dyDescent="0.2">
      <c r="A36" s="40" t="s">
        <v>53</v>
      </c>
      <c r="B36" s="131">
        <v>46112</v>
      </c>
      <c r="C36" s="43" t="s">
        <v>470</v>
      </c>
      <c r="D36" s="43" t="s">
        <v>471</v>
      </c>
      <c r="E36" s="132" t="s">
        <v>55</v>
      </c>
      <c r="F36" s="43" t="s">
        <v>678</v>
      </c>
      <c r="G36" s="47">
        <v>-32.979999999999997</v>
      </c>
      <c r="H36" s="25" t="s">
        <v>7</v>
      </c>
      <c r="I36" s="226"/>
      <c r="J36" s="40"/>
      <c r="K36" s="40"/>
    </row>
    <row r="37" spans="1:11" s="104" customFormat="1" x14ac:dyDescent="0.2">
      <c r="A37" s="40" t="s">
        <v>53</v>
      </c>
      <c r="B37" s="131">
        <v>46112</v>
      </c>
      <c r="C37" s="43" t="s">
        <v>470</v>
      </c>
      <c r="D37" s="43" t="s">
        <v>471</v>
      </c>
      <c r="E37" s="132" t="s">
        <v>55</v>
      </c>
      <c r="F37" s="43" t="s">
        <v>679</v>
      </c>
      <c r="G37" s="47">
        <v>-69.44</v>
      </c>
      <c r="H37" s="25" t="s">
        <v>7</v>
      </c>
      <c r="I37" s="226"/>
      <c r="J37" s="40"/>
      <c r="K37" s="40"/>
    </row>
    <row r="38" spans="1:11" s="104" customFormat="1" x14ac:dyDescent="0.2">
      <c r="A38" s="40" t="s">
        <v>53</v>
      </c>
      <c r="B38" s="131">
        <v>46112</v>
      </c>
      <c r="C38" s="43" t="s">
        <v>470</v>
      </c>
      <c r="D38" s="43" t="s">
        <v>471</v>
      </c>
      <c r="E38" s="132" t="s">
        <v>55</v>
      </c>
      <c r="F38" s="43" t="s">
        <v>680</v>
      </c>
      <c r="G38" s="47">
        <v>-209.65</v>
      </c>
      <c r="H38" s="25" t="s">
        <v>7</v>
      </c>
      <c r="I38" s="226"/>
      <c r="J38" s="40"/>
      <c r="K38" s="40"/>
    </row>
    <row r="39" spans="1:11" s="104" customFormat="1" x14ac:dyDescent="0.2">
      <c r="A39" s="40" t="s">
        <v>53</v>
      </c>
      <c r="B39" s="131">
        <v>46112</v>
      </c>
      <c r="C39" s="43" t="s">
        <v>470</v>
      </c>
      <c r="D39" s="43" t="s">
        <v>471</v>
      </c>
      <c r="E39" s="132" t="s">
        <v>55</v>
      </c>
      <c r="F39" s="43" t="s">
        <v>681</v>
      </c>
      <c r="G39" s="47">
        <v>-19.989999999999998</v>
      </c>
      <c r="H39" s="25" t="s">
        <v>7</v>
      </c>
      <c r="I39" s="226"/>
      <c r="J39" s="40"/>
      <c r="K39" s="40"/>
    </row>
    <row r="40" spans="1:11" s="104" customFormat="1" x14ac:dyDescent="0.2">
      <c r="A40" s="40" t="s">
        <v>53</v>
      </c>
      <c r="B40" s="131">
        <v>46112</v>
      </c>
      <c r="C40" s="43" t="s">
        <v>470</v>
      </c>
      <c r="D40" s="43" t="s">
        <v>471</v>
      </c>
      <c r="E40" s="132" t="s">
        <v>55</v>
      </c>
      <c r="F40" s="43" t="s">
        <v>681</v>
      </c>
      <c r="G40" s="47">
        <v>-45.6</v>
      </c>
      <c r="H40" s="25" t="s">
        <v>7</v>
      </c>
      <c r="I40" s="226"/>
      <c r="J40" s="40"/>
      <c r="K40" s="40"/>
    </row>
    <row r="41" spans="1:11" s="104" customFormat="1" x14ac:dyDescent="0.2">
      <c r="A41" s="40" t="s">
        <v>53</v>
      </c>
      <c r="B41" s="131">
        <v>46112</v>
      </c>
      <c r="C41" s="43" t="s">
        <v>470</v>
      </c>
      <c r="D41" s="43" t="s">
        <v>471</v>
      </c>
      <c r="E41" s="132" t="s">
        <v>55</v>
      </c>
      <c r="F41" s="43" t="s">
        <v>95</v>
      </c>
      <c r="G41" s="47">
        <v>-34.47</v>
      </c>
      <c r="H41" s="25" t="s">
        <v>7</v>
      </c>
      <c r="I41" s="226"/>
      <c r="J41" s="40"/>
      <c r="K41" s="40"/>
    </row>
    <row r="42" spans="1:11" s="104" customFormat="1" x14ac:dyDescent="0.2">
      <c r="A42" s="40" t="s">
        <v>53</v>
      </c>
      <c r="B42" s="131">
        <v>46112</v>
      </c>
      <c r="C42" s="43" t="s">
        <v>470</v>
      </c>
      <c r="D42" s="43" t="s">
        <v>471</v>
      </c>
      <c r="E42" s="132" t="s">
        <v>55</v>
      </c>
      <c r="F42" s="43" t="s">
        <v>95</v>
      </c>
      <c r="G42" s="47">
        <v>-34.950000000000003</v>
      </c>
      <c r="H42" s="25" t="s">
        <v>7</v>
      </c>
      <c r="I42" s="226"/>
      <c r="J42" s="40"/>
      <c r="K42" s="40"/>
    </row>
    <row r="43" spans="1:11" s="104" customFormat="1" x14ac:dyDescent="0.2">
      <c r="A43" s="40" t="s">
        <v>53</v>
      </c>
      <c r="B43" s="131">
        <v>46112</v>
      </c>
      <c r="C43" s="43" t="s">
        <v>470</v>
      </c>
      <c r="D43" s="43" t="s">
        <v>471</v>
      </c>
      <c r="E43" s="132" t="s">
        <v>55</v>
      </c>
      <c r="F43" s="43" t="s">
        <v>682</v>
      </c>
      <c r="G43" s="47">
        <v>-64.44</v>
      </c>
      <c r="H43" s="25" t="s">
        <v>7</v>
      </c>
      <c r="I43" s="226"/>
      <c r="J43" s="40"/>
      <c r="K43" s="40"/>
    </row>
    <row r="44" spans="1:11" s="104" customFormat="1" x14ac:dyDescent="0.2">
      <c r="A44" s="40" t="s">
        <v>53</v>
      </c>
      <c r="B44" s="131">
        <v>46112</v>
      </c>
      <c r="C44" s="43" t="s">
        <v>470</v>
      </c>
      <c r="D44" s="43" t="s">
        <v>471</v>
      </c>
      <c r="E44" s="132" t="s">
        <v>55</v>
      </c>
      <c r="F44" s="43" t="s">
        <v>683</v>
      </c>
      <c r="G44" s="47">
        <v>-13.95</v>
      </c>
      <c r="H44" s="25" t="s">
        <v>7</v>
      </c>
      <c r="I44" s="226"/>
      <c r="J44" s="40"/>
      <c r="K44" s="40"/>
    </row>
    <row r="45" spans="1:11" s="104" customFormat="1" x14ac:dyDescent="0.2">
      <c r="A45" s="40" t="s">
        <v>53</v>
      </c>
      <c r="B45" s="131">
        <v>46112</v>
      </c>
      <c r="C45" s="43" t="s">
        <v>470</v>
      </c>
      <c r="D45" s="43" t="s">
        <v>471</v>
      </c>
      <c r="E45" s="132" t="s">
        <v>55</v>
      </c>
      <c r="F45" s="43" t="s">
        <v>684</v>
      </c>
      <c r="G45" s="47">
        <v>-5.3</v>
      </c>
      <c r="H45" s="25" t="s">
        <v>7</v>
      </c>
      <c r="I45" s="226"/>
      <c r="J45" s="40"/>
      <c r="K45" s="40"/>
    </row>
    <row r="46" spans="1:11" s="104" customFormat="1" x14ac:dyDescent="0.2">
      <c r="A46" s="40" t="s">
        <v>53</v>
      </c>
      <c r="B46" s="131">
        <v>46112</v>
      </c>
      <c r="C46" s="43" t="s">
        <v>470</v>
      </c>
      <c r="D46" s="43" t="s">
        <v>471</v>
      </c>
      <c r="E46" s="132" t="s">
        <v>55</v>
      </c>
      <c r="F46" s="43" t="s">
        <v>685</v>
      </c>
      <c r="G46" s="47">
        <v>-2.4</v>
      </c>
      <c r="H46" s="25" t="s">
        <v>7</v>
      </c>
      <c r="I46" s="226"/>
      <c r="J46" s="40"/>
      <c r="K46" s="40"/>
    </row>
    <row r="47" spans="1:11" s="104" customFormat="1" x14ac:dyDescent="0.2">
      <c r="A47" s="40" t="s">
        <v>53</v>
      </c>
      <c r="B47" s="131">
        <v>46112</v>
      </c>
      <c r="C47" s="43" t="s">
        <v>470</v>
      </c>
      <c r="D47" s="43" t="s">
        <v>471</v>
      </c>
      <c r="E47" s="132" t="s">
        <v>55</v>
      </c>
      <c r="F47" s="43" t="s">
        <v>686</v>
      </c>
      <c r="G47" s="47">
        <v>-2.72</v>
      </c>
      <c r="H47" s="25" t="s">
        <v>7</v>
      </c>
      <c r="I47" s="226"/>
      <c r="J47" s="40"/>
      <c r="K47" s="40"/>
    </row>
    <row r="48" spans="1:11" s="104" customFormat="1" x14ac:dyDescent="0.2">
      <c r="A48" s="40" t="s">
        <v>53</v>
      </c>
      <c r="B48" s="131">
        <v>46112</v>
      </c>
      <c r="C48" s="43" t="s">
        <v>470</v>
      </c>
      <c r="D48" s="43" t="s">
        <v>471</v>
      </c>
      <c r="E48" s="132" t="s">
        <v>55</v>
      </c>
      <c r="F48" s="43" t="s">
        <v>687</v>
      </c>
      <c r="G48" s="47">
        <v>-49.97</v>
      </c>
      <c r="H48" s="25" t="s">
        <v>7</v>
      </c>
      <c r="I48" s="226"/>
      <c r="J48" s="40"/>
      <c r="K48" s="40"/>
    </row>
    <row r="49" spans="1:11" s="104" customFormat="1" x14ac:dyDescent="0.2">
      <c r="A49" s="40" t="s">
        <v>53</v>
      </c>
      <c r="B49" s="131">
        <v>46112</v>
      </c>
      <c r="C49" s="43" t="s">
        <v>470</v>
      </c>
      <c r="D49" s="43" t="s">
        <v>471</v>
      </c>
      <c r="E49" s="132" t="s">
        <v>55</v>
      </c>
      <c r="F49" s="43" t="s">
        <v>688</v>
      </c>
      <c r="G49" s="47">
        <v>-50</v>
      </c>
      <c r="H49" s="25" t="s">
        <v>7</v>
      </c>
      <c r="I49" s="226"/>
      <c r="J49" s="40"/>
      <c r="K49" s="40"/>
    </row>
    <row r="50" spans="1:11" s="104" customFormat="1" x14ac:dyDescent="0.2">
      <c r="A50" s="40" t="s">
        <v>53</v>
      </c>
      <c r="B50" s="131">
        <v>46112</v>
      </c>
      <c r="C50" s="43" t="s">
        <v>470</v>
      </c>
      <c r="D50" s="43" t="s">
        <v>471</v>
      </c>
      <c r="E50" s="132" t="s">
        <v>55</v>
      </c>
      <c r="F50" s="43" t="s">
        <v>71</v>
      </c>
      <c r="G50" s="47">
        <v>-7.5</v>
      </c>
      <c r="H50" s="25" t="s">
        <v>7</v>
      </c>
      <c r="I50" s="226"/>
      <c r="J50" s="40"/>
      <c r="K50" s="40"/>
    </row>
    <row r="51" spans="1:11" s="104" customFormat="1" x14ac:dyDescent="0.2">
      <c r="A51" s="40" t="s">
        <v>53</v>
      </c>
      <c r="B51" s="131">
        <v>46112</v>
      </c>
      <c r="C51" s="43" t="s">
        <v>470</v>
      </c>
      <c r="D51" s="43" t="s">
        <v>471</v>
      </c>
      <c r="E51" s="132" t="s">
        <v>55</v>
      </c>
      <c r="F51" s="43" t="s">
        <v>71</v>
      </c>
      <c r="G51" s="47">
        <v>-7.5</v>
      </c>
      <c r="H51" s="25" t="s">
        <v>7</v>
      </c>
      <c r="I51" s="226"/>
      <c r="J51" s="40"/>
      <c r="K51" s="40"/>
    </row>
    <row r="52" spans="1:11" s="104" customFormat="1" x14ac:dyDescent="0.2">
      <c r="A52" s="40" t="s">
        <v>53</v>
      </c>
      <c r="B52" s="131">
        <v>46112</v>
      </c>
      <c r="C52" s="43" t="s">
        <v>470</v>
      </c>
      <c r="D52" s="43" t="s">
        <v>471</v>
      </c>
      <c r="E52" s="132" t="s">
        <v>55</v>
      </c>
      <c r="F52" s="43" t="s">
        <v>71</v>
      </c>
      <c r="G52" s="47">
        <v>-7.5</v>
      </c>
      <c r="H52" s="25" t="s">
        <v>7</v>
      </c>
      <c r="I52" s="226"/>
      <c r="J52" s="40"/>
      <c r="K52" s="40"/>
    </row>
    <row r="53" spans="1:11" s="104" customFormat="1" x14ac:dyDescent="0.2">
      <c r="A53" s="40" t="s">
        <v>53</v>
      </c>
      <c r="B53" s="131">
        <v>46112</v>
      </c>
      <c r="C53" s="43" t="s">
        <v>470</v>
      </c>
      <c r="D53" s="43" t="s">
        <v>471</v>
      </c>
      <c r="E53" s="132" t="s">
        <v>55</v>
      </c>
      <c r="F53" s="43" t="s">
        <v>71</v>
      </c>
      <c r="G53" s="47">
        <v>-8</v>
      </c>
      <c r="H53" s="25" t="s">
        <v>7</v>
      </c>
      <c r="I53" s="226"/>
      <c r="J53" s="40"/>
      <c r="K53" s="40"/>
    </row>
    <row r="54" spans="1:11" s="104" customFormat="1" x14ac:dyDescent="0.2">
      <c r="A54" s="40" t="s">
        <v>53</v>
      </c>
      <c r="B54" s="131">
        <v>46112</v>
      </c>
      <c r="C54" s="43" t="s">
        <v>470</v>
      </c>
      <c r="D54" s="43" t="s">
        <v>471</v>
      </c>
      <c r="E54" s="132" t="s">
        <v>55</v>
      </c>
      <c r="F54" s="43" t="s">
        <v>71</v>
      </c>
      <c r="G54" s="47">
        <v>-8</v>
      </c>
      <c r="H54" s="25" t="s">
        <v>7</v>
      </c>
      <c r="I54" s="226"/>
      <c r="J54" s="40"/>
      <c r="K54" s="40"/>
    </row>
    <row r="55" spans="1:11" s="104" customFormat="1" x14ac:dyDescent="0.2">
      <c r="A55" s="40" t="s">
        <v>53</v>
      </c>
      <c r="B55" s="131">
        <v>46112</v>
      </c>
      <c r="C55" s="43" t="s">
        <v>470</v>
      </c>
      <c r="D55" s="43" t="s">
        <v>471</v>
      </c>
      <c r="E55" s="132" t="s">
        <v>55</v>
      </c>
      <c r="F55" s="43" t="s">
        <v>689</v>
      </c>
      <c r="G55" s="47">
        <v>-20</v>
      </c>
      <c r="H55" s="25" t="s">
        <v>7</v>
      </c>
      <c r="I55" s="226"/>
      <c r="J55" s="40"/>
      <c r="K55" s="40"/>
    </row>
    <row r="56" spans="1:11" s="104" customFormat="1" x14ac:dyDescent="0.2">
      <c r="A56" s="40" t="s">
        <v>53</v>
      </c>
      <c r="B56" s="131">
        <v>46112</v>
      </c>
      <c r="C56" s="43" t="s">
        <v>470</v>
      </c>
      <c r="D56" s="43" t="s">
        <v>471</v>
      </c>
      <c r="E56" s="132" t="s">
        <v>55</v>
      </c>
      <c r="F56" s="43" t="s">
        <v>690</v>
      </c>
      <c r="G56" s="47">
        <v>-10</v>
      </c>
      <c r="H56" s="25" t="s">
        <v>7</v>
      </c>
      <c r="I56" s="226"/>
      <c r="J56" s="40"/>
      <c r="K56" s="40"/>
    </row>
    <row r="57" spans="1:11" s="104" customFormat="1" x14ac:dyDescent="0.2">
      <c r="A57" s="40" t="s">
        <v>53</v>
      </c>
      <c r="B57" s="131">
        <v>46112</v>
      </c>
      <c r="C57" s="43" t="s">
        <v>470</v>
      </c>
      <c r="D57" s="43" t="s">
        <v>471</v>
      </c>
      <c r="E57" s="132" t="s">
        <v>55</v>
      </c>
      <c r="F57" s="43" t="s">
        <v>691</v>
      </c>
      <c r="G57" s="47">
        <v>-22.99</v>
      </c>
      <c r="H57" s="25" t="s">
        <v>7</v>
      </c>
      <c r="I57" s="226"/>
      <c r="J57" s="40"/>
      <c r="K57" s="40"/>
    </row>
    <row r="58" spans="1:11" s="104" customFormat="1" x14ac:dyDescent="0.2">
      <c r="A58" s="40" t="s">
        <v>53</v>
      </c>
      <c r="B58" s="131">
        <v>46112</v>
      </c>
      <c r="C58" s="43" t="s">
        <v>470</v>
      </c>
      <c r="D58" s="43" t="s">
        <v>471</v>
      </c>
      <c r="E58" s="132" t="s">
        <v>55</v>
      </c>
      <c r="F58" s="43" t="s">
        <v>692</v>
      </c>
      <c r="G58" s="47">
        <v>-45.98</v>
      </c>
      <c r="H58" s="25" t="s">
        <v>7</v>
      </c>
      <c r="I58" s="226"/>
      <c r="J58" s="40"/>
      <c r="K58" s="40"/>
    </row>
    <row r="59" spans="1:11" s="104" customFormat="1" x14ac:dyDescent="0.2">
      <c r="A59" s="40" t="s">
        <v>53</v>
      </c>
      <c r="B59" s="131">
        <v>46112</v>
      </c>
      <c r="C59" s="43" t="s">
        <v>470</v>
      </c>
      <c r="D59" s="43" t="s">
        <v>471</v>
      </c>
      <c r="E59" s="132" t="s">
        <v>55</v>
      </c>
      <c r="F59" s="43" t="s">
        <v>693</v>
      </c>
      <c r="G59" s="47">
        <v>-157.03</v>
      </c>
      <c r="H59" s="25" t="s">
        <v>7</v>
      </c>
      <c r="I59" s="226"/>
      <c r="J59" s="40"/>
      <c r="K59" s="40"/>
    </row>
    <row r="60" spans="1:11" s="104" customFormat="1" x14ac:dyDescent="0.2">
      <c r="A60" s="40" t="s">
        <v>53</v>
      </c>
      <c r="B60" s="131">
        <v>46112</v>
      </c>
      <c r="C60" s="43" t="s">
        <v>470</v>
      </c>
      <c r="D60" s="43" t="s">
        <v>471</v>
      </c>
      <c r="E60" s="132" t="s">
        <v>55</v>
      </c>
      <c r="F60" s="43" t="s">
        <v>694</v>
      </c>
      <c r="G60" s="47">
        <v>-74.98</v>
      </c>
      <c r="H60" s="25" t="s">
        <v>7</v>
      </c>
      <c r="I60" s="226"/>
      <c r="J60" s="40"/>
      <c r="K60" s="40"/>
    </row>
    <row r="61" spans="1:11" s="104" customFormat="1" x14ac:dyDescent="0.2">
      <c r="A61" s="40" t="s">
        <v>53</v>
      </c>
      <c r="B61" s="131">
        <v>46112</v>
      </c>
      <c r="C61" s="43" t="s">
        <v>470</v>
      </c>
      <c r="D61" s="43" t="s">
        <v>471</v>
      </c>
      <c r="E61" s="132" t="s">
        <v>55</v>
      </c>
      <c r="F61" s="43" t="s">
        <v>695</v>
      </c>
      <c r="G61" s="47">
        <v>-12.99</v>
      </c>
      <c r="H61" s="25" t="s">
        <v>7</v>
      </c>
      <c r="I61" s="226"/>
      <c r="J61" s="40"/>
      <c r="K61" s="40"/>
    </row>
    <row r="62" spans="1:11" s="104" customFormat="1" x14ac:dyDescent="0.2">
      <c r="A62" s="40" t="s">
        <v>53</v>
      </c>
      <c r="B62" s="131">
        <v>46112</v>
      </c>
      <c r="C62" s="43" t="s">
        <v>470</v>
      </c>
      <c r="D62" s="43" t="s">
        <v>471</v>
      </c>
      <c r="E62" s="132" t="s">
        <v>55</v>
      </c>
      <c r="F62" s="43" t="s">
        <v>696</v>
      </c>
      <c r="G62" s="47">
        <v>-155.72999999999999</v>
      </c>
      <c r="H62" s="25" t="s">
        <v>7</v>
      </c>
      <c r="I62" s="226"/>
      <c r="J62" s="40"/>
      <c r="K62" s="40"/>
    </row>
    <row r="63" spans="1:11" s="104" customFormat="1" x14ac:dyDescent="0.2">
      <c r="A63" s="40" t="s">
        <v>53</v>
      </c>
      <c r="B63" s="131">
        <v>46112</v>
      </c>
      <c r="C63" s="43" t="s">
        <v>470</v>
      </c>
      <c r="D63" s="43" t="s">
        <v>471</v>
      </c>
      <c r="E63" s="132" t="s">
        <v>55</v>
      </c>
      <c r="F63" s="43" t="s">
        <v>697</v>
      </c>
      <c r="G63" s="47">
        <v>-16.47</v>
      </c>
      <c r="H63" s="25" t="s">
        <v>7</v>
      </c>
      <c r="I63" s="226"/>
      <c r="J63" s="40"/>
      <c r="K63" s="40"/>
    </row>
    <row r="64" spans="1:11" s="104" customFormat="1" x14ac:dyDescent="0.2">
      <c r="A64" s="40" t="s">
        <v>53</v>
      </c>
      <c r="B64" s="131">
        <v>46112</v>
      </c>
      <c r="C64" s="43" t="s">
        <v>470</v>
      </c>
      <c r="D64" s="43" t="s">
        <v>471</v>
      </c>
      <c r="E64" s="132" t="s">
        <v>55</v>
      </c>
      <c r="F64" s="43" t="s">
        <v>698</v>
      </c>
      <c r="G64" s="47">
        <v>-138.16</v>
      </c>
      <c r="H64" s="25" t="s">
        <v>7</v>
      </c>
      <c r="I64" s="226"/>
      <c r="J64" s="40"/>
      <c r="K64" s="40"/>
    </row>
    <row r="65" spans="1:11" s="104" customFormat="1" x14ac:dyDescent="0.2">
      <c r="A65" s="40" t="s">
        <v>53</v>
      </c>
      <c r="B65" s="131">
        <v>46112</v>
      </c>
      <c r="C65" s="43" t="s">
        <v>470</v>
      </c>
      <c r="D65" s="43" t="s">
        <v>471</v>
      </c>
      <c r="E65" s="132" t="s">
        <v>55</v>
      </c>
      <c r="F65" s="43" t="s">
        <v>699</v>
      </c>
      <c r="G65" s="47">
        <v>-162.93</v>
      </c>
      <c r="H65" s="25" t="s">
        <v>7</v>
      </c>
      <c r="I65" s="226"/>
      <c r="J65" s="40"/>
      <c r="K65" s="40"/>
    </row>
    <row r="66" spans="1:11" s="104" customFormat="1" x14ac:dyDescent="0.2">
      <c r="A66" s="40" t="s">
        <v>53</v>
      </c>
      <c r="B66" s="131">
        <v>46112</v>
      </c>
      <c r="C66" s="43" t="s">
        <v>470</v>
      </c>
      <c r="D66" s="43" t="s">
        <v>471</v>
      </c>
      <c r="E66" s="132" t="s">
        <v>55</v>
      </c>
      <c r="F66" s="43" t="s">
        <v>699</v>
      </c>
      <c r="G66" s="47">
        <v>-154.63999999999999</v>
      </c>
      <c r="H66" s="25" t="s">
        <v>7</v>
      </c>
      <c r="I66" s="226"/>
      <c r="J66" s="40"/>
      <c r="K66" s="40"/>
    </row>
    <row r="67" spans="1:11" s="104" customFormat="1" x14ac:dyDescent="0.2">
      <c r="A67" s="40" t="s">
        <v>53</v>
      </c>
      <c r="B67" s="131">
        <v>46112</v>
      </c>
      <c r="C67" s="43" t="s">
        <v>470</v>
      </c>
      <c r="D67" s="43" t="s">
        <v>471</v>
      </c>
      <c r="E67" s="132" t="s">
        <v>55</v>
      </c>
      <c r="F67" s="43" t="s">
        <v>696</v>
      </c>
      <c r="G67" s="47">
        <v>-98.39</v>
      </c>
      <c r="H67" s="25" t="s">
        <v>7</v>
      </c>
      <c r="I67" s="226"/>
      <c r="J67" s="40"/>
      <c r="K67" s="40"/>
    </row>
    <row r="68" spans="1:11" s="104" customFormat="1" x14ac:dyDescent="0.2">
      <c r="A68" s="40" t="s">
        <v>53</v>
      </c>
      <c r="B68" s="131">
        <v>46112</v>
      </c>
      <c r="C68" s="43" t="s">
        <v>470</v>
      </c>
      <c r="D68" s="43" t="s">
        <v>471</v>
      </c>
      <c r="E68" s="132" t="s">
        <v>55</v>
      </c>
      <c r="F68" s="43" t="s">
        <v>696</v>
      </c>
      <c r="G68" s="47">
        <v>-124.74</v>
      </c>
      <c r="H68" s="25" t="s">
        <v>7</v>
      </c>
      <c r="I68" s="226"/>
      <c r="J68" s="40"/>
      <c r="K68" s="40"/>
    </row>
    <row r="69" spans="1:11" s="104" customFormat="1" x14ac:dyDescent="0.2">
      <c r="A69" s="40" t="s">
        <v>53</v>
      </c>
      <c r="B69" s="131">
        <v>46112</v>
      </c>
      <c r="C69" s="43" t="s">
        <v>470</v>
      </c>
      <c r="D69" s="43" t="s">
        <v>471</v>
      </c>
      <c r="E69" s="132" t="s">
        <v>55</v>
      </c>
      <c r="F69" s="43" t="s">
        <v>72</v>
      </c>
      <c r="G69" s="47">
        <v>-71.78</v>
      </c>
      <c r="H69" s="25" t="s">
        <v>7</v>
      </c>
      <c r="I69" s="226"/>
      <c r="J69" s="40"/>
      <c r="K69" s="40"/>
    </row>
    <row r="70" spans="1:11" s="104" customFormat="1" x14ac:dyDescent="0.2">
      <c r="A70" s="40" t="s">
        <v>53</v>
      </c>
      <c r="B70" s="131">
        <v>46112</v>
      </c>
      <c r="C70" s="43" t="s">
        <v>470</v>
      </c>
      <c r="D70" s="43" t="s">
        <v>471</v>
      </c>
      <c r="E70" s="132" t="s">
        <v>55</v>
      </c>
      <c r="F70" s="43" t="s">
        <v>72</v>
      </c>
      <c r="G70" s="47">
        <v>-69.59</v>
      </c>
      <c r="H70" s="25" t="s">
        <v>7</v>
      </c>
      <c r="I70" s="226"/>
      <c r="J70" s="40"/>
      <c r="K70" s="40"/>
    </row>
    <row r="71" spans="1:11" s="104" customFormat="1" x14ac:dyDescent="0.2">
      <c r="A71" s="40" t="s">
        <v>53</v>
      </c>
      <c r="B71" s="131">
        <v>46112</v>
      </c>
      <c r="C71" s="43" t="s">
        <v>470</v>
      </c>
      <c r="D71" s="43" t="s">
        <v>471</v>
      </c>
      <c r="E71" s="132" t="s">
        <v>55</v>
      </c>
      <c r="F71" s="43" t="s">
        <v>72</v>
      </c>
      <c r="G71" s="47">
        <v>-74.63</v>
      </c>
      <c r="H71" s="25" t="s">
        <v>7</v>
      </c>
      <c r="I71" s="226"/>
      <c r="J71" s="40"/>
      <c r="K71" s="40"/>
    </row>
    <row r="72" spans="1:11" s="104" customFormat="1" x14ac:dyDescent="0.2">
      <c r="A72" s="40" t="s">
        <v>53</v>
      </c>
      <c r="B72" s="131">
        <v>46112</v>
      </c>
      <c r="C72" s="43" t="s">
        <v>470</v>
      </c>
      <c r="D72" s="43" t="s">
        <v>471</v>
      </c>
      <c r="E72" s="132" t="s">
        <v>55</v>
      </c>
      <c r="F72" s="43" t="s">
        <v>72</v>
      </c>
      <c r="G72" s="47">
        <v>-52.5</v>
      </c>
      <c r="H72" s="25" t="s">
        <v>7</v>
      </c>
      <c r="I72" s="226"/>
      <c r="J72" s="40"/>
      <c r="K72" s="40"/>
    </row>
    <row r="73" spans="1:11" s="104" customFormat="1" x14ac:dyDescent="0.2">
      <c r="A73" s="40" t="s">
        <v>53</v>
      </c>
      <c r="B73" s="131">
        <v>46112</v>
      </c>
      <c r="C73" s="43" t="s">
        <v>470</v>
      </c>
      <c r="D73" s="43" t="s">
        <v>471</v>
      </c>
      <c r="E73" s="132" t="s">
        <v>55</v>
      </c>
      <c r="F73" s="43" t="s">
        <v>72</v>
      </c>
      <c r="G73" s="47">
        <v>-52.58</v>
      </c>
      <c r="H73" s="25" t="s">
        <v>7</v>
      </c>
      <c r="I73" s="226"/>
      <c r="J73" s="40"/>
      <c r="K73" s="40"/>
    </row>
    <row r="74" spans="1:11" s="104" customFormat="1" x14ac:dyDescent="0.2">
      <c r="A74" s="40" t="s">
        <v>53</v>
      </c>
      <c r="B74" s="131">
        <v>46112</v>
      </c>
      <c r="C74" s="43" t="s">
        <v>470</v>
      </c>
      <c r="D74" s="43" t="s">
        <v>471</v>
      </c>
      <c r="E74" s="132" t="s">
        <v>55</v>
      </c>
      <c r="F74" s="43" t="s">
        <v>700</v>
      </c>
      <c r="G74" s="47">
        <v>-15.15</v>
      </c>
      <c r="H74" s="25" t="s">
        <v>7</v>
      </c>
      <c r="I74" s="226"/>
      <c r="J74" s="40"/>
      <c r="K74" s="40"/>
    </row>
    <row r="75" spans="1:11" s="104" customFormat="1" x14ac:dyDescent="0.2">
      <c r="A75" s="40" t="s">
        <v>53</v>
      </c>
      <c r="B75" s="131">
        <v>46112</v>
      </c>
      <c r="C75" s="43" t="s">
        <v>470</v>
      </c>
      <c r="D75" s="43" t="s">
        <v>471</v>
      </c>
      <c r="E75" s="132" t="s">
        <v>55</v>
      </c>
      <c r="F75" s="43" t="s">
        <v>701</v>
      </c>
      <c r="G75" s="47">
        <v>-20</v>
      </c>
      <c r="H75" s="25" t="s">
        <v>7</v>
      </c>
      <c r="I75" s="226"/>
      <c r="J75" s="40"/>
      <c r="K75" s="40"/>
    </row>
    <row r="76" spans="1:11" s="104" customFormat="1" x14ac:dyDescent="0.2">
      <c r="A76" s="40" t="s">
        <v>53</v>
      </c>
      <c r="B76" s="131">
        <v>46112</v>
      </c>
      <c r="C76" s="43" t="s">
        <v>470</v>
      </c>
      <c r="D76" s="43" t="s">
        <v>471</v>
      </c>
      <c r="E76" s="132" t="s">
        <v>55</v>
      </c>
      <c r="F76" s="43" t="s">
        <v>702</v>
      </c>
      <c r="G76" s="47">
        <v>-17.829999999999998</v>
      </c>
      <c r="H76" s="25" t="s">
        <v>7</v>
      </c>
      <c r="I76" s="226"/>
      <c r="J76" s="40"/>
      <c r="K76" s="40"/>
    </row>
    <row r="77" spans="1:11" s="104" customFormat="1" x14ac:dyDescent="0.2">
      <c r="A77" s="40" t="s">
        <v>53</v>
      </c>
      <c r="B77" s="131">
        <v>46112</v>
      </c>
      <c r="C77" s="43" t="s">
        <v>470</v>
      </c>
      <c r="D77" s="43" t="s">
        <v>471</v>
      </c>
      <c r="E77" s="132" t="s">
        <v>55</v>
      </c>
      <c r="F77" s="43" t="s">
        <v>703</v>
      </c>
      <c r="G77" s="47">
        <v>-163.94</v>
      </c>
      <c r="H77" s="25" t="s">
        <v>7</v>
      </c>
      <c r="I77" s="226"/>
      <c r="J77" s="40"/>
      <c r="K77" s="40"/>
    </row>
    <row r="78" spans="1:11" s="104" customFormat="1" x14ac:dyDescent="0.2">
      <c r="A78" s="40" t="s">
        <v>53</v>
      </c>
      <c r="B78" s="131">
        <v>46112</v>
      </c>
      <c r="C78" s="43" t="s">
        <v>470</v>
      </c>
      <c r="D78" s="43" t="s">
        <v>471</v>
      </c>
      <c r="E78" s="132" t="s">
        <v>55</v>
      </c>
      <c r="F78" s="43" t="s">
        <v>703</v>
      </c>
      <c r="G78" s="47">
        <v>-2</v>
      </c>
      <c r="H78" s="25" t="s">
        <v>7</v>
      </c>
      <c r="I78" s="226"/>
      <c r="J78" s="40"/>
      <c r="K78" s="40"/>
    </row>
    <row r="79" spans="1:11" s="104" customFormat="1" x14ac:dyDescent="0.2">
      <c r="A79" s="40" t="s">
        <v>53</v>
      </c>
      <c r="B79" s="131">
        <v>46112</v>
      </c>
      <c r="C79" s="43" t="s">
        <v>470</v>
      </c>
      <c r="D79" s="43" t="s">
        <v>471</v>
      </c>
      <c r="E79" s="132" t="s">
        <v>55</v>
      </c>
      <c r="F79" s="43" t="s">
        <v>704</v>
      </c>
      <c r="G79" s="47">
        <v>-11.48</v>
      </c>
      <c r="H79" s="25" t="s">
        <v>7</v>
      </c>
      <c r="I79" s="226"/>
      <c r="J79" s="40"/>
      <c r="K79" s="40"/>
    </row>
    <row r="80" spans="1:11" s="104" customFormat="1" x14ac:dyDescent="0.2">
      <c r="A80" s="40" t="s">
        <v>53</v>
      </c>
      <c r="B80" s="131">
        <v>46112</v>
      </c>
      <c r="C80" s="43" t="s">
        <v>470</v>
      </c>
      <c r="D80" s="43" t="s">
        <v>471</v>
      </c>
      <c r="E80" s="132" t="s">
        <v>55</v>
      </c>
      <c r="F80" s="43" t="s">
        <v>704</v>
      </c>
      <c r="G80" s="47">
        <v>-15.66</v>
      </c>
      <c r="H80" s="25" t="s">
        <v>7</v>
      </c>
      <c r="I80" s="226"/>
      <c r="J80" s="40"/>
      <c r="K80" s="40"/>
    </row>
    <row r="81" spans="1:11" s="104" customFormat="1" x14ac:dyDescent="0.2">
      <c r="A81" s="40" t="s">
        <v>53</v>
      </c>
      <c r="B81" s="131">
        <v>46112</v>
      </c>
      <c r="C81" s="43" t="s">
        <v>470</v>
      </c>
      <c r="D81" s="43" t="s">
        <v>471</v>
      </c>
      <c r="E81" s="132" t="s">
        <v>55</v>
      </c>
      <c r="F81" s="43" t="s">
        <v>704</v>
      </c>
      <c r="G81" s="47">
        <v>-7.83</v>
      </c>
      <c r="H81" s="25" t="s">
        <v>7</v>
      </c>
      <c r="I81" s="226"/>
      <c r="J81" s="40"/>
      <c r="K81" s="40"/>
    </row>
    <row r="82" spans="1:11" s="104" customFormat="1" x14ac:dyDescent="0.2">
      <c r="A82" s="40" t="s">
        <v>53</v>
      </c>
      <c r="B82" s="131">
        <v>46112</v>
      </c>
      <c r="C82" s="43" t="s">
        <v>470</v>
      </c>
      <c r="D82" s="43" t="s">
        <v>471</v>
      </c>
      <c r="E82" s="132" t="s">
        <v>55</v>
      </c>
      <c r="F82" s="43" t="s">
        <v>704</v>
      </c>
      <c r="G82" s="47">
        <v>-11.48</v>
      </c>
      <c r="H82" s="25" t="s">
        <v>7</v>
      </c>
      <c r="I82" s="226"/>
      <c r="J82" s="40"/>
      <c r="K82" s="40"/>
    </row>
    <row r="83" spans="1:11" s="104" customFormat="1" x14ac:dyDescent="0.2">
      <c r="A83" s="40" t="s">
        <v>53</v>
      </c>
      <c r="B83" s="131">
        <v>46112</v>
      </c>
      <c r="C83" s="43" t="s">
        <v>470</v>
      </c>
      <c r="D83" s="43" t="s">
        <v>471</v>
      </c>
      <c r="E83" s="132" t="s">
        <v>55</v>
      </c>
      <c r="F83" s="43" t="s">
        <v>184</v>
      </c>
      <c r="G83" s="47">
        <v>-13.69</v>
      </c>
      <c r="H83" s="25" t="s">
        <v>7</v>
      </c>
      <c r="I83" s="226"/>
      <c r="J83" s="40"/>
      <c r="K83" s="40"/>
    </row>
    <row r="84" spans="1:11" s="104" customFormat="1" x14ac:dyDescent="0.2">
      <c r="A84" s="40" t="s">
        <v>53</v>
      </c>
      <c r="B84" s="131">
        <v>46112</v>
      </c>
      <c r="C84" s="43" t="s">
        <v>470</v>
      </c>
      <c r="D84" s="43" t="s">
        <v>471</v>
      </c>
      <c r="E84" s="132" t="s">
        <v>55</v>
      </c>
      <c r="F84" s="43" t="s">
        <v>705</v>
      </c>
      <c r="G84" s="47">
        <v>-12.55</v>
      </c>
      <c r="H84" s="25" t="s">
        <v>7</v>
      </c>
      <c r="I84" s="226"/>
      <c r="J84" s="40"/>
      <c r="K84" s="40"/>
    </row>
    <row r="85" spans="1:11" s="104" customFormat="1" x14ac:dyDescent="0.2">
      <c r="A85" s="40" t="s">
        <v>53</v>
      </c>
      <c r="B85" s="131">
        <v>46112</v>
      </c>
      <c r="C85" s="43" t="s">
        <v>470</v>
      </c>
      <c r="D85" s="43" t="s">
        <v>471</v>
      </c>
      <c r="E85" s="132" t="s">
        <v>55</v>
      </c>
      <c r="F85" s="43" t="s">
        <v>706</v>
      </c>
      <c r="G85" s="47">
        <v>-30.57</v>
      </c>
      <c r="H85" s="25" t="s">
        <v>7</v>
      </c>
      <c r="I85" s="226"/>
      <c r="J85" s="40"/>
      <c r="K85" s="40"/>
    </row>
    <row r="86" spans="1:11" s="104" customFormat="1" x14ac:dyDescent="0.2">
      <c r="A86" s="40" t="s">
        <v>53</v>
      </c>
      <c r="B86" s="131">
        <v>46112</v>
      </c>
      <c r="C86" s="43" t="s">
        <v>470</v>
      </c>
      <c r="D86" s="43" t="s">
        <v>471</v>
      </c>
      <c r="E86" s="132" t="s">
        <v>55</v>
      </c>
      <c r="F86" s="43" t="s">
        <v>84</v>
      </c>
      <c r="G86" s="47">
        <v>-13.73</v>
      </c>
      <c r="H86" s="25" t="s">
        <v>7</v>
      </c>
      <c r="I86" s="226"/>
      <c r="J86" s="40"/>
      <c r="K86" s="40"/>
    </row>
    <row r="87" spans="1:11" s="104" customFormat="1" x14ac:dyDescent="0.2">
      <c r="A87" s="40" t="s">
        <v>53</v>
      </c>
      <c r="B87" s="131">
        <v>46112</v>
      </c>
      <c r="C87" s="43" t="s">
        <v>470</v>
      </c>
      <c r="D87" s="43" t="s">
        <v>471</v>
      </c>
      <c r="E87" s="132" t="s">
        <v>55</v>
      </c>
      <c r="F87" s="43" t="s">
        <v>84</v>
      </c>
      <c r="G87" s="47">
        <v>-14.97</v>
      </c>
      <c r="H87" s="25" t="s">
        <v>7</v>
      </c>
      <c r="I87" s="226"/>
      <c r="J87" s="21"/>
    </row>
    <row r="88" spans="1:11" s="104" customFormat="1" x14ac:dyDescent="0.2">
      <c r="A88" s="40" t="s">
        <v>53</v>
      </c>
      <c r="B88" s="131">
        <v>46112</v>
      </c>
      <c r="C88" s="43" t="s">
        <v>470</v>
      </c>
      <c r="D88" s="43" t="s">
        <v>471</v>
      </c>
      <c r="E88" s="132" t="s">
        <v>55</v>
      </c>
      <c r="F88" s="43" t="s">
        <v>707</v>
      </c>
      <c r="G88" s="47">
        <v>-6.36</v>
      </c>
      <c r="H88" s="25" t="s">
        <v>7</v>
      </c>
      <c r="I88" s="226"/>
      <c r="J88" s="21"/>
    </row>
    <row r="89" spans="1:11" s="104" customFormat="1" x14ac:dyDescent="0.2">
      <c r="A89" s="40" t="s">
        <v>53</v>
      </c>
      <c r="B89" s="131">
        <v>46112</v>
      </c>
      <c r="C89" s="43" t="s">
        <v>470</v>
      </c>
      <c r="D89" s="43" t="s">
        <v>471</v>
      </c>
      <c r="E89" s="132" t="s">
        <v>55</v>
      </c>
      <c r="F89" s="43" t="s">
        <v>708</v>
      </c>
      <c r="G89" s="47">
        <v>-59.25</v>
      </c>
      <c r="H89" s="25" t="s">
        <v>7</v>
      </c>
      <c r="I89" s="226"/>
      <c r="J89" s="21"/>
    </row>
    <row r="90" spans="1:11" s="104" customFormat="1" x14ac:dyDescent="0.2">
      <c r="A90" s="40" t="s">
        <v>53</v>
      </c>
      <c r="B90" s="131">
        <v>46112</v>
      </c>
      <c r="C90" s="43" t="s">
        <v>470</v>
      </c>
      <c r="D90" s="43" t="s">
        <v>471</v>
      </c>
      <c r="E90" s="132" t="s">
        <v>55</v>
      </c>
      <c r="F90" s="43" t="s">
        <v>709</v>
      </c>
      <c r="G90" s="47">
        <v>-13.53</v>
      </c>
      <c r="H90" s="25" t="s">
        <v>7</v>
      </c>
      <c r="I90" s="226"/>
      <c r="J90" s="21"/>
    </row>
    <row r="91" spans="1:11" s="104" customFormat="1" x14ac:dyDescent="0.2">
      <c r="A91" s="40" t="s">
        <v>53</v>
      </c>
      <c r="B91" s="131">
        <v>46112</v>
      </c>
      <c r="C91" s="43" t="s">
        <v>470</v>
      </c>
      <c r="D91" s="43" t="s">
        <v>471</v>
      </c>
      <c r="E91" s="132" t="s">
        <v>55</v>
      </c>
      <c r="F91" s="43" t="s">
        <v>709</v>
      </c>
      <c r="G91" s="47">
        <v>-97.3</v>
      </c>
      <c r="H91" s="25" t="s">
        <v>7</v>
      </c>
      <c r="I91" s="226"/>
      <c r="J91" s="21"/>
    </row>
    <row r="92" spans="1:11" s="104" customFormat="1" x14ac:dyDescent="0.2">
      <c r="A92" s="40" t="s">
        <v>53</v>
      </c>
      <c r="B92" s="131">
        <v>46112</v>
      </c>
      <c r="C92" s="43" t="s">
        <v>472</v>
      </c>
      <c r="D92" s="43" t="s">
        <v>473</v>
      </c>
      <c r="E92" s="132" t="s">
        <v>473</v>
      </c>
      <c r="F92" s="43" t="s">
        <v>24</v>
      </c>
      <c r="G92" s="47">
        <v>-151798.66</v>
      </c>
      <c r="H92" s="25" t="s">
        <v>7</v>
      </c>
      <c r="I92" s="139" t="s">
        <v>729</v>
      </c>
      <c r="J92" s="21"/>
    </row>
    <row r="93" spans="1:11" s="104" customFormat="1" x14ac:dyDescent="0.2">
      <c r="A93" s="40" t="s">
        <v>53</v>
      </c>
      <c r="B93" s="131">
        <v>46112</v>
      </c>
      <c r="C93" s="43" t="s">
        <v>472</v>
      </c>
      <c r="D93" s="43" t="s">
        <v>473</v>
      </c>
      <c r="E93" s="132" t="s">
        <v>473</v>
      </c>
      <c r="F93" s="43" t="s">
        <v>24</v>
      </c>
      <c r="G93" s="47">
        <v>-240.83</v>
      </c>
      <c r="H93" s="25" t="s">
        <v>7</v>
      </c>
      <c r="I93" s="139" t="s">
        <v>729</v>
      </c>
      <c r="J93" s="21"/>
    </row>
    <row r="94" spans="1:11" s="104" customFormat="1" x14ac:dyDescent="0.2">
      <c r="A94" s="40" t="s">
        <v>53</v>
      </c>
      <c r="B94" s="131">
        <v>46112</v>
      </c>
      <c r="C94" s="43" t="s">
        <v>476</v>
      </c>
      <c r="D94" s="43" t="s">
        <v>477</v>
      </c>
      <c r="E94" s="132" t="s">
        <v>518</v>
      </c>
      <c r="F94" s="43" t="s">
        <v>518</v>
      </c>
      <c r="G94" s="47">
        <v>-12356.33</v>
      </c>
      <c r="H94" s="25" t="s">
        <v>7</v>
      </c>
      <c r="I94" s="137" t="s">
        <v>723</v>
      </c>
      <c r="J94" s="131"/>
    </row>
    <row r="95" spans="1:11" ht="13.5" thickBot="1" x14ac:dyDescent="0.25">
      <c r="G95" s="141">
        <f>SUM(G17:G94)</f>
        <v>-172778.40999999997</v>
      </c>
    </row>
    <row r="96" spans="1:11" ht="13.5" thickTop="1" x14ac:dyDescent="0.2">
      <c r="G96" s="47"/>
    </row>
    <row r="97" spans="7:7" x14ac:dyDescent="0.2">
      <c r="G97" s="47"/>
    </row>
  </sheetData>
  <mergeCells count="3">
    <mergeCell ref="I18:I20"/>
    <mergeCell ref="I24:I25"/>
    <mergeCell ref="I29:I91"/>
  </mergeCells>
  <pageMargins left="0.7" right="0.7" top="0.75" bottom="0.75" header="0.3" footer="0.3"/>
  <pageSetup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0"/>
  <sheetViews>
    <sheetView zoomScale="80" zoomScaleNormal="80" workbookViewId="0">
      <pane ySplit="2" topLeftCell="A3" activePane="bottomLeft" state="frozen"/>
      <selection pane="bottomLeft" activeCell="A3" sqref="A3"/>
    </sheetView>
  </sheetViews>
  <sheetFormatPr defaultColWidth="9.33203125" defaultRowHeight="12.75" x14ac:dyDescent="0.2"/>
  <cols>
    <col min="1" max="1" width="16" style="21" customWidth="1"/>
    <col min="2" max="2" width="12.5" style="18" customWidth="1"/>
    <col min="3" max="3" width="16.33203125" style="14" customWidth="1"/>
    <col min="4" max="4" width="17.6640625" style="14" customWidth="1"/>
    <col min="5" max="5" width="56.1640625" style="22" customWidth="1"/>
    <col min="6" max="6" width="66.1640625" style="22" customWidth="1"/>
    <col min="7" max="7" width="13.83203125" style="18" bestFit="1" customWidth="1"/>
    <col min="8" max="8" width="16.5" style="18" customWidth="1"/>
    <col min="9" max="9" width="12.33203125" style="18" customWidth="1"/>
    <col min="10" max="10" width="17.5" style="125" bestFit="1" customWidth="1"/>
    <col min="11" max="11" width="9.33203125" style="18"/>
    <col min="12" max="16384" width="9.33203125" style="14"/>
  </cols>
  <sheetData>
    <row r="1" spans="1:11" s="39" customFormat="1" x14ac:dyDescent="0.2">
      <c r="A1" s="116" t="s">
        <v>81</v>
      </c>
      <c r="B1" s="56"/>
      <c r="E1" s="56"/>
      <c r="F1" s="51"/>
      <c r="J1" s="124"/>
      <c r="K1" s="56"/>
    </row>
    <row r="2" spans="1:11" s="39" customFormat="1" x14ac:dyDescent="0.2">
      <c r="A2" s="72" t="s">
        <v>45</v>
      </c>
      <c r="B2" s="66" t="s">
        <v>28</v>
      </c>
      <c r="C2" s="66" t="s">
        <v>29</v>
      </c>
      <c r="D2" s="71" t="s">
        <v>30</v>
      </c>
      <c r="E2" s="68" t="s">
        <v>32</v>
      </c>
      <c r="F2" s="69" t="s">
        <v>48</v>
      </c>
      <c r="G2" s="70" t="s">
        <v>31</v>
      </c>
      <c r="J2" s="124"/>
      <c r="K2" s="56"/>
    </row>
    <row r="3" spans="1:11" x14ac:dyDescent="0.2">
      <c r="A3" s="40" t="s">
        <v>53</v>
      </c>
      <c r="B3" s="21" t="s">
        <v>99</v>
      </c>
      <c r="C3" s="65">
        <v>-218340.77</v>
      </c>
      <c r="D3" s="26" t="s">
        <v>33</v>
      </c>
      <c r="E3" s="115"/>
      <c r="F3" s="115" t="s">
        <v>8</v>
      </c>
      <c r="G3" s="140">
        <v>-4</v>
      </c>
      <c r="H3" s="25"/>
      <c r="I3" s="137"/>
      <c r="J3" s="18"/>
    </row>
    <row r="4" spans="1:11" x14ac:dyDescent="0.2">
      <c r="A4" s="40"/>
      <c r="B4" s="21"/>
      <c r="E4" s="23"/>
      <c r="F4" s="115"/>
      <c r="G4" s="14"/>
      <c r="H4" s="14"/>
      <c r="I4" s="14"/>
    </row>
    <row r="5" spans="1:11" x14ac:dyDescent="0.2">
      <c r="A5" s="55" t="s">
        <v>82</v>
      </c>
      <c r="E5" s="18"/>
      <c r="F5" s="20"/>
      <c r="G5" s="14"/>
      <c r="H5" s="14"/>
      <c r="I5" s="14"/>
    </row>
    <row r="6" spans="1:11" s="39" customFormat="1" x14ac:dyDescent="0.2">
      <c r="A6" s="72" t="s">
        <v>45</v>
      </c>
      <c r="B6" s="66" t="s">
        <v>28</v>
      </c>
      <c r="C6" s="66" t="s">
        <v>46</v>
      </c>
      <c r="D6" s="67" t="s">
        <v>47</v>
      </c>
      <c r="E6" s="68" t="s">
        <v>32</v>
      </c>
      <c r="F6" s="69" t="s">
        <v>48</v>
      </c>
      <c r="G6" s="70" t="s">
        <v>49</v>
      </c>
      <c r="H6" s="66" t="s">
        <v>50</v>
      </c>
      <c r="I6" s="66" t="s">
        <v>51</v>
      </c>
      <c r="J6" s="126" t="s">
        <v>52</v>
      </c>
      <c r="K6" s="121" t="s">
        <v>31</v>
      </c>
    </row>
    <row r="7" spans="1:11" s="40" customFormat="1" x14ac:dyDescent="0.2">
      <c r="A7" s="40" t="s">
        <v>53</v>
      </c>
      <c r="B7" s="131">
        <v>46080</v>
      </c>
      <c r="C7" s="43" t="s">
        <v>123</v>
      </c>
      <c r="D7" s="43" t="s">
        <v>58</v>
      </c>
      <c r="E7" s="132" t="s">
        <v>131</v>
      </c>
      <c r="F7" s="43" t="s">
        <v>192</v>
      </c>
      <c r="G7" s="82">
        <v>741.19</v>
      </c>
      <c r="H7" s="142"/>
      <c r="I7" s="47"/>
      <c r="J7" s="21" t="s">
        <v>326</v>
      </c>
      <c r="K7" s="40">
        <v>3</v>
      </c>
    </row>
    <row r="8" spans="1:11" s="40" customFormat="1" x14ac:dyDescent="0.2">
      <c r="A8" s="40" t="s">
        <v>53</v>
      </c>
      <c r="B8" s="131">
        <v>46080</v>
      </c>
      <c r="C8" s="43" t="s">
        <v>123</v>
      </c>
      <c r="D8" s="43" t="s">
        <v>58</v>
      </c>
      <c r="E8" s="132" t="s">
        <v>131</v>
      </c>
      <c r="F8" s="43" t="s">
        <v>193</v>
      </c>
      <c r="G8" s="82">
        <v>7474.5</v>
      </c>
      <c r="H8" s="142"/>
      <c r="I8" s="47"/>
      <c r="J8" s="21" t="s">
        <v>326</v>
      </c>
      <c r="K8" s="40">
        <v>3</v>
      </c>
    </row>
    <row r="9" spans="1:11" s="40" customFormat="1" x14ac:dyDescent="0.2">
      <c r="A9" s="40" t="s">
        <v>53</v>
      </c>
      <c r="B9" s="131">
        <v>46081</v>
      </c>
      <c r="C9" s="43" t="s">
        <v>126</v>
      </c>
      <c r="D9" s="43"/>
      <c r="E9" s="132" t="s">
        <v>132</v>
      </c>
      <c r="F9" s="43" t="s">
        <v>194</v>
      </c>
      <c r="G9" s="82">
        <v>46447.78</v>
      </c>
      <c r="H9" s="142"/>
      <c r="I9" s="47"/>
      <c r="J9" s="131">
        <v>46082</v>
      </c>
      <c r="K9" s="40">
        <v>4</v>
      </c>
    </row>
    <row r="10" spans="1:11" s="40" customFormat="1" x14ac:dyDescent="0.2">
      <c r="A10" s="40" t="s">
        <v>53</v>
      </c>
      <c r="B10" s="131">
        <v>46081</v>
      </c>
      <c r="C10" s="43" t="s">
        <v>127</v>
      </c>
      <c r="D10" s="43" t="s">
        <v>58</v>
      </c>
      <c r="E10" s="132" t="s">
        <v>133</v>
      </c>
      <c r="F10" s="43" t="s">
        <v>195</v>
      </c>
      <c r="G10" s="82">
        <v>684.31</v>
      </c>
      <c r="H10" s="47"/>
      <c r="I10" s="47"/>
      <c r="J10" s="21" t="s">
        <v>326</v>
      </c>
      <c r="K10" s="40">
        <v>3</v>
      </c>
    </row>
    <row r="11" spans="1:11" s="40" customFormat="1" x14ac:dyDescent="0.2">
      <c r="A11" s="40" t="s">
        <v>53</v>
      </c>
      <c r="B11" s="131">
        <v>46013</v>
      </c>
      <c r="C11" s="43" t="s">
        <v>85</v>
      </c>
      <c r="D11" s="43" t="s">
        <v>86</v>
      </c>
      <c r="E11" s="132" t="s">
        <v>87</v>
      </c>
      <c r="F11" s="43" t="s">
        <v>89</v>
      </c>
      <c r="H11" s="47">
        <v>-100</v>
      </c>
      <c r="I11" s="47"/>
      <c r="J11" s="191">
        <v>46097</v>
      </c>
      <c r="K11" s="190">
        <v>-4</v>
      </c>
    </row>
    <row r="12" spans="1:11" x14ac:dyDescent="0.2">
      <c r="A12" s="40" t="s">
        <v>53</v>
      </c>
      <c r="B12" s="131">
        <v>46052</v>
      </c>
      <c r="C12" s="43" t="s">
        <v>90</v>
      </c>
      <c r="D12" s="43" t="s">
        <v>91</v>
      </c>
      <c r="E12" s="132" t="s">
        <v>55</v>
      </c>
      <c r="F12" s="43" t="s">
        <v>98</v>
      </c>
      <c r="H12" s="47">
        <v>-1892.34</v>
      </c>
      <c r="I12" s="146"/>
      <c r="J12" s="191">
        <v>46099</v>
      </c>
      <c r="K12" s="190">
        <v>-4</v>
      </c>
    </row>
    <row r="13" spans="1:11" x14ac:dyDescent="0.2">
      <c r="A13" s="40" t="s">
        <v>53</v>
      </c>
      <c r="B13" s="131">
        <v>46055</v>
      </c>
      <c r="C13" s="43" t="s">
        <v>100</v>
      </c>
      <c r="D13" s="43" t="s">
        <v>101</v>
      </c>
      <c r="E13" s="132" t="s">
        <v>55</v>
      </c>
      <c r="F13" s="43" t="s">
        <v>56</v>
      </c>
      <c r="H13" s="47">
        <v>-8593.83</v>
      </c>
      <c r="I13" s="146"/>
      <c r="J13" s="191">
        <v>46097</v>
      </c>
      <c r="K13" s="190">
        <v>-4</v>
      </c>
    </row>
    <row r="14" spans="1:11" x14ac:dyDescent="0.2">
      <c r="A14" s="40" t="s">
        <v>53</v>
      </c>
      <c r="B14" s="131">
        <v>46066</v>
      </c>
      <c r="C14" s="43" t="s">
        <v>105</v>
      </c>
      <c r="D14" s="43" t="s">
        <v>106</v>
      </c>
      <c r="E14" s="132" t="s">
        <v>22</v>
      </c>
      <c r="F14" s="43" t="s">
        <v>135</v>
      </c>
      <c r="H14" s="47">
        <v>-528.83000000000004</v>
      </c>
      <c r="I14" s="146"/>
      <c r="J14" s="190" t="s">
        <v>319</v>
      </c>
      <c r="K14" s="190">
        <v>-3</v>
      </c>
    </row>
    <row r="15" spans="1:11" x14ac:dyDescent="0.2">
      <c r="A15" s="40" t="s">
        <v>53</v>
      </c>
      <c r="B15" s="131">
        <v>46072</v>
      </c>
      <c r="C15" s="43" t="s">
        <v>107</v>
      </c>
      <c r="D15" s="43" t="s">
        <v>108</v>
      </c>
      <c r="E15" s="132" t="s">
        <v>57</v>
      </c>
      <c r="F15" s="43" t="s">
        <v>137</v>
      </c>
      <c r="H15" s="47">
        <v>-35.43</v>
      </c>
      <c r="I15" s="146"/>
      <c r="J15" s="190" t="s">
        <v>326</v>
      </c>
      <c r="K15" s="190">
        <v>-3</v>
      </c>
    </row>
    <row r="16" spans="1:11" x14ac:dyDescent="0.2">
      <c r="A16" s="40" t="s">
        <v>53</v>
      </c>
      <c r="B16" s="131">
        <v>46072</v>
      </c>
      <c r="C16" s="43" t="s">
        <v>107</v>
      </c>
      <c r="D16" s="43" t="s">
        <v>108</v>
      </c>
      <c r="E16" s="132" t="s">
        <v>57</v>
      </c>
      <c r="F16" s="43" t="s">
        <v>138</v>
      </c>
      <c r="H16" s="47">
        <v>-37.85</v>
      </c>
      <c r="I16" s="146"/>
      <c r="J16" s="190" t="s">
        <v>326</v>
      </c>
      <c r="K16" s="190">
        <v>-3</v>
      </c>
    </row>
    <row r="17" spans="1:11" x14ac:dyDescent="0.2">
      <c r="A17" s="40" t="s">
        <v>53</v>
      </c>
      <c r="B17" s="131">
        <v>46072</v>
      </c>
      <c r="C17" s="43" t="s">
        <v>107</v>
      </c>
      <c r="D17" s="43" t="s">
        <v>108</v>
      </c>
      <c r="E17" s="132" t="s">
        <v>57</v>
      </c>
      <c r="F17" s="43" t="s">
        <v>139</v>
      </c>
      <c r="H17" s="47">
        <v>-40.9</v>
      </c>
      <c r="I17" s="146"/>
      <c r="J17" s="190" t="s">
        <v>326</v>
      </c>
      <c r="K17" s="190">
        <v>-3</v>
      </c>
    </row>
    <row r="18" spans="1:11" x14ac:dyDescent="0.2">
      <c r="A18" s="40" t="s">
        <v>53</v>
      </c>
      <c r="B18" s="131">
        <v>46072</v>
      </c>
      <c r="C18" s="43" t="s">
        <v>107</v>
      </c>
      <c r="D18" s="43" t="s">
        <v>108</v>
      </c>
      <c r="E18" s="132" t="s">
        <v>57</v>
      </c>
      <c r="F18" s="43" t="s">
        <v>140</v>
      </c>
      <c r="H18" s="47">
        <v>-307.37</v>
      </c>
      <c r="I18" s="146"/>
      <c r="J18" s="190" t="s">
        <v>326</v>
      </c>
      <c r="K18" s="190">
        <v>-3</v>
      </c>
    </row>
    <row r="19" spans="1:11" x14ac:dyDescent="0.2">
      <c r="A19" s="40" t="s">
        <v>53</v>
      </c>
      <c r="B19" s="131">
        <v>46072</v>
      </c>
      <c r="C19" s="43" t="s">
        <v>107</v>
      </c>
      <c r="D19" s="43" t="s">
        <v>108</v>
      </c>
      <c r="E19" s="132" t="s">
        <v>57</v>
      </c>
      <c r="F19" s="43" t="s">
        <v>141</v>
      </c>
      <c r="H19" s="47">
        <v>-36.630000000000003</v>
      </c>
      <c r="I19" s="146"/>
      <c r="J19" s="190" t="s">
        <v>326</v>
      </c>
      <c r="K19" s="190">
        <v>-3</v>
      </c>
    </row>
    <row r="20" spans="1:11" x14ac:dyDescent="0.2">
      <c r="A20" s="40" t="s">
        <v>53</v>
      </c>
      <c r="B20" s="131">
        <v>46072</v>
      </c>
      <c r="C20" s="43" t="s">
        <v>107</v>
      </c>
      <c r="D20" s="43" t="s">
        <v>108</v>
      </c>
      <c r="E20" s="132" t="s">
        <v>57</v>
      </c>
      <c r="F20" s="43" t="s">
        <v>142</v>
      </c>
      <c r="H20" s="47">
        <v>-37.25</v>
      </c>
      <c r="I20" s="146"/>
      <c r="J20" s="190" t="s">
        <v>326</v>
      </c>
      <c r="K20" s="190">
        <v>-3</v>
      </c>
    </row>
    <row r="21" spans="1:11" x14ac:dyDescent="0.2">
      <c r="A21" s="40" t="s">
        <v>53</v>
      </c>
      <c r="B21" s="131">
        <v>46073</v>
      </c>
      <c r="C21" s="43" t="s">
        <v>109</v>
      </c>
      <c r="D21" s="43" t="s">
        <v>110</v>
      </c>
      <c r="E21" s="132" t="s">
        <v>70</v>
      </c>
      <c r="F21" s="43" t="s">
        <v>143</v>
      </c>
      <c r="H21" s="47">
        <v>-221.4</v>
      </c>
      <c r="I21" s="147"/>
      <c r="J21" s="190" t="s">
        <v>326</v>
      </c>
      <c r="K21" s="190">
        <v>-3</v>
      </c>
    </row>
    <row r="22" spans="1:11" x14ac:dyDescent="0.2">
      <c r="A22" s="40" t="s">
        <v>53</v>
      </c>
      <c r="B22" s="131">
        <v>46073</v>
      </c>
      <c r="C22" s="43" t="s">
        <v>111</v>
      </c>
      <c r="D22" s="43" t="s">
        <v>112</v>
      </c>
      <c r="E22" s="132" t="s">
        <v>61</v>
      </c>
      <c r="F22" s="43" t="s">
        <v>144</v>
      </c>
      <c r="H22" s="47">
        <v>-50</v>
      </c>
      <c r="I22" s="47"/>
      <c r="J22" s="190" t="s">
        <v>311</v>
      </c>
      <c r="K22" s="190">
        <v>-3</v>
      </c>
    </row>
    <row r="23" spans="1:11" x14ac:dyDescent="0.2">
      <c r="A23" s="40" t="s">
        <v>53</v>
      </c>
      <c r="B23" s="131">
        <v>46076</v>
      </c>
      <c r="C23" s="43" t="s">
        <v>113</v>
      </c>
      <c r="D23" s="43" t="s">
        <v>114</v>
      </c>
      <c r="E23" s="132" t="s">
        <v>19</v>
      </c>
      <c r="F23" s="43" t="s">
        <v>145</v>
      </c>
      <c r="H23" s="47">
        <v>-180.64</v>
      </c>
      <c r="I23" s="47"/>
      <c r="J23" s="190" t="s">
        <v>326</v>
      </c>
      <c r="K23" s="190">
        <v>-3</v>
      </c>
    </row>
    <row r="24" spans="1:11" x14ac:dyDescent="0.2">
      <c r="A24" s="40" t="s">
        <v>53</v>
      </c>
      <c r="B24" s="131">
        <v>46078</v>
      </c>
      <c r="C24" s="43" t="s">
        <v>115</v>
      </c>
      <c r="D24" s="43" t="s">
        <v>116</v>
      </c>
      <c r="E24" s="132" t="s">
        <v>88</v>
      </c>
      <c r="F24" s="43" t="s">
        <v>146</v>
      </c>
      <c r="H24" s="47">
        <v>-273.7</v>
      </c>
      <c r="I24" s="146"/>
      <c r="J24" s="190" t="s">
        <v>286</v>
      </c>
      <c r="K24" s="190">
        <v>-3</v>
      </c>
    </row>
    <row r="25" spans="1:11" x14ac:dyDescent="0.2">
      <c r="A25" s="40" t="s">
        <v>53</v>
      </c>
      <c r="B25" s="131">
        <v>46078</v>
      </c>
      <c r="C25" s="43" t="s">
        <v>115</v>
      </c>
      <c r="D25" s="43" t="s">
        <v>116</v>
      </c>
      <c r="E25" s="132" t="s">
        <v>88</v>
      </c>
      <c r="F25" s="43" t="s">
        <v>147</v>
      </c>
      <c r="H25" s="47">
        <v>-166</v>
      </c>
      <c r="I25" s="146"/>
      <c r="J25" s="190" t="s">
        <v>286</v>
      </c>
      <c r="K25" s="190">
        <v>-3</v>
      </c>
    </row>
    <row r="26" spans="1:11" x14ac:dyDescent="0.2">
      <c r="A26" s="40" t="s">
        <v>53</v>
      </c>
      <c r="B26" s="131">
        <v>46079</v>
      </c>
      <c r="C26" s="43" t="s">
        <v>117</v>
      </c>
      <c r="D26" s="43" t="s">
        <v>118</v>
      </c>
      <c r="E26" s="132" t="s">
        <v>55</v>
      </c>
      <c r="F26" s="43" t="s">
        <v>95</v>
      </c>
      <c r="H26" s="47">
        <v>-32.01</v>
      </c>
      <c r="I26" s="146"/>
      <c r="J26" s="190" t="s">
        <v>305</v>
      </c>
      <c r="K26" s="190">
        <v>-3</v>
      </c>
    </row>
    <row r="27" spans="1:11" x14ac:dyDescent="0.2">
      <c r="A27" s="40" t="s">
        <v>53</v>
      </c>
      <c r="B27" s="131">
        <v>46079</v>
      </c>
      <c r="C27" s="43" t="s">
        <v>117</v>
      </c>
      <c r="D27" s="43" t="s">
        <v>118</v>
      </c>
      <c r="E27" s="132" t="s">
        <v>55</v>
      </c>
      <c r="F27" s="43" t="s">
        <v>148</v>
      </c>
      <c r="H27" s="47">
        <v>-42.03</v>
      </c>
      <c r="I27" s="146"/>
      <c r="J27" s="190" t="s">
        <v>305</v>
      </c>
      <c r="K27" s="190">
        <v>-3</v>
      </c>
    </row>
    <row r="28" spans="1:11" x14ac:dyDescent="0.2">
      <c r="A28" s="40" t="s">
        <v>53</v>
      </c>
      <c r="B28" s="131">
        <v>46079</v>
      </c>
      <c r="C28" s="43" t="s">
        <v>117</v>
      </c>
      <c r="D28" s="43" t="s">
        <v>118</v>
      </c>
      <c r="E28" s="132" t="s">
        <v>55</v>
      </c>
      <c r="F28" s="43" t="s">
        <v>149</v>
      </c>
      <c r="H28" s="47">
        <v>-8.39</v>
      </c>
      <c r="I28" s="146"/>
      <c r="J28" s="190" t="s">
        <v>305</v>
      </c>
      <c r="K28" s="190">
        <v>-3</v>
      </c>
    </row>
    <row r="29" spans="1:11" x14ac:dyDescent="0.2">
      <c r="A29" s="40" t="s">
        <v>53</v>
      </c>
      <c r="B29" s="131">
        <v>46079</v>
      </c>
      <c r="C29" s="43" t="s">
        <v>117</v>
      </c>
      <c r="D29" s="43" t="s">
        <v>118</v>
      </c>
      <c r="E29" s="132" t="s">
        <v>55</v>
      </c>
      <c r="F29" s="43" t="s">
        <v>150</v>
      </c>
      <c r="H29" s="47">
        <v>-20.97</v>
      </c>
      <c r="I29" s="146"/>
      <c r="J29" s="190" t="s">
        <v>305</v>
      </c>
      <c r="K29" s="190">
        <v>-3</v>
      </c>
    </row>
    <row r="30" spans="1:11" x14ac:dyDescent="0.2">
      <c r="A30" s="40" t="s">
        <v>53</v>
      </c>
      <c r="B30" s="131">
        <v>46079</v>
      </c>
      <c r="C30" s="43" t="s">
        <v>117</v>
      </c>
      <c r="D30" s="43" t="s">
        <v>118</v>
      </c>
      <c r="E30" s="132" t="s">
        <v>55</v>
      </c>
      <c r="F30" s="43" t="s">
        <v>151</v>
      </c>
      <c r="H30" s="47">
        <v>-20.98</v>
      </c>
      <c r="I30" s="146"/>
      <c r="J30" s="190" t="s">
        <v>305</v>
      </c>
      <c r="K30" s="190">
        <v>-3</v>
      </c>
    </row>
    <row r="31" spans="1:11" x14ac:dyDescent="0.2">
      <c r="A31" s="40" t="s">
        <v>53</v>
      </c>
      <c r="B31" s="131">
        <v>46079</v>
      </c>
      <c r="C31" s="43" t="s">
        <v>117</v>
      </c>
      <c r="D31" s="43" t="s">
        <v>118</v>
      </c>
      <c r="E31" s="132" t="s">
        <v>55</v>
      </c>
      <c r="F31" s="43" t="s">
        <v>152</v>
      </c>
      <c r="H31" s="47">
        <v>-97.92</v>
      </c>
      <c r="I31" s="146"/>
      <c r="J31" s="190" t="s">
        <v>305</v>
      </c>
      <c r="K31" s="190">
        <v>-3</v>
      </c>
    </row>
    <row r="32" spans="1:11" x14ac:dyDescent="0.2">
      <c r="A32" s="40" t="s">
        <v>53</v>
      </c>
      <c r="B32" s="131">
        <v>46079</v>
      </c>
      <c r="C32" s="43" t="s">
        <v>117</v>
      </c>
      <c r="D32" s="43" t="s">
        <v>118</v>
      </c>
      <c r="E32" s="132" t="s">
        <v>55</v>
      </c>
      <c r="F32" s="43" t="s">
        <v>153</v>
      </c>
      <c r="H32" s="47">
        <v>-50.8</v>
      </c>
      <c r="I32" s="146"/>
      <c r="J32" s="190" t="s">
        <v>305</v>
      </c>
      <c r="K32" s="190">
        <v>-3</v>
      </c>
    </row>
    <row r="33" spans="1:11" x14ac:dyDescent="0.2">
      <c r="A33" s="40" t="s">
        <v>53</v>
      </c>
      <c r="B33" s="131">
        <v>46079</v>
      </c>
      <c r="C33" s="43" t="s">
        <v>117</v>
      </c>
      <c r="D33" s="43" t="s">
        <v>118</v>
      </c>
      <c r="E33" s="132" t="s">
        <v>55</v>
      </c>
      <c r="F33" s="43" t="s">
        <v>154</v>
      </c>
      <c r="H33" s="47">
        <v>-69.56</v>
      </c>
      <c r="I33" s="146"/>
      <c r="J33" s="190" t="s">
        <v>305</v>
      </c>
      <c r="K33" s="190">
        <v>-3</v>
      </c>
    </row>
    <row r="34" spans="1:11" x14ac:dyDescent="0.2">
      <c r="A34" s="40" t="s">
        <v>53</v>
      </c>
      <c r="B34" s="131">
        <v>46079</v>
      </c>
      <c r="C34" s="43" t="s">
        <v>117</v>
      </c>
      <c r="D34" s="43" t="s">
        <v>118</v>
      </c>
      <c r="E34" s="132" t="s">
        <v>55</v>
      </c>
      <c r="F34" s="43" t="s">
        <v>96</v>
      </c>
      <c r="H34" s="47">
        <v>-15.02</v>
      </c>
      <c r="I34" s="146"/>
      <c r="J34" s="190" t="s">
        <v>305</v>
      </c>
      <c r="K34" s="190">
        <v>-3</v>
      </c>
    </row>
    <row r="35" spans="1:11" x14ac:dyDescent="0.2">
      <c r="A35" s="40" t="s">
        <v>53</v>
      </c>
      <c r="B35" s="131">
        <v>46079</v>
      </c>
      <c r="C35" s="43" t="s">
        <v>117</v>
      </c>
      <c r="D35" s="43" t="s">
        <v>118</v>
      </c>
      <c r="E35" s="132" t="s">
        <v>55</v>
      </c>
      <c r="F35" s="43" t="s">
        <v>96</v>
      </c>
      <c r="H35" s="47">
        <v>-14.6</v>
      </c>
      <c r="I35" s="146"/>
      <c r="J35" s="190" t="s">
        <v>305</v>
      </c>
      <c r="K35" s="190">
        <v>-3</v>
      </c>
    </row>
    <row r="36" spans="1:11" x14ac:dyDescent="0.2">
      <c r="A36" s="40" t="s">
        <v>53</v>
      </c>
      <c r="B36" s="131">
        <v>46079</v>
      </c>
      <c r="C36" s="43" t="s">
        <v>117</v>
      </c>
      <c r="D36" s="43" t="s">
        <v>118</v>
      </c>
      <c r="E36" s="132" t="s">
        <v>55</v>
      </c>
      <c r="F36" s="43" t="s">
        <v>155</v>
      </c>
      <c r="H36" s="47">
        <v>-100</v>
      </c>
      <c r="I36" s="147"/>
      <c r="J36" s="190" t="s">
        <v>305</v>
      </c>
      <c r="K36" s="190">
        <v>-3</v>
      </c>
    </row>
    <row r="37" spans="1:11" x14ac:dyDescent="0.2">
      <c r="A37" s="40" t="s">
        <v>53</v>
      </c>
      <c r="B37" s="131">
        <v>46079</v>
      </c>
      <c r="C37" s="43" t="s">
        <v>117</v>
      </c>
      <c r="D37" s="43" t="s">
        <v>118</v>
      </c>
      <c r="E37" s="132" t="s">
        <v>55</v>
      </c>
      <c r="F37" s="43" t="s">
        <v>97</v>
      </c>
      <c r="H37" s="47">
        <v>-22.4</v>
      </c>
      <c r="I37" s="146"/>
      <c r="J37" s="190" t="s">
        <v>305</v>
      </c>
      <c r="K37" s="190">
        <v>-3</v>
      </c>
    </row>
    <row r="38" spans="1:11" x14ac:dyDescent="0.2">
      <c r="A38" s="40" t="s">
        <v>53</v>
      </c>
      <c r="B38" s="131">
        <v>46079</v>
      </c>
      <c r="C38" s="43" t="s">
        <v>117</v>
      </c>
      <c r="D38" s="43" t="s">
        <v>118</v>
      </c>
      <c r="E38" s="132" t="s">
        <v>55</v>
      </c>
      <c r="F38" s="43" t="s">
        <v>97</v>
      </c>
      <c r="H38" s="47">
        <v>-23.2</v>
      </c>
      <c r="I38" s="146"/>
      <c r="J38" s="190" t="s">
        <v>305</v>
      </c>
      <c r="K38" s="190">
        <v>-3</v>
      </c>
    </row>
    <row r="39" spans="1:11" x14ac:dyDescent="0.2">
      <c r="A39" s="40" t="s">
        <v>53</v>
      </c>
      <c r="B39" s="131">
        <v>46079</v>
      </c>
      <c r="C39" s="43" t="s">
        <v>117</v>
      </c>
      <c r="D39" s="43" t="s">
        <v>118</v>
      </c>
      <c r="E39" s="132" t="s">
        <v>55</v>
      </c>
      <c r="F39" s="43" t="s">
        <v>71</v>
      </c>
      <c r="H39" s="47">
        <v>-7.5</v>
      </c>
      <c r="I39" s="146"/>
      <c r="J39" s="190" t="s">
        <v>305</v>
      </c>
      <c r="K39" s="190">
        <v>-3</v>
      </c>
    </row>
    <row r="40" spans="1:11" x14ac:dyDescent="0.2">
      <c r="A40" s="40" t="s">
        <v>53</v>
      </c>
      <c r="B40" s="131">
        <v>46079</v>
      </c>
      <c r="C40" s="43" t="s">
        <v>117</v>
      </c>
      <c r="D40" s="43" t="s">
        <v>118</v>
      </c>
      <c r="E40" s="132" t="s">
        <v>55</v>
      </c>
      <c r="F40" s="43" t="s">
        <v>156</v>
      </c>
      <c r="H40" s="47">
        <v>-27.54</v>
      </c>
      <c r="I40" s="146"/>
      <c r="J40" s="190" t="s">
        <v>305</v>
      </c>
      <c r="K40" s="190">
        <v>-3</v>
      </c>
    </row>
    <row r="41" spans="1:11" x14ac:dyDescent="0.2">
      <c r="A41" s="40" t="s">
        <v>53</v>
      </c>
      <c r="B41" s="131">
        <v>46079</v>
      </c>
      <c r="C41" s="43" t="s">
        <v>117</v>
      </c>
      <c r="D41" s="43" t="s">
        <v>118</v>
      </c>
      <c r="E41" s="132" t="s">
        <v>55</v>
      </c>
      <c r="F41" s="43" t="s">
        <v>157</v>
      </c>
      <c r="H41" s="47">
        <v>-95.73</v>
      </c>
      <c r="I41" s="147"/>
      <c r="J41" s="190" t="s">
        <v>305</v>
      </c>
      <c r="K41" s="190">
        <v>-3</v>
      </c>
    </row>
    <row r="42" spans="1:11" x14ac:dyDescent="0.2">
      <c r="A42" s="40" t="s">
        <v>53</v>
      </c>
      <c r="B42" s="131">
        <v>46079</v>
      </c>
      <c r="C42" s="43" t="s">
        <v>117</v>
      </c>
      <c r="D42" s="43" t="s">
        <v>118</v>
      </c>
      <c r="E42" s="132" t="s">
        <v>55</v>
      </c>
      <c r="F42" s="43" t="s">
        <v>158</v>
      </c>
      <c r="H42" s="47">
        <v>-29.98</v>
      </c>
      <c r="I42" s="147"/>
      <c r="J42" s="190" t="s">
        <v>305</v>
      </c>
      <c r="K42" s="190">
        <v>-3</v>
      </c>
    </row>
    <row r="43" spans="1:11" x14ac:dyDescent="0.2">
      <c r="A43" s="40" t="s">
        <v>53</v>
      </c>
      <c r="B43" s="131">
        <v>46079</v>
      </c>
      <c r="C43" s="43" t="s">
        <v>117</v>
      </c>
      <c r="D43" s="43" t="s">
        <v>118</v>
      </c>
      <c r="E43" s="132" t="s">
        <v>55</v>
      </c>
      <c r="F43" s="43" t="s">
        <v>159</v>
      </c>
      <c r="H43" s="47">
        <v>-21.98</v>
      </c>
      <c r="I43" s="147"/>
      <c r="J43" s="190" t="s">
        <v>305</v>
      </c>
      <c r="K43" s="190">
        <v>-3</v>
      </c>
    </row>
    <row r="44" spans="1:11" x14ac:dyDescent="0.2">
      <c r="A44" s="40" t="s">
        <v>53</v>
      </c>
      <c r="B44" s="131">
        <v>46079</v>
      </c>
      <c r="C44" s="43" t="s">
        <v>117</v>
      </c>
      <c r="D44" s="43" t="s">
        <v>118</v>
      </c>
      <c r="E44" s="132" t="s">
        <v>55</v>
      </c>
      <c r="F44" s="43" t="s">
        <v>160</v>
      </c>
      <c r="H44" s="47">
        <v>-53.98</v>
      </c>
      <c r="J44" s="190" t="s">
        <v>305</v>
      </c>
      <c r="K44" s="190">
        <v>-3</v>
      </c>
    </row>
    <row r="45" spans="1:11" x14ac:dyDescent="0.2">
      <c r="A45" s="40" t="s">
        <v>53</v>
      </c>
      <c r="B45" s="131">
        <v>46079</v>
      </c>
      <c r="C45" s="43" t="s">
        <v>117</v>
      </c>
      <c r="D45" s="43" t="s">
        <v>118</v>
      </c>
      <c r="E45" s="132" t="s">
        <v>55</v>
      </c>
      <c r="F45" s="43" t="s">
        <v>161</v>
      </c>
      <c r="H45" s="47">
        <v>-165.69</v>
      </c>
      <c r="J45" s="190" t="s">
        <v>305</v>
      </c>
      <c r="K45" s="190">
        <v>-3</v>
      </c>
    </row>
    <row r="46" spans="1:11" x14ac:dyDescent="0.2">
      <c r="A46" s="40" t="s">
        <v>53</v>
      </c>
      <c r="B46" s="131">
        <v>46079</v>
      </c>
      <c r="C46" s="43" t="s">
        <v>117</v>
      </c>
      <c r="D46" s="43" t="s">
        <v>118</v>
      </c>
      <c r="E46" s="132" t="s">
        <v>55</v>
      </c>
      <c r="F46" s="43" t="s">
        <v>162</v>
      </c>
      <c r="H46" s="47">
        <v>-190.15</v>
      </c>
      <c r="J46" s="190" t="s">
        <v>305</v>
      </c>
      <c r="K46" s="190">
        <v>-3</v>
      </c>
    </row>
    <row r="47" spans="1:11" x14ac:dyDescent="0.2">
      <c r="A47" s="40" t="s">
        <v>53</v>
      </c>
      <c r="B47" s="131">
        <v>46079</v>
      </c>
      <c r="C47" s="43" t="s">
        <v>117</v>
      </c>
      <c r="D47" s="43" t="s">
        <v>118</v>
      </c>
      <c r="E47" s="132" t="s">
        <v>55</v>
      </c>
      <c r="F47" s="43" t="s">
        <v>161</v>
      </c>
      <c r="H47" s="47">
        <v>-161.35</v>
      </c>
      <c r="J47" s="190" t="s">
        <v>305</v>
      </c>
      <c r="K47" s="190">
        <v>-3</v>
      </c>
    </row>
    <row r="48" spans="1:11" x14ac:dyDescent="0.2">
      <c r="A48" s="40" t="s">
        <v>53</v>
      </c>
      <c r="B48" s="131">
        <v>46079</v>
      </c>
      <c r="C48" s="43" t="s">
        <v>117</v>
      </c>
      <c r="D48" s="43" t="s">
        <v>118</v>
      </c>
      <c r="E48" s="132" t="s">
        <v>55</v>
      </c>
      <c r="F48" s="43" t="s">
        <v>161</v>
      </c>
      <c r="H48" s="47">
        <v>-173.18</v>
      </c>
      <c r="J48" s="190" t="s">
        <v>305</v>
      </c>
      <c r="K48" s="190">
        <v>-3</v>
      </c>
    </row>
    <row r="49" spans="1:11" x14ac:dyDescent="0.2">
      <c r="A49" s="40" t="s">
        <v>53</v>
      </c>
      <c r="B49" s="131">
        <v>46079</v>
      </c>
      <c r="C49" s="43" t="s">
        <v>117</v>
      </c>
      <c r="D49" s="43" t="s">
        <v>118</v>
      </c>
      <c r="E49" s="132" t="s">
        <v>55</v>
      </c>
      <c r="F49" s="43" t="s">
        <v>163</v>
      </c>
      <c r="H49" s="47">
        <v>-130.09</v>
      </c>
      <c r="J49" s="190" t="s">
        <v>305</v>
      </c>
      <c r="K49" s="190">
        <v>-3</v>
      </c>
    </row>
    <row r="50" spans="1:11" x14ac:dyDescent="0.2">
      <c r="A50" s="40" t="s">
        <v>53</v>
      </c>
      <c r="B50" s="131">
        <v>46079</v>
      </c>
      <c r="C50" s="43" t="s">
        <v>117</v>
      </c>
      <c r="D50" s="43" t="s">
        <v>118</v>
      </c>
      <c r="E50" s="132" t="s">
        <v>55</v>
      </c>
      <c r="F50" s="43" t="s">
        <v>163</v>
      </c>
      <c r="H50" s="47">
        <v>-79.48</v>
      </c>
      <c r="J50" s="190" t="s">
        <v>305</v>
      </c>
      <c r="K50" s="190">
        <v>-3</v>
      </c>
    </row>
    <row r="51" spans="1:11" x14ac:dyDescent="0.2">
      <c r="A51" s="40" t="s">
        <v>53</v>
      </c>
      <c r="B51" s="131">
        <v>46079</v>
      </c>
      <c r="C51" s="43" t="s">
        <v>117</v>
      </c>
      <c r="D51" s="43" t="s">
        <v>118</v>
      </c>
      <c r="E51" s="132" t="s">
        <v>55</v>
      </c>
      <c r="F51" s="43" t="s">
        <v>164</v>
      </c>
      <c r="H51" s="47">
        <v>-18.38</v>
      </c>
      <c r="J51" s="190" t="s">
        <v>305</v>
      </c>
      <c r="K51" s="190">
        <v>-3</v>
      </c>
    </row>
    <row r="52" spans="1:11" x14ac:dyDescent="0.2">
      <c r="A52" s="40" t="s">
        <v>53</v>
      </c>
      <c r="B52" s="131">
        <v>46079</v>
      </c>
      <c r="C52" s="43" t="s">
        <v>117</v>
      </c>
      <c r="D52" s="43" t="s">
        <v>118</v>
      </c>
      <c r="E52" s="132" t="s">
        <v>55</v>
      </c>
      <c r="F52" s="43" t="s">
        <v>165</v>
      </c>
      <c r="H52" s="47">
        <v>-134.54</v>
      </c>
      <c r="J52" s="190" t="s">
        <v>305</v>
      </c>
      <c r="K52" s="190">
        <v>-3</v>
      </c>
    </row>
    <row r="53" spans="1:11" x14ac:dyDescent="0.2">
      <c r="A53" s="40" t="s">
        <v>53</v>
      </c>
      <c r="B53" s="131">
        <v>46079</v>
      </c>
      <c r="C53" s="43" t="s">
        <v>117</v>
      </c>
      <c r="D53" s="43" t="s">
        <v>118</v>
      </c>
      <c r="E53" s="132" t="s">
        <v>55</v>
      </c>
      <c r="F53" s="43" t="s">
        <v>166</v>
      </c>
      <c r="H53" s="47">
        <v>-118.76</v>
      </c>
      <c r="J53" s="190" t="s">
        <v>305</v>
      </c>
      <c r="K53" s="190">
        <v>-3</v>
      </c>
    </row>
    <row r="54" spans="1:11" x14ac:dyDescent="0.2">
      <c r="A54" s="40" t="s">
        <v>53</v>
      </c>
      <c r="B54" s="131">
        <v>46079</v>
      </c>
      <c r="C54" s="43" t="s">
        <v>117</v>
      </c>
      <c r="D54" s="43" t="s">
        <v>118</v>
      </c>
      <c r="E54" s="132" t="s">
        <v>55</v>
      </c>
      <c r="F54" s="43" t="s">
        <v>167</v>
      </c>
      <c r="H54" s="47">
        <v>-78.44</v>
      </c>
      <c r="J54" s="190" t="s">
        <v>305</v>
      </c>
      <c r="K54" s="190">
        <v>-3</v>
      </c>
    </row>
    <row r="55" spans="1:11" x14ac:dyDescent="0.2">
      <c r="A55" s="40" t="s">
        <v>53</v>
      </c>
      <c r="B55" s="131">
        <v>46079</v>
      </c>
      <c r="C55" s="43" t="s">
        <v>117</v>
      </c>
      <c r="D55" s="43" t="s">
        <v>118</v>
      </c>
      <c r="E55" s="132" t="s">
        <v>55</v>
      </c>
      <c r="F55" s="43" t="s">
        <v>72</v>
      </c>
      <c r="H55" s="47">
        <v>-71.099999999999994</v>
      </c>
      <c r="J55" s="190" t="s">
        <v>305</v>
      </c>
      <c r="K55" s="190">
        <v>-3</v>
      </c>
    </row>
    <row r="56" spans="1:11" x14ac:dyDescent="0.2">
      <c r="A56" s="40" t="s">
        <v>53</v>
      </c>
      <c r="B56" s="131">
        <v>46079</v>
      </c>
      <c r="C56" s="43" t="s">
        <v>117</v>
      </c>
      <c r="D56" s="43" t="s">
        <v>118</v>
      </c>
      <c r="E56" s="132" t="s">
        <v>55</v>
      </c>
      <c r="F56" s="43" t="s">
        <v>72</v>
      </c>
      <c r="H56" s="47">
        <v>-75.98</v>
      </c>
      <c r="J56" s="190" t="s">
        <v>305</v>
      </c>
      <c r="K56" s="190">
        <v>-3</v>
      </c>
    </row>
    <row r="57" spans="1:11" x14ac:dyDescent="0.2">
      <c r="A57" s="40" t="s">
        <v>53</v>
      </c>
      <c r="B57" s="131">
        <v>46079</v>
      </c>
      <c r="C57" s="43" t="s">
        <v>117</v>
      </c>
      <c r="D57" s="43" t="s">
        <v>118</v>
      </c>
      <c r="E57" s="132" t="s">
        <v>55</v>
      </c>
      <c r="F57" s="43" t="s">
        <v>72</v>
      </c>
      <c r="H57" s="47">
        <v>-36.35</v>
      </c>
      <c r="J57" s="190" t="s">
        <v>305</v>
      </c>
      <c r="K57" s="190">
        <v>-3</v>
      </c>
    </row>
    <row r="58" spans="1:11" x14ac:dyDescent="0.2">
      <c r="A58" s="40" t="s">
        <v>53</v>
      </c>
      <c r="B58" s="131">
        <v>46079</v>
      </c>
      <c r="C58" s="43" t="s">
        <v>117</v>
      </c>
      <c r="D58" s="43" t="s">
        <v>118</v>
      </c>
      <c r="E58" s="132" t="s">
        <v>55</v>
      </c>
      <c r="F58" s="43" t="s">
        <v>168</v>
      </c>
      <c r="H58" s="47">
        <v>-65.75</v>
      </c>
      <c r="J58" s="190" t="s">
        <v>305</v>
      </c>
      <c r="K58" s="190">
        <v>-3</v>
      </c>
    </row>
    <row r="59" spans="1:11" x14ac:dyDescent="0.2">
      <c r="A59" s="40" t="s">
        <v>53</v>
      </c>
      <c r="B59" s="131">
        <v>46079</v>
      </c>
      <c r="C59" s="43" t="s">
        <v>117</v>
      </c>
      <c r="D59" s="43" t="s">
        <v>118</v>
      </c>
      <c r="E59" s="132" t="s">
        <v>55</v>
      </c>
      <c r="F59" s="43" t="s">
        <v>168</v>
      </c>
      <c r="H59" s="47">
        <v>-66.67</v>
      </c>
      <c r="J59" s="190" t="s">
        <v>305</v>
      </c>
      <c r="K59" s="190">
        <v>-3</v>
      </c>
    </row>
    <row r="60" spans="1:11" x14ac:dyDescent="0.2">
      <c r="A60" s="40" t="s">
        <v>53</v>
      </c>
      <c r="B60" s="131">
        <v>46079</v>
      </c>
      <c r="C60" s="43" t="s">
        <v>117</v>
      </c>
      <c r="D60" s="43" t="s">
        <v>118</v>
      </c>
      <c r="E60" s="132" t="s">
        <v>55</v>
      </c>
      <c r="F60" s="43" t="s">
        <v>169</v>
      </c>
      <c r="H60" s="47">
        <v>-78.23</v>
      </c>
      <c r="J60" s="190" t="s">
        <v>305</v>
      </c>
      <c r="K60" s="190">
        <v>-3</v>
      </c>
    </row>
    <row r="61" spans="1:11" x14ac:dyDescent="0.2">
      <c r="A61" s="40" t="s">
        <v>53</v>
      </c>
      <c r="B61" s="131">
        <v>46079</v>
      </c>
      <c r="C61" s="43" t="s">
        <v>117</v>
      </c>
      <c r="D61" s="43" t="s">
        <v>118</v>
      </c>
      <c r="E61" s="132" t="s">
        <v>55</v>
      </c>
      <c r="F61" s="43" t="s">
        <v>170</v>
      </c>
      <c r="H61" s="47">
        <v>-17.829999999999998</v>
      </c>
      <c r="J61" s="190" t="s">
        <v>305</v>
      </c>
      <c r="K61" s="190">
        <v>-3</v>
      </c>
    </row>
    <row r="62" spans="1:11" x14ac:dyDescent="0.2">
      <c r="A62" s="40" t="s">
        <v>53</v>
      </c>
      <c r="B62" s="131">
        <v>46079</v>
      </c>
      <c r="C62" s="43" t="s">
        <v>117</v>
      </c>
      <c r="D62" s="43" t="s">
        <v>118</v>
      </c>
      <c r="E62" s="132" t="s">
        <v>55</v>
      </c>
      <c r="F62" s="43" t="s">
        <v>93</v>
      </c>
      <c r="H62" s="47">
        <v>-115.66</v>
      </c>
      <c r="J62" s="190" t="s">
        <v>305</v>
      </c>
      <c r="K62" s="190">
        <v>-3</v>
      </c>
    </row>
    <row r="63" spans="1:11" x14ac:dyDescent="0.2">
      <c r="A63" s="40" t="s">
        <v>53</v>
      </c>
      <c r="B63" s="131">
        <v>46079</v>
      </c>
      <c r="C63" s="43" t="s">
        <v>117</v>
      </c>
      <c r="D63" s="43" t="s">
        <v>118</v>
      </c>
      <c r="E63" s="132" t="s">
        <v>55</v>
      </c>
      <c r="F63" s="43" t="s">
        <v>96</v>
      </c>
      <c r="H63" s="47">
        <v>-38.5</v>
      </c>
      <c r="J63" s="190" t="s">
        <v>305</v>
      </c>
      <c r="K63" s="190">
        <v>-3</v>
      </c>
    </row>
    <row r="64" spans="1:11" x14ac:dyDescent="0.2">
      <c r="A64" s="40" t="s">
        <v>53</v>
      </c>
      <c r="B64" s="131">
        <v>46079</v>
      </c>
      <c r="C64" s="43" t="s">
        <v>117</v>
      </c>
      <c r="D64" s="43" t="s">
        <v>118</v>
      </c>
      <c r="E64" s="132" t="s">
        <v>55</v>
      </c>
      <c r="F64" s="43" t="s">
        <v>171</v>
      </c>
      <c r="H64" s="47">
        <v>-70.41</v>
      </c>
      <c r="J64" s="190" t="s">
        <v>305</v>
      </c>
      <c r="K64" s="190">
        <v>-3</v>
      </c>
    </row>
    <row r="65" spans="1:11" x14ac:dyDescent="0.2">
      <c r="A65" s="40" t="s">
        <v>53</v>
      </c>
      <c r="B65" s="131">
        <v>46079</v>
      </c>
      <c r="C65" s="43" t="s">
        <v>117</v>
      </c>
      <c r="D65" s="43" t="s">
        <v>118</v>
      </c>
      <c r="E65" s="132" t="s">
        <v>55</v>
      </c>
      <c r="F65" s="43" t="s">
        <v>172</v>
      </c>
      <c r="H65" s="47">
        <v>-31.62</v>
      </c>
      <c r="J65" s="190" t="s">
        <v>305</v>
      </c>
      <c r="K65" s="190">
        <v>-3</v>
      </c>
    </row>
    <row r="66" spans="1:11" x14ac:dyDescent="0.2">
      <c r="A66" s="40" t="s">
        <v>53</v>
      </c>
      <c r="B66" s="131">
        <v>46079</v>
      </c>
      <c r="C66" s="43" t="s">
        <v>117</v>
      </c>
      <c r="D66" s="43" t="s">
        <v>118</v>
      </c>
      <c r="E66" s="132" t="s">
        <v>55</v>
      </c>
      <c r="F66" s="43" t="s">
        <v>173</v>
      </c>
      <c r="H66" s="47">
        <v>-129.97999999999999</v>
      </c>
      <c r="J66" s="190" t="s">
        <v>305</v>
      </c>
      <c r="K66" s="190">
        <v>-3</v>
      </c>
    </row>
    <row r="67" spans="1:11" x14ac:dyDescent="0.2">
      <c r="A67" s="40" t="s">
        <v>53</v>
      </c>
      <c r="B67" s="131">
        <v>46079</v>
      </c>
      <c r="C67" s="43" t="s">
        <v>117</v>
      </c>
      <c r="D67" s="43" t="s">
        <v>118</v>
      </c>
      <c r="E67" s="132" t="s">
        <v>55</v>
      </c>
      <c r="F67" s="43" t="s">
        <v>174</v>
      </c>
      <c r="H67" s="47">
        <v>-332.5</v>
      </c>
      <c r="J67" s="190" t="s">
        <v>305</v>
      </c>
      <c r="K67" s="190">
        <v>-3</v>
      </c>
    </row>
    <row r="68" spans="1:11" x14ac:dyDescent="0.2">
      <c r="A68" s="40" t="s">
        <v>53</v>
      </c>
      <c r="B68" s="131">
        <v>46079</v>
      </c>
      <c r="C68" s="43" t="s">
        <v>117</v>
      </c>
      <c r="D68" s="43" t="s">
        <v>118</v>
      </c>
      <c r="E68" s="132" t="s">
        <v>55</v>
      </c>
      <c r="F68" s="43" t="s">
        <v>175</v>
      </c>
      <c r="H68" s="47">
        <v>-1634.05</v>
      </c>
      <c r="J68" s="190" t="s">
        <v>305</v>
      </c>
      <c r="K68" s="190">
        <v>-3</v>
      </c>
    </row>
    <row r="69" spans="1:11" x14ac:dyDescent="0.2">
      <c r="A69" s="40" t="s">
        <v>53</v>
      </c>
      <c r="B69" s="131">
        <v>46079</v>
      </c>
      <c r="C69" s="43" t="s">
        <v>117</v>
      </c>
      <c r="D69" s="43" t="s">
        <v>118</v>
      </c>
      <c r="E69" s="132" t="s">
        <v>55</v>
      </c>
      <c r="F69" s="43" t="s">
        <v>176</v>
      </c>
      <c r="H69" s="47">
        <v>-1099.99</v>
      </c>
      <c r="J69" s="190" t="s">
        <v>305</v>
      </c>
      <c r="K69" s="190">
        <v>-3</v>
      </c>
    </row>
    <row r="70" spans="1:11" x14ac:dyDescent="0.2">
      <c r="A70" s="40" t="s">
        <v>53</v>
      </c>
      <c r="B70" s="131">
        <v>46079</v>
      </c>
      <c r="C70" s="43" t="s">
        <v>117</v>
      </c>
      <c r="D70" s="43" t="s">
        <v>118</v>
      </c>
      <c r="E70" s="132" t="s">
        <v>55</v>
      </c>
      <c r="F70" s="43" t="s">
        <v>177</v>
      </c>
      <c r="H70" s="47">
        <v>-72.25</v>
      </c>
      <c r="J70" s="190" t="s">
        <v>305</v>
      </c>
      <c r="K70" s="190">
        <v>-3</v>
      </c>
    </row>
    <row r="71" spans="1:11" x14ac:dyDescent="0.2">
      <c r="A71" s="40" t="s">
        <v>53</v>
      </c>
      <c r="B71" s="131">
        <v>46079</v>
      </c>
      <c r="C71" s="43" t="s">
        <v>117</v>
      </c>
      <c r="D71" s="43" t="s">
        <v>118</v>
      </c>
      <c r="E71" s="132" t="s">
        <v>55</v>
      </c>
      <c r="F71" s="43" t="s">
        <v>178</v>
      </c>
      <c r="H71" s="47">
        <v>-29.98</v>
      </c>
      <c r="J71" s="190" t="s">
        <v>305</v>
      </c>
      <c r="K71" s="190">
        <v>-3</v>
      </c>
    </row>
    <row r="72" spans="1:11" x14ac:dyDescent="0.2">
      <c r="A72" s="40" t="s">
        <v>53</v>
      </c>
      <c r="B72" s="131">
        <v>46079</v>
      </c>
      <c r="C72" s="43" t="s">
        <v>117</v>
      </c>
      <c r="D72" s="43" t="s">
        <v>118</v>
      </c>
      <c r="E72" s="132" t="s">
        <v>55</v>
      </c>
      <c r="F72" s="43" t="s">
        <v>94</v>
      </c>
      <c r="H72" s="47">
        <v>-498.25</v>
      </c>
      <c r="J72" s="190" t="s">
        <v>305</v>
      </c>
      <c r="K72" s="190">
        <v>-3</v>
      </c>
    </row>
    <row r="73" spans="1:11" x14ac:dyDescent="0.2">
      <c r="A73" s="40" t="s">
        <v>53</v>
      </c>
      <c r="B73" s="131">
        <v>46079</v>
      </c>
      <c r="C73" s="43" t="s">
        <v>117</v>
      </c>
      <c r="D73" s="43" t="s">
        <v>118</v>
      </c>
      <c r="E73" s="132" t="s">
        <v>55</v>
      </c>
      <c r="F73" s="43" t="s">
        <v>179</v>
      </c>
      <c r="H73" s="47">
        <v>-10.96</v>
      </c>
      <c r="J73" s="190" t="s">
        <v>305</v>
      </c>
      <c r="K73" s="190">
        <v>-3</v>
      </c>
    </row>
    <row r="74" spans="1:11" x14ac:dyDescent="0.2">
      <c r="A74" s="40" t="s">
        <v>53</v>
      </c>
      <c r="B74" s="131">
        <v>46079</v>
      </c>
      <c r="C74" s="43" t="s">
        <v>117</v>
      </c>
      <c r="D74" s="43" t="s">
        <v>118</v>
      </c>
      <c r="E74" s="132" t="s">
        <v>55</v>
      </c>
      <c r="F74" s="43" t="s">
        <v>180</v>
      </c>
      <c r="H74" s="47">
        <v>-2.2000000000000002</v>
      </c>
      <c r="J74" s="190" t="s">
        <v>305</v>
      </c>
      <c r="K74" s="190">
        <v>-3</v>
      </c>
    </row>
    <row r="75" spans="1:11" x14ac:dyDescent="0.2">
      <c r="A75" s="40" t="s">
        <v>53</v>
      </c>
      <c r="B75" s="131">
        <v>46079</v>
      </c>
      <c r="C75" s="43" t="s">
        <v>117</v>
      </c>
      <c r="D75" s="43" t="s">
        <v>118</v>
      </c>
      <c r="E75" s="132" t="s">
        <v>55</v>
      </c>
      <c r="F75" s="43" t="s">
        <v>180</v>
      </c>
      <c r="H75" s="47">
        <v>-10.85</v>
      </c>
      <c r="J75" s="190" t="s">
        <v>305</v>
      </c>
      <c r="K75" s="190">
        <v>-3</v>
      </c>
    </row>
    <row r="76" spans="1:11" x14ac:dyDescent="0.2">
      <c r="A76" s="40" t="s">
        <v>53</v>
      </c>
      <c r="B76" s="131">
        <v>46079</v>
      </c>
      <c r="C76" s="43" t="s">
        <v>117</v>
      </c>
      <c r="D76" s="43" t="s">
        <v>118</v>
      </c>
      <c r="E76" s="132" t="s">
        <v>55</v>
      </c>
      <c r="F76" s="43" t="s">
        <v>181</v>
      </c>
      <c r="H76" s="47">
        <v>-9.99</v>
      </c>
      <c r="J76" s="190" t="s">
        <v>305</v>
      </c>
      <c r="K76" s="190">
        <v>-3</v>
      </c>
    </row>
    <row r="77" spans="1:11" x14ac:dyDescent="0.2">
      <c r="A77" s="40" t="s">
        <v>53</v>
      </c>
      <c r="B77" s="131">
        <v>46079</v>
      </c>
      <c r="C77" s="43" t="s">
        <v>117</v>
      </c>
      <c r="D77" s="43" t="s">
        <v>118</v>
      </c>
      <c r="E77" s="132" t="s">
        <v>55</v>
      </c>
      <c r="F77" s="43" t="s">
        <v>182</v>
      </c>
      <c r="H77" s="47">
        <v>-9.61</v>
      </c>
      <c r="J77" s="190" t="s">
        <v>305</v>
      </c>
      <c r="K77" s="190">
        <v>-3</v>
      </c>
    </row>
    <row r="78" spans="1:11" x14ac:dyDescent="0.2">
      <c r="A78" s="40" t="s">
        <v>53</v>
      </c>
      <c r="B78" s="131">
        <v>46079</v>
      </c>
      <c r="C78" s="43" t="s">
        <v>117</v>
      </c>
      <c r="D78" s="43" t="s">
        <v>118</v>
      </c>
      <c r="E78" s="132" t="s">
        <v>55</v>
      </c>
      <c r="F78" s="43" t="s">
        <v>183</v>
      </c>
      <c r="H78" s="47">
        <v>-33.65</v>
      </c>
      <c r="J78" s="190" t="s">
        <v>305</v>
      </c>
      <c r="K78" s="190">
        <v>-3</v>
      </c>
    </row>
    <row r="79" spans="1:11" x14ac:dyDescent="0.2">
      <c r="A79" s="40" t="s">
        <v>53</v>
      </c>
      <c r="B79" s="131">
        <v>46079</v>
      </c>
      <c r="C79" s="43" t="s">
        <v>117</v>
      </c>
      <c r="D79" s="43" t="s">
        <v>118</v>
      </c>
      <c r="E79" s="132" t="s">
        <v>55</v>
      </c>
      <c r="F79" s="43" t="s">
        <v>184</v>
      </c>
      <c r="H79" s="47">
        <v>-31.23</v>
      </c>
      <c r="J79" s="190" t="s">
        <v>305</v>
      </c>
      <c r="K79" s="190">
        <v>-3</v>
      </c>
    </row>
    <row r="80" spans="1:11" x14ac:dyDescent="0.2">
      <c r="A80" s="40" t="s">
        <v>53</v>
      </c>
      <c r="B80" s="131">
        <v>46079</v>
      </c>
      <c r="C80" s="43" t="s">
        <v>117</v>
      </c>
      <c r="D80" s="43" t="s">
        <v>118</v>
      </c>
      <c r="E80" s="132" t="s">
        <v>55</v>
      </c>
      <c r="F80" s="43" t="s">
        <v>185</v>
      </c>
      <c r="H80" s="47">
        <v>-7.69</v>
      </c>
      <c r="J80" s="190" t="s">
        <v>305</v>
      </c>
      <c r="K80" s="190">
        <v>-3</v>
      </c>
    </row>
    <row r="81" spans="1:11" x14ac:dyDescent="0.2">
      <c r="A81" s="40" t="s">
        <v>53</v>
      </c>
      <c r="B81" s="131">
        <v>46079</v>
      </c>
      <c r="C81" s="43" t="s">
        <v>117</v>
      </c>
      <c r="D81" s="43" t="s">
        <v>118</v>
      </c>
      <c r="E81" s="132" t="s">
        <v>55</v>
      </c>
      <c r="F81" s="43" t="s">
        <v>186</v>
      </c>
      <c r="H81" s="47">
        <v>-2</v>
      </c>
      <c r="J81" s="190" t="s">
        <v>305</v>
      </c>
      <c r="K81" s="190">
        <v>-3</v>
      </c>
    </row>
    <row r="82" spans="1:11" x14ac:dyDescent="0.2">
      <c r="A82" s="40" t="s">
        <v>53</v>
      </c>
      <c r="B82" s="131">
        <v>46079</v>
      </c>
      <c r="C82" s="43" t="s">
        <v>117</v>
      </c>
      <c r="D82" s="43" t="s">
        <v>118</v>
      </c>
      <c r="E82" s="132" t="s">
        <v>55</v>
      </c>
      <c r="F82" s="43" t="s">
        <v>187</v>
      </c>
      <c r="H82" s="47">
        <v>-30.62</v>
      </c>
      <c r="J82" s="190" t="s">
        <v>305</v>
      </c>
      <c r="K82" s="190">
        <v>-3</v>
      </c>
    </row>
    <row r="83" spans="1:11" x14ac:dyDescent="0.2">
      <c r="A83" s="40" t="s">
        <v>53</v>
      </c>
      <c r="B83" s="131">
        <v>46079</v>
      </c>
      <c r="C83" s="43" t="s">
        <v>117</v>
      </c>
      <c r="D83" s="43" t="s">
        <v>118</v>
      </c>
      <c r="E83" s="132" t="s">
        <v>55</v>
      </c>
      <c r="F83" s="43" t="s">
        <v>188</v>
      </c>
      <c r="H83" s="47">
        <v>-45.89</v>
      </c>
      <c r="J83" s="190" t="s">
        <v>305</v>
      </c>
      <c r="K83" s="190">
        <v>-3</v>
      </c>
    </row>
    <row r="84" spans="1:11" x14ac:dyDescent="0.2">
      <c r="A84" s="40" t="s">
        <v>53</v>
      </c>
      <c r="B84" s="131">
        <v>46079</v>
      </c>
      <c r="C84" s="43" t="s">
        <v>117</v>
      </c>
      <c r="D84" s="43" t="s">
        <v>118</v>
      </c>
      <c r="E84" s="132" t="s">
        <v>55</v>
      </c>
      <c r="F84" s="43" t="s">
        <v>189</v>
      </c>
      <c r="H84" s="47">
        <v>-7.93</v>
      </c>
      <c r="J84" s="190" t="s">
        <v>305</v>
      </c>
      <c r="K84" s="190">
        <v>-3</v>
      </c>
    </row>
    <row r="85" spans="1:11" x14ac:dyDescent="0.2">
      <c r="A85" s="40" t="s">
        <v>53</v>
      </c>
      <c r="B85" s="131">
        <v>46079</v>
      </c>
      <c r="C85" s="43" t="s">
        <v>117</v>
      </c>
      <c r="D85" s="43" t="s">
        <v>118</v>
      </c>
      <c r="E85" s="132" t="s">
        <v>55</v>
      </c>
      <c r="F85" s="43" t="s">
        <v>84</v>
      </c>
      <c r="H85" s="47">
        <v>-10.38</v>
      </c>
      <c r="J85" s="190" t="s">
        <v>305</v>
      </c>
      <c r="K85" s="190">
        <v>-3</v>
      </c>
    </row>
    <row r="86" spans="1:11" x14ac:dyDescent="0.2">
      <c r="A86" s="40" t="s">
        <v>53</v>
      </c>
      <c r="B86" s="131">
        <v>46080</v>
      </c>
      <c r="C86" s="43" t="s">
        <v>119</v>
      </c>
      <c r="D86" s="43" t="s">
        <v>120</v>
      </c>
      <c r="E86" s="132" t="s">
        <v>57</v>
      </c>
      <c r="F86" s="43" t="s">
        <v>190</v>
      </c>
      <c r="H86" s="47">
        <v>-718.85</v>
      </c>
      <c r="J86" s="190" t="s">
        <v>295</v>
      </c>
      <c r="K86" s="190">
        <v>-3</v>
      </c>
    </row>
    <row r="87" spans="1:11" x14ac:dyDescent="0.2">
      <c r="A87" s="40" t="s">
        <v>53</v>
      </c>
      <c r="B87" s="131">
        <v>46080</v>
      </c>
      <c r="C87" s="43" t="s">
        <v>121</v>
      </c>
      <c r="D87" s="43" t="s">
        <v>122</v>
      </c>
      <c r="E87" s="132" t="s">
        <v>130</v>
      </c>
      <c r="F87" s="43" t="s">
        <v>191</v>
      </c>
      <c r="H87" s="47">
        <v>-450</v>
      </c>
      <c r="J87" s="190" t="s">
        <v>289</v>
      </c>
      <c r="K87" s="190">
        <v>-3</v>
      </c>
    </row>
    <row r="88" spans="1:11" x14ac:dyDescent="0.2">
      <c r="A88" s="40" t="s">
        <v>53</v>
      </c>
      <c r="B88" s="131">
        <v>46081</v>
      </c>
      <c r="C88" s="43" t="s">
        <v>124</v>
      </c>
      <c r="D88" s="43" t="s">
        <v>125</v>
      </c>
      <c r="E88" s="132" t="s">
        <v>125</v>
      </c>
      <c r="F88" s="43" t="s">
        <v>24</v>
      </c>
      <c r="H88" s="47">
        <v>-137416.29</v>
      </c>
      <c r="J88" s="21" t="s">
        <v>305</v>
      </c>
      <c r="K88" s="190">
        <v>-3</v>
      </c>
    </row>
    <row r="89" spans="1:11" x14ac:dyDescent="0.2">
      <c r="A89" s="40" t="s">
        <v>53</v>
      </c>
      <c r="B89" s="131">
        <v>46081</v>
      </c>
      <c r="C89" s="43" t="s">
        <v>124</v>
      </c>
      <c r="D89" s="43" t="s">
        <v>125</v>
      </c>
      <c r="E89" s="132" t="s">
        <v>125</v>
      </c>
      <c r="F89" s="43" t="s">
        <v>24</v>
      </c>
      <c r="H89" s="47">
        <v>-218.14</v>
      </c>
      <c r="J89" s="21" t="s">
        <v>305</v>
      </c>
      <c r="K89" s="190">
        <v>-3</v>
      </c>
    </row>
    <row r="90" spans="1:11" x14ac:dyDescent="0.2">
      <c r="A90" s="40" t="s">
        <v>53</v>
      </c>
      <c r="B90" s="131">
        <v>46081</v>
      </c>
      <c r="C90" s="43" t="s">
        <v>128</v>
      </c>
      <c r="D90" s="43" t="s">
        <v>129</v>
      </c>
      <c r="E90" s="132" t="s">
        <v>134</v>
      </c>
      <c r="F90" s="43" t="s">
        <v>134</v>
      </c>
      <c r="H90" s="47">
        <v>-12679.49</v>
      </c>
      <c r="J90" s="191">
        <v>46082</v>
      </c>
      <c r="K90" s="190">
        <v>-4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bf3f30-e0e7-4d78-975b-e26688708161" xsi:nil="true"/>
    <lcf76f155ced4ddcb4097134ff3c332f xmlns="a5a00226-42df-4cdf-abf3-70d11146383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BD2A4E9190F478000D3BF7430858F" ma:contentTypeVersion="19" ma:contentTypeDescription="Create a new document." ma:contentTypeScope="" ma:versionID="bade4da8854789b6c51ada15fb217850">
  <xsd:schema xmlns:xsd="http://www.w3.org/2001/XMLSchema" xmlns:xs="http://www.w3.org/2001/XMLSchema" xmlns:p="http://schemas.microsoft.com/office/2006/metadata/properties" xmlns:ns2="a5a00226-42df-4cdf-abf3-70d111463837" xmlns:ns3="19bf3f30-e0e7-4d78-975b-e26688708161" targetNamespace="http://schemas.microsoft.com/office/2006/metadata/properties" ma:root="true" ma:fieldsID="406878da5add308e2b53f50d70b43558" ns2:_="" ns3:_="">
    <xsd:import namespace="a5a00226-42df-4cdf-abf3-70d111463837"/>
    <xsd:import namespace="19bf3f30-e0e7-4d78-975b-e26688708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00226-42df-4cdf-abf3-70d11146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889991-f470-4d41-bb07-f8464fff8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f3f30-e0e7-4d78-975b-e26688708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f1dde8-6a4e-4d16-886e-a95b15f7e7b8}" ma:internalName="TaxCatchAll" ma:showField="CatchAllData" ma:web="19bf3f30-e0e7-4d78-975b-e26688708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91FD2-9ED3-4F39-B814-98CCDDFE8C8B}">
  <ds:schemaRefs>
    <ds:schemaRef ds:uri="a5a00226-42df-4cdf-abf3-70d111463837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19bf3f30-e0e7-4d78-975b-e26688708161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D49EF22-35B8-4BCD-A848-DFCB3BAAF4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AA4A4F-8765-4423-BB46-7C01EE63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00226-42df-4cdf-abf3-70d111463837"/>
    <ds:schemaRef ds:uri="19bf3f30-e0e7-4d78-975b-e26688708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Bank Statement</vt:lpstr>
      <vt:lpstr>GL </vt:lpstr>
      <vt:lpstr>Un-Reconcile transactions</vt:lpstr>
      <vt:lpstr>Old Reconciled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Aditaya Kapoor</dc:creator>
  <cp:keywords/>
  <dc:description/>
  <cp:lastModifiedBy>Rahul Chaudhary</cp:lastModifiedBy>
  <cp:revision/>
  <cp:lastPrinted>2026-04-20T09:35:00Z</cp:lastPrinted>
  <dcterms:created xsi:type="dcterms:W3CDTF">2017-06-27T06:43:45Z</dcterms:created>
  <dcterms:modified xsi:type="dcterms:W3CDTF">2026-04-20T09:35:13Z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0x010100ABCBD2A4E9190F478000D3BF7430858F</vt:lpwstr>
  </property>
  <property fmtid="{D5CDD505-2E9C-101B-9397-08002B2CF9AE}" pid="3" name="MediaServiceImageTags">
    <vt:lpwstr/>
  </property>
</Properties>
</file>