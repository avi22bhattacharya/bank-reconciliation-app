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k Statement" sheetId="2" state="visible" r:id="rId2"/>
    <sheet xmlns:r="http://schemas.openxmlformats.org/officeDocument/2006/relationships" name="GL " sheetId="3" state="visible" r:id="rId3"/>
    <sheet xmlns:r="http://schemas.openxmlformats.org/officeDocument/2006/relationships" name="Un-Reconcile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&quot;$&quot;#,##0.00_);[Red]\(&quot;$&quot;#,##0.00\)"/>
    <numFmt numFmtId="166" formatCode="yyyy-mm-dd h:mm:ss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14"/>
  <sheetViews>
    <sheetView workbookViewId="0">
      <selection activeCell="A1" sqref="A1"/>
    </sheetView>
  </sheetViews>
  <sheetFormatPr baseColWidth="8" defaultRowHeight="15"/>
  <cols>
    <col width="12" customWidth="1" min="2" max="2"/>
    <col width="6" customWidth="1" min="3" max="3"/>
    <col width="16" customWidth="1" min="4" max="4"/>
    <col width="55" customWidth="1" min="5" max="5"/>
    <col width="32" customWidth="1" min="6" max="6"/>
    <col width="14" customWidth="1" min="7" max="7"/>
    <col width="14" customWidth="1" min="8" max="8"/>
  </cols>
  <sheetData>
    <row r="1">
      <c r="B1" t="inlineStr">
        <is>
          <t xml:space="preserve"> </t>
        </is>
      </c>
    </row>
    <row r="2">
      <c r="B2" s="1" t="inlineStr">
        <is>
          <t>Bank Reconciliation - BAY CITY MHC, LLC</t>
        </is>
      </c>
    </row>
    <row r="3">
      <c r="B3" t="inlineStr">
        <is>
          <t>WFB Account number 4076381680</t>
        </is>
      </c>
    </row>
    <row r="4">
      <c r="B4" s="4" t="n">
        <v>46113</v>
      </c>
    </row>
    <row r="5">
      <c r="B5" s="1" t="inlineStr">
        <is>
          <t>Bank Information</t>
        </is>
      </c>
    </row>
    <row r="7">
      <c r="F7" t="inlineStr">
        <is>
          <t>Balance per bank at the month end</t>
        </is>
      </c>
      <c r="H7" s="5" t="n">
        <v>0</v>
      </c>
    </row>
    <row r="9">
      <c r="B9" s="6" t="inlineStr">
        <is>
          <t>Outstanding Bank Deposits:</t>
        </is>
      </c>
    </row>
    <row r="10">
      <c r="B10" s="4" t="n">
        <v>46115</v>
      </c>
      <c r="C10" t="inlineStr">
        <is>
          <t>AR</t>
        </is>
      </c>
      <c r="D10" t="inlineStr"/>
      <c r="E10" t="inlineStr">
        <is>
          <t>BNKCD SETTLE MERCH DEP 260403 286768420002857 LAKESHORE BAY CITY 1043763809 286768420002857 R00000091003838493219N</t>
        </is>
      </c>
      <c r="G10" s="5" t="n">
        <v>5548.18</v>
      </c>
    </row>
    <row r="12">
      <c r="B12" s="6" t="inlineStr">
        <is>
          <t>Outstanding Bank Disbursement:</t>
        </is>
      </c>
    </row>
    <row r="13">
      <c r="B13" s="4" t="n">
        <v>46113</v>
      </c>
      <c r="C13" t="inlineStr">
        <is>
          <t>AP</t>
        </is>
      </c>
      <c r="D13" t="inlineStr"/>
      <c r="E13" t="inlineStr">
        <is>
          <t>ACH ORIGINATION - Bay City MHC - FILE EDIMN00004 COID LAK3642339 LAK3642339 FILE EDIMN00004 0S00000091003852621874N</t>
        </is>
      </c>
      <c r="G13" s="5" t="n">
        <v>-3702.24</v>
      </c>
    </row>
    <row r="14">
      <c r="B14" s="4" t="n">
        <v>46115</v>
      </c>
      <c r="C14" t="inlineStr">
        <is>
          <t>AP</t>
        </is>
      </c>
      <c r="D14" t="inlineStr"/>
      <c r="E14" t="inlineStr">
        <is>
          <t>ACH ORIGINATION - Bay City MHC - FILE EDIMN00004 COID LAK3642339 LAK3642339 FILE EDIMN00004 0S00000091003934073006N</t>
        </is>
      </c>
      <c r="G14" s="5" t="n">
        <v>-13244.09</v>
      </c>
    </row>
    <row r="15">
      <c r="B15" s="4" t="n">
        <v>46142</v>
      </c>
      <c r="C15" t="inlineStr">
        <is>
          <t>AP</t>
        </is>
      </c>
      <c r="D15" t="inlineStr"/>
      <c r="E15" t="inlineStr">
        <is>
          <t>STAGECOACH SWEEP DEBIT</t>
        </is>
      </c>
      <c r="G15" s="5" t="n">
        <v>-215978.85</v>
      </c>
    </row>
    <row r="17">
      <c r="F17" t="inlineStr">
        <is>
          <t>Outstanding Items Total</t>
        </is>
      </c>
      <c r="H17" s="5">
        <f>+SUM(G10:G15)</f>
        <v/>
      </c>
    </row>
    <row r="19">
      <c r="F19" t="inlineStr">
        <is>
          <t>Adjusted bank balance</t>
        </is>
      </c>
      <c r="H19" s="5">
        <f>+H7-H17</f>
        <v/>
      </c>
    </row>
    <row r="21">
      <c r="B21" s="1" t="inlineStr">
        <is>
          <t>General Ledger Information - 11100161 BAY CITY MHC, LLC</t>
        </is>
      </c>
    </row>
    <row r="23">
      <c r="F23" t="inlineStr">
        <is>
          <t xml:space="preserve"> Balance per TB at the month end</t>
        </is>
      </c>
      <c r="H23" s="5">
        <f>+'GL '!I465</f>
        <v/>
      </c>
    </row>
    <row r="25">
      <c r="B25" s="6" t="inlineStr">
        <is>
          <t>Un-reconcile Outstanding Deposits:</t>
        </is>
      </c>
    </row>
    <row r="26">
      <c r="B26" s="4" t="n">
        <v>46112</v>
      </c>
      <c r="C26" t="inlineStr">
        <is>
          <t>AR</t>
        </is>
      </c>
      <c r="D26" t="inlineStr">
        <is>
          <t>J-359040</t>
        </is>
      </c>
      <c r="E26" t="inlineStr">
        <is>
          <t>Accrue (161) Casa Verde MAR 2026 swap PB</t>
        </is>
      </c>
      <c r="G26" s="5" t="n">
        <v>49435.06</v>
      </c>
    </row>
    <row r="28">
      <c r="B28" s="6" t="inlineStr">
        <is>
          <t>Un-reconcile Deposits: Apr '26</t>
        </is>
      </c>
    </row>
    <row r="29">
      <c r="B29" s="4" t="n">
        <v>46113</v>
      </c>
      <c r="C29" t="inlineStr">
        <is>
          <t>AR</t>
        </is>
      </c>
      <c r="D29" t="inlineStr">
        <is>
          <t>J-360442</t>
        </is>
      </c>
      <c r="E29" t="inlineStr">
        <is>
          <t>RP : CC Deposit 04/01/2026</t>
        </is>
      </c>
      <c r="G29" s="5" t="n">
        <v>3698.18</v>
      </c>
    </row>
    <row r="30">
      <c r="B30" s="4" t="n">
        <v>46113</v>
      </c>
      <c r="C30" t="inlineStr">
        <is>
          <t>AR</t>
        </is>
      </c>
      <c r="D30" t="inlineStr">
        <is>
          <t>J-360866</t>
        </is>
      </c>
      <c r="E30" t="inlineStr">
        <is>
          <t>:Reversal of J-360719</t>
        </is>
      </c>
      <c r="G30" s="5" t="n">
        <v>12356.33</v>
      </c>
    </row>
    <row r="31">
      <c r="B31" s="4" t="n">
        <v>46126</v>
      </c>
      <c r="C31" t="inlineStr">
        <is>
          <t>AR</t>
        </is>
      </c>
      <c r="D31" t="inlineStr">
        <is>
          <t>J-364975</t>
        </is>
      </c>
      <c r="E31" t="inlineStr">
        <is>
          <t>PB from LSM for refund of Brown &amp; Brown 2025 premium</t>
        </is>
      </c>
      <c r="G31" s="5" t="n">
        <v>878</v>
      </c>
    </row>
    <row r="32">
      <c r="B32" s="4" t="n">
        <v>46133</v>
      </c>
      <c r="C32" t="inlineStr">
        <is>
          <t>AR</t>
        </is>
      </c>
      <c r="D32" t="inlineStr">
        <is>
          <t>J-365175</t>
        </is>
      </c>
      <c r="E32" t="inlineStr">
        <is>
          <t>RP : CC Deposit 04/21/2026</t>
        </is>
      </c>
      <c r="G32" s="5" t="n">
        <v>1850</v>
      </c>
    </row>
    <row r="33">
      <c r="B33" s="4" t="n">
        <v>46142</v>
      </c>
      <c r="C33" t="inlineStr">
        <is>
          <t>AR</t>
        </is>
      </c>
      <c r="D33" t="inlineStr">
        <is>
          <t>J-365370</t>
        </is>
      </c>
      <c r="E33" t="inlineStr">
        <is>
          <t>Accrue (161) Casa Verde APR 2026 swap PB</t>
        </is>
      </c>
      <c r="G33" s="5" t="n">
        <v>49107.23</v>
      </c>
    </row>
    <row r="34">
      <c r="B34" s="4" t="n">
        <v>46142</v>
      </c>
      <c r="C34" t="inlineStr">
        <is>
          <t>AR</t>
        </is>
      </c>
      <c r="D34" t="inlineStr">
        <is>
          <t>J-365490</t>
        </is>
      </c>
      <c r="E34" t="inlineStr">
        <is>
          <t>CKS 04/30/2026 Batch 356fde6e-e42f-4014-a563-3f1da59dea8c</t>
        </is>
      </c>
      <c r="G34" s="5" t="n">
        <v>1196</v>
      </c>
    </row>
    <row r="35">
      <c r="B35" s="4" t="n">
        <v>46142</v>
      </c>
      <c r="C35" t="inlineStr">
        <is>
          <t>AR</t>
        </is>
      </c>
      <c r="D35" t="inlineStr">
        <is>
          <t>J-365490</t>
        </is>
      </c>
      <c r="E35" t="inlineStr">
        <is>
          <t>CKS 04/30/2026 Batch 5a6e2dac-e26e-42da-b91f-2600735fa6b6</t>
        </is>
      </c>
      <c r="G35" s="5" t="n">
        <v>10425.97</v>
      </c>
    </row>
    <row r="36">
      <c r="B36" s="4" t="n">
        <v>46142</v>
      </c>
      <c r="C36" t="inlineStr">
        <is>
          <t>AR</t>
        </is>
      </c>
      <c r="D36" t="inlineStr">
        <is>
          <t>J-365490</t>
        </is>
      </c>
      <c r="E36" t="inlineStr">
        <is>
          <t>RP : CC Deposit 04/30/2026</t>
        </is>
      </c>
      <c r="G36" s="5" t="n">
        <v>718.38</v>
      </c>
    </row>
    <row r="38">
      <c r="F38" t="inlineStr">
        <is>
          <t xml:space="preserve">Total </t>
        </is>
      </c>
      <c r="G38" s="5">
        <f>SUM(G26:G36)</f>
        <v/>
      </c>
    </row>
    <row r="40">
      <c r="B40" s="6" t="inlineStr">
        <is>
          <t>Un-reconciled Outstanding Disbursement:</t>
        </is>
      </c>
    </row>
    <row r="41">
      <c r="B41" s="4" t="n">
        <v>46083</v>
      </c>
      <c r="C41" t="inlineStr">
        <is>
          <t>AP</t>
        </is>
      </c>
      <c r="D41" t="inlineStr">
        <is>
          <t>K-535324</t>
        </is>
      </c>
      <c r="E41" t="inlineStr">
        <is>
          <t>Gloria  Lamonaca</t>
        </is>
      </c>
      <c r="G41" s="5" t="n">
        <v>-210.25</v>
      </c>
    </row>
    <row r="42">
      <c r="B42" s="4" t="n">
        <v>46083</v>
      </c>
      <c r="C42" t="inlineStr">
        <is>
          <t>AP</t>
        </is>
      </c>
      <c r="D42" t="inlineStr">
        <is>
          <t>K-535324</t>
        </is>
      </c>
      <c r="E42" t="inlineStr">
        <is>
          <t>Lakeshore</t>
        </is>
      </c>
      <c r="G42" s="5" t="n">
        <v>-164.45</v>
      </c>
    </row>
    <row r="43">
      <c r="B43" s="4" t="n">
        <v>46083</v>
      </c>
      <c r="C43" t="inlineStr">
        <is>
          <t>AP</t>
        </is>
      </c>
      <c r="D43" t="inlineStr">
        <is>
          <t>K-535324</t>
        </is>
      </c>
      <c r="E43" t="inlineStr">
        <is>
          <t>Rocco Ameduri</t>
        </is>
      </c>
      <c r="G43" s="5" t="n">
        <v>-179.8</v>
      </c>
    </row>
    <row r="44">
      <c r="B44" s="4" t="n">
        <v>46100</v>
      </c>
      <c r="C44" t="inlineStr">
        <is>
          <t>AP</t>
        </is>
      </c>
      <c r="D44" t="inlineStr">
        <is>
          <t>K-541552</t>
        </is>
      </c>
      <c r="E44" t="inlineStr">
        <is>
          <t>161 Credit Balance Refund Boat-E87</t>
        </is>
      </c>
      <c r="G44" s="5" t="n">
        <v>-100</v>
      </c>
    </row>
    <row r="45">
      <c r="B45" s="4" t="n">
        <v>46112</v>
      </c>
      <c r="C45" t="inlineStr">
        <is>
          <t>AP</t>
        </is>
      </c>
      <c r="D45" t="inlineStr">
        <is>
          <t>K-544798</t>
        </is>
      </c>
      <c r="E45" t="inlineStr"/>
      <c r="G45" s="5" t="n">
        <v>-12.12</v>
      </c>
    </row>
    <row r="46">
      <c r="B46" s="4" t="n">
        <v>46112</v>
      </c>
      <c r="C46" t="inlineStr">
        <is>
          <t>AP</t>
        </is>
      </c>
      <c r="D46" t="inlineStr">
        <is>
          <t>K-544969</t>
        </is>
      </c>
      <c r="E46" t="inlineStr">
        <is>
          <t>candy for the office</t>
        </is>
      </c>
      <c r="G46" s="5" t="n">
        <v>-126.95</v>
      </c>
    </row>
    <row r="47">
      <c r="B47" s="4" t="n">
        <v>46112</v>
      </c>
      <c r="C47" t="inlineStr">
        <is>
          <t>AP</t>
        </is>
      </c>
      <c r="D47" t="inlineStr">
        <is>
          <t>K-544969</t>
        </is>
      </c>
      <c r="E47" t="inlineStr">
        <is>
          <t>Security cameras</t>
        </is>
      </c>
      <c r="G47" s="5" t="n">
        <v>-427.04</v>
      </c>
    </row>
    <row r="48">
      <c r="B48" s="4" t="n">
        <v>46112</v>
      </c>
      <c r="C48" t="inlineStr">
        <is>
          <t>AP</t>
        </is>
      </c>
      <c r="D48" t="inlineStr">
        <is>
          <t>K-544969</t>
        </is>
      </c>
      <c r="E48" t="inlineStr">
        <is>
          <t>Ring doorbell subscription</t>
        </is>
      </c>
      <c r="G48" s="5" t="n">
        <v>-99.98999999999999</v>
      </c>
    </row>
    <row r="49">
      <c r="B49" s="4" t="n">
        <v>46112</v>
      </c>
      <c r="C49" t="inlineStr">
        <is>
          <t>AP</t>
        </is>
      </c>
      <c r="D49" t="inlineStr">
        <is>
          <t>K-544969</t>
        </is>
      </c>
      <c r="E49" t="inlineStr">
        <is>
          <t>QBR breakfast</t>
        </is>
      </c>
      <c r="G49" s="5" t="n">
        <v>-59.58</v>
      </c>
    </row>
    <row r="50">
      <c r="B50" s="4" t="n">
        <v>46112</v>
      </c>
      <c r="C50" t="inlineStr">
        <is>
          <t>AP</t>
        </is>
      </c>
      <c r="D50" t="inlineStr">
        <is>
          <t>K-544969</t>
        </is>
      </c>
      <c r="E50" t="inlineStr">
        <is>
          <t>lunch</t>
        </is>
      </c>
      <c r="G50" s="5" t="n">
        <v>-208.77</v>
      </c>
    </row>
    <row r="51">
      <c r="B51" s="4" t="n">
        <v>46112</v>
      </c>
      <c r="C51" t="inlineStr">
        <is>
          <t>AP</t>
        </is>
      </c>
      <c r="D51" t="inlineStr">
        <is>
          <t>K-544969</t>
        </is>
      </c>
      <c r="E51" t="inlineStr">
        <is>
          <t>Yard of the Month Gift Card</t>
        </is>
      </c>
      <c r="G51" s="5" t="n">
        <v>-50</v>
      </c>
    </row>
    <row r="52">
      <c r="B52" s="4" t="n">
        <v>46112</v>
      </c>
      <c r="C52" t="inlineStr">
        <is>
          <t>AP</t>
        </is>
      </c>
      <c r="D52" t="inlineStr">
        <is>
          <t>K-544969</t>
        </is>
      </c>
      <c r="E52" t="inlineStr">
        <is>
          <t>Flashlight for safety board</t>
        </is>
      </c>
      <c r="G52" s="5" t="n">
        <v>-32.98</v>
      </c>
    </row>
    <row r="53">
      <c r="B53" s="4" t="n">
        <v>46112</v>
      </c>
      <c r="C53" t="inlineStr">
        <is>
          <t>AP</t>
        </is>
      </c>
      <c r="D53" t="inlineStr">
        <is>
          <t>K-544969</t>
        </is>
      </c>
      <c r="E53" t="inlineStr">
        <is>
          <t>Lumber for mailboxes</t>
        </is>
      </c>
      <c r="G53" s="5" t="n">
        <v>-69.44</v>
      </c>
    </row>
    <row r="54">
      <c r="B54" s="4" t="n">
        <v>46112</v>
      </c>
      <c r="C54" t="inlineStr">
        <is>
          <t>AP</t>
        </is>
      </c>
      <c r="D54" t="inlineStr">
        <is>
          <t>K-544969</t>
        </is>
      </c>
      <c r="E54" t="inlineStr">
        <is>
          <t>Mailboxes and screws</t>
        </is>
      </c>
      <c r="G54" s="5" t="n">
        <v>-209.65</v>
      </c>
    </row>
    <row r="55">
      <c r="B55" s="4" t="n">
        <v>46112</v>
      </c>
      <c r="C55" t="inlineStr">
        <is>
          <t>AP</t>
        </is>
      </c>
      <c r="D55" t="inlineStr">
        <is>
          <t>K-544969</t>
        </is>
      </c>
      <c r="E55" t="inlineStr">
        <is>
          <t>Window sign holders</t>
        </is>
      </c>
      <c r="G55" s="5" t="n">
        <v>-19.99</v>
      </c>
    </row>
    <row r="56">
      <c r="B56" s="4" t="n">
        <v>46112</v>
      </c>
      <c r="C56" t="inlineStr">
        <is>
          <t>AP</t>
        </is>
      </c>
      <c r="D56" t="inlineStr">
        <is>
          <t>K-544969</t>
        </is>
      </c>
      <c r="E56" t="inlineStr">
        <is>
          <t>Window sign holders</t>
        </is>
      </c>
      <c r="G56" s="5" t="n">
        <v>-45.6</v>
      </c>
    </row>
    <row r="57">
      <c r="B57" s="4" t="n">
        <v>46112</v>
      </c>
      <c r="C57" t="inlineStr">
        <is>
          <t>AP</t>
        </is>
      </c>
      <c r="D57" t="inlineStr">
        <is>
          <t>K-544969</t>
        </is>
      </c>
      <c r="E57" t="inlineStr">
        <is>
          <t>Diesel Fuel for tractors</t>
        </is>
      </c>
      <c r="G57" s="5" t="n">
        <v>-34.47</v>
      </c>
    </row>
    <row r="58">
      <c r="B58" s="4" t="n">
        <v>46112</v>
      </c>
      <c r="C58" t="inlineStr">
        <is>
          <t>AP</t>
        </is>
      </c>
      <c r="D58" t="inlineStr">
        <is>
          <t>K-544969</t>
        </is>
      </c>
      <c r="E58" t="inlineStr">
        <is>
          <t>Diesel Fuel for tractors</t>
        </is>
      </c>
      <c r="G58" s="5" t="n">
        <v>-34.95</v>
      </c>
    </row>
    <row r="59">
      <c r="B59" s="4" t="n">
        <v>46112</v>
      </c>
      <c r="C59" t="inlineStr">
        <is>
          <t>AP</t>
        </is>
      </c>
      <c r="D59" t="inlineStr">
        <is>
          <t>K-544969</t>
        </is>
      </c>
      <c r="E59" t="inlineStr">
        <is>
          <t>Drinkssnacks for the office</t>
        </is>
      </c>
      <c r="G59" s="5" t="n">
        <v>-64.44</v>
      </c>
    </row>
    <row r="60">
      <c r="B60" s="4" t="n">
        <v>46112</v>
      </c>
      <c r="C60" t="inlineStr">
        <is>
          <t>AP</t>
        </is>
      </c>
      <c r="D60" t="inlineStr">
        <is>
          <t>K-544969</t>
        </is>
      </c>
      <c r="E60" t="inlineStr">
        <is>
          <t>Purchase water due to frozen water pipes in office</t>
        </is>
      </c>
      <c r="G60" s="5" t="n">
        <v>-13.95</v>
      </c>
    </row>
    <row r="61">
      <c r="B61" s="4" t="n">
        <v>46112</v>
      </c>
      <c r="C61" t="inlineStr">
        <is>
          <t>AP</t>
        </is>
      </c>
      <c r="D61" t="inlineStr">
        <is>
          <t>K-544969</t>
        </is>
      </c>
      <c r="E61" t="inlineStr">
        <is>
          <t>Mailed rental increase certified mail</t>
        </is>
      </c>
      <c r="G61" s="5" t="n">
        <v>-5.3</v>
      </c>
    </row>
    <row r="62">
      <c r="B62" s="4" t="n">
        <v>46112</v>
      </c>
      <c r="C62" t="inlineStr">
        <is>
          <t>AP</t>
        </is>
      </c>
      <c r="D62" t="inlineStr">
        <is>
          <t>K-544969</t>
        </is>
      </c>
      <c r="E62" t="inlineStr">
        <is>
          <t>Mailed violation letters</t>
        </is>
      </c>
      <c r="G62" s="5" t="n">
        <v>-2.4</v>
      </c>
    </row>
    <row r="63">
      <c r="B63" s="4" t="n">
        <v>46112</v>
      </c>
      <c r="C63" t="inlineStr">
        <is>
          <t>AP</t>
        </is>
      </c>
      <c r="D63" t="inlineStr">
        <is>
          <t>K-544969</t>
        </is>
      </c>
      <c r="E63" t="inlineStr">
        <is>
          <t>Mailed Resident Application</t>
        </is>
      </c>
      <c r="G63" s="5" t="n">
        <v>-2.72</v>
      </c>
    </row>
    <row r="64">
      <c r="B64" s="4" t="n">
        <v>46112</v>
      </c>
      <c r="C64" t="inlineStr">
        <is>
          <t>AP</t>
        </is>
      </c>
      <c r="D64" t="inlineStr">
        <is>
          <t>K-544969</t>
        </is>
      </c>
      <c r="E64" t="inlineStr">
        <is>
          <t>QBR lunch</t>
        </is>
      </c>
      <c r="G64" s="5" t="n">
        <v>-49.97</v>
      </c>
    </row>
    <row r="65">
      <c r="B65" s="4" t="n">
        <v>46112</v>
      </c>
      <c r="C65" t="inlineStr">
        <is>
          <t>AP</t>
        </is>
      </c>
      <c r="D65" t="inlineStr">
        <is>
          <t>K-544969</t>
        </is>
      </c>
      <c r="E65" t="inlineStr">
        <is>
          <t>Gift Card for Resident Raffle</t>
        </is>
      </c>
      <c r="G65" s="5" t="n">
        <v>-50</v>
      </c>
    </row>
    <row r="66">
      <c r="B66" s="4" t="n">
        <v>46112</v>
      </c>
      <c r="C66" t="inlineStr">
        <is>
          <t>AP</t>
        </is>
      </c>
      <c r="D66" t="inlineStr">
        <is>
          <t>K-544969</t>
        </is>
      </c>
      <c r="E66" t="inlineStr">
        <is>
          <t>Remove and dispose of debris from the Community</t>
        </is>
      </c>
      <c r="G66" s="5" t="n">
        <v>-7.5</v>
      </c>
    </row>
    <row r="67">
      <c r="B67" s="4" t="n">
        <v>46112</v>
      </c>
      <c r="C67" t="inlineStr">
        <is>
          <t>AP</t>
        </is>
      </c>
      <c r="D67" t="inlineStr">
        <is>
          <t>K-544969</t>
        </is>
      </c>
      <c r="E67" t="inlineStr">
        <is>
          <t>Remove and dispose of debris from the Community</t>
        </is>
      </c>
      <c r="G67" s="5" t="n">
        <v>-7.5</v>
      </c>
    </row>
    <row r="68">
      <c r="B68" s="4" t="n">
        <v>46112</v>
      </c>
      <c r="C68" t="inlineStr">
        <is>
          <t>AP</t>
        </is>
      </c>
      <c r="D68" t="inlineStr">
        <is>
          <t>K-544969</t>
        </is>
      </c>
      <c r="E68" t="inlineStr">
        <is>
          <t>Remove and dispose of debris from the Community</t>
        </is>
      </c>
      <c r="G68" s="5" t="n">
        <v>-7.5</v>
      </c>
    </row>
    <row r="69">
      <c r="B69" s="4" t="n">
        <v>46112</v>
      </c>
      <c r="C69" t="inlineStr">
        <is>
          <t>AP</t>
        </is>
      </c>
      <c r="D69" t="inlineStr">
        <is>
          <t>K-544969</t>
        </is>
      </c>
      <c r="E69" t="inlineStr">
        <is>
          <t>Remove and dispose of debris from the Community</t>
        </is>
      </c>
      <c r="G69" s="5" t="n">
        <v>-8</v>
      </c>
    </row>
    <row r="70">
      <c r="B70" s="4" t="n">
        <v>46112</v>
      </c>
      <c r="C70" t="inlineStr">
        <is>
          <t>AP</t>
        </is>
      </c>
      <c r="D70" t="inlineStr">
        <is>
          <t>K-544969</t>
        </is>
      </c>
      <c r="E70" t="inlineStr">
        <is>
          <t>Remove and dispose of debris from the Community</t>
        </is>
      </c>
      <c r="G70" s="5" t="n">
        <v>-8</v>
      </c>
    </row>
    <row r="71">
      <c r="B71" s="4" t="n">
        <v>46112</v>
      </c>
      <c r="C71" t="inlineStr">
        <is>
          <t>AP</t>
        </is>
      </c>
      <c r="D71" t="inlineStr">
        <is>
          <t>K-544969</t>
        </is>
      </c>
      <c r="E71" t="inlineStr">
        <is>
          <t>Propane gas</t>
        </is>
      </c>
      <c r="G71" s="5" t="n">
        <v>-20</v>
      </c>
    </row>
    <row r="72">
      <c r="B72" s="4" t="n">
        <v>46112</v>
      </c>
      <c r="C72" t="inlineStr">
        <is>
          <t>AP</t>
        </is>
      </c>
      <c r="D72" t="inlineStr">
        <is>
          <t>K-544969</t>
        </is>
      </c>
      <c r="E72" t="inlineStr">
        <is>
          <t>Car wash for maintenance truck</t>
        </is>
      </c>
      <c r="G72" s="5" t="n">
        <v>-10</v>
      </c>
    </row>
    <row r="73">
      <c r="B73" s="4" t="n">
        <v>46112</v>
      </c>
      <c r="C73" t="inlineStr">
        <is>
          <t>AP</t>
        </is>
      </c>
      <c r="D73" t="inlineStr">
        <is>
          <t>K-544969</t>
        </is>
      </c>
      <c r="E73" t="inlineStr">
        <is>
          <t>Hydrolic fluid for the Tractor</t>
        </is>
      </c>
      <c r="G73" s="5" t="n">
        <v>-22.99</v>
      </c>
    </row>
    <row r="74">
      <c r="B74" s="4" t="n">
        <v>46112</v>
      </c>
      <c r="C74" t="inlineStr">
        <is>
          <t>AP</t>
        </is>
      </c>
      <c r="D74" t="inlineStr">
        <is>
          <t>K-544969</t>
        </is>
      </c>
      <c r="E74" t="inlineStr">
        <is>
          <t>Blade saw for eqpt</t>
        </is>
      </c>
      <c r="G74" s="5" t="n">
        <v>-45.98</v>
      </c>
    </row>
    <row r="75">
      <c r="B75" s="4" t="n">
        <v>46112</v>
      </c>
      <c r="C75" t="inlineStr">
        <is>
          <t>AP</t>
        </is>
      </c>
      <c r="D75" t="inlineStr">
        <is>
          <t>K-544969</t>
        </is>
      </c>
      <c r="E75" t="inlineStr">
        <is>
          <t>equipment maintenance supplies</t>
        </is>
      </c>
      <c r="G75" s="5" t="n">
        <v>-157.03</v>
      </c>
    </row>
    <row r="76">
      <c r="B76" s="4" t="n">
        <v>46112</v>
      </c>
      <c r="C76" t="inlineStr">
        <is>
          <t>AP</t>
        </is>
      </c>
      <c r="D76" t="inlineStr">
        <is>
          <t>K-544969</t>
        </is>
      </c>
      <c r="E76" t="inlineStr">
        <is>
          <t>Folding sawhorse</t>
        </is>
      </c>
      <c r="G76" s="5" t="n">
        <v>-74.98</v>
      </c>
    </row>
    <row r="77">
      <c r="B77" s="4" t="n">
        <v>46112</v>
      </c>
      <c r="C77" t="inlineStr">
        <is>
          <t>AP</t>
        </is>
      </c>
      <c r="D77" t="inlineStr">
        <is>
          <t>K-544969</t>
        </is>
      </c>
      <c r="E77" t="inlineStr">
        <is>
          <t>Circular saw blades for dock work</t>
        </is>
      </c>
      <c r="G77" s="5" t="n">
        <v>-12.99</v>
      </c>
    </row>
    <row r="78">
      <c r="B78" s="4" t="n">
        <v>46112</v>
      </c>
      <c r="C78" t="inlineStr">
        <is>
          <t>AP</t>
        </is>
      </c>
      <c r="D78" t="inlineStr">
        <is>
          <t>K-544969</t>
        </is>
      </c>
      <c r="E78" t="inlineStr">
        <is>
          <t>Treated lumber for new mailboxes</t>
        </is>
      </c>
      <c r="G78" s="5" t="n">
        <v>-155.73</v>
      </c>
    </row>
    <row r="79">
      <c r="B79" s="4" t="n">
        <v>46112</v>
      </c>
      <c r="C79" t="inlineStr">
        <is>
          <t>AP</t>
        </is>
      </c>
      <c r="D79" t="inlineStr">
        <is>
          <t>K-544969</t>
        </is>
      </c>
      <c r="E79" t="inlineStr">
        <is>
          <t>For mailbox installation</t>
        </is>
      </c>
      <c r="G79" s="5" t="n">
        <v>-16.47</v>
      </c>
    </row>
    <row r="80">
      <c r="B80" s="4" t="n">
        <v>46112</v>
      </c>
      <c r="C80" t="inlineStr">
        <is>
          <t>AP</t>
        </is>
      </c>
      <c r="D80" t="inlineStr">
        <is>
          <t>K-544969</t>
        </is>
      </c>
      <c r="E80" t="inlineStr">
        <is>
          <t>Crush and run gravel for maintenance equipment area</t>
        </is>
      </c>
      <c r="G80" s="5" t="n">
        <v>-138.16</v>
      </c>
    </row>
    <row r="81">
      <c r="B81" s="4" t="n">
        <v>46112</v>
      </c>
      <c r="C81" t="inlineStr">
        <is>
          <t>AP</t>
        </is>
      </c>
      <c r="D81" t="inlineStr">
        <is>
          <t>K-544969</t>
        </is>
      </c>
      <c r="E81" t="inlineStr">
        <is>
          <t>Stone for maintenance equipment area</t>
        </is>
      </c>
      <c r="G81" s="5" t="n">
        <v>-162.93</v>
      </c>
    </row>
    <row r="82">
      <c r="B82" s="4" t="n">
        <v>46112</v>
      </c>
      <c r="C82" t="inlineStr">
        <is>
          <t>AP</t>
        </is>
      </c>
      <c r="D82" t="inlineStr">
        <is>
          <t>K-544969</t>
        </is>
      </c>
      <c r="E82" t="inlineStr">
        <is>
          <t>Stone for maintenance equipment area</t>
        </is>
      </c>
      <c r="G82" s="5" t="n">
        <v>-154.64</v>
      </c>
    </row>
    <row r="83">
      <c r="B83" s="4" t="n">
        <v>46112</v>
      </c>
      <c r="C83" t="inlineStr">
        <is>
          <t>AP</t>
        </is>
      </c>
      <c r="D83" t="inlineStr">
        <is>
          <t>K-544969</t>
        </is>
      </c>
      <c r="E83" t="inlineStr">
        <is>
          <t>Treated lumber for new mailboxes</t>
        </is>
      </c>
      <c r="G83" s="5" t="n">
        <v>-98.39</v>
      </c>
    </row>
    <row r="84">
      <c r="B84" s="4" t="n">
        <v>46112</v>
      </c>
      <c r="C84" t="inlineStr">
        <is>
          <t>AP</t>
        </is>
      </c>
      <c r="D84" t="inlineStr">
        <is>
          <t>K-544969</t>
        </is>
      </c>
      <c r="E84" t="inlineStr">
        <is>
          <t>Treated lumber for new mailboxes</t>
        </is>
      </c>
      <c r="G84" s="5" t="n">
        <v>-124.74</v>
      </c>
    </row>
    <row r="85">
      <c r="B85" s="4" t="n">
        <v>46112</v>
      </c>
      <c r="C85" t="inlineStr">
        <is>
          <t>AP</t>
        </is>
      </c>
      <c r="D85" t="inlineStr">
        <is>
          <t>K-544969</t>
        </is>
      </c>
      <c r="E85" t="inlineStr">
        <is>
          <t>gas for vehicle</t>
        </is>
      </c>
      <c r="G85" s="5" t="n">
        <v>-71.78</v>
      </c>
    </row>
    <row r="86">
      <c r="B86" s="4" t="n">
        <v>46112</v>
      </c>
      <c r="C86" t="inlineStr">
        <is>
          <t>AP</t>
        </is>
      </c>
      <c r="D86" t="inlineStr">
        <is>
          <t>K-544969</t>
        </is>
      </c>
      <c r="E86" t="inlineStr">
        <is>
          <t>gas for vehicle</t>
        </is>
      </c>
      <c r="G86" s="5" t="n">
        <v>-69.59</v>
      </c>
    </row>
    <row r="87">
      <c r="B87" s="4" t="n">
        <v>46112</v>
      </c>
      <c r="C87" t="inlineStr">
        <is>
          <t>AP</t>
        </is>
      </c>
      <c r="D87" t="inlineStr">
        <is>
          <t>K-544969</t>
        </is>
      </c>
      <c r="E87" t="inlineStr">
        <is>
          <t>gas for vehicle</t>
        </is>
      </c>
      <c r="G87" s="5" t="n">
        <v>-74.63</v>
      </c>
    </row>
    <row r="88">
      <c r="B88" s="4" t="n">
        <v>46112</v>
      </c>
      <c r="C88" t="inlineStr">
        <is>
          <t>AP</t>
        </is>
      </c>
      <c r="D88" t="inlineStr">
        <is>
          <t>K-544969</t>
        </is>
      </c>
      <c r="E88" t="inlineStr">
        <is>
          <t>gas for vehicle</t>
        </is>
      </c>
      <c r="G88" s="5" t="n">
        <v>-52.5</v>
      </c>
    </row>
    <row r="89">
      <c r="B89" s="4" t="n">
        <v>46112</v>
      </c>
      <c r="C89" t="inlineStr">
        <is>
          <t>AP</t>
        </is>
      </c>
      <c r="D89" t="inlineStr">
        <is>
          <t>K-544969</t>
        </is>
      </c>
      <c r="E89" t="inlineStr">
        <is>
          <t>gas for vehicle</t>
        </is>
      </c>
      <c r="G89" s="5" t="n">
        <v>-52.58</v>
      </c>
    </row>
    <row r="90">
      <c r="B90" s="4" t="n">
        <v>46112</v>
      </c>
      <c r="C90" t="inlineStr">
        <is>
          <t>AP</t>
        </is>
      </c>
      <c r="D90" t="inlineStr">
        <is>
          <t>K-544969</t>
        </is>
      </c>
      <c r="E90" t="inlineStr">
        <is>
          <t>diesel fuel</t>
        </is>
      </c>
      <c r="G90" s="5" t="n">
        <v>-15.15</v>
      </c>
    </row>
    <row r="91">
      <c r="B91" s="4" t="n">
        <v>46112</v>
      </c>
      <c r="C91" t="inlineStr">
        <is>
          <t>AP</t>
        </is>
      </c>
      <c r="D91" t="inlineStr">
        <is>
          <t>K-544969</t>
        </is>
      </c>
      <c r="E91" t="inlineStr">
        <is>
          <t>Nextiva VoIP Feb</t>
        </is>
      </c>
      <c r="G91" s="5" t="n">
        <v>-20</v>
      </c>
    </row>
    <row r="92">
      <c r="B92" s="4" t="n">
        <v>46112</v>
      </c>
      <c r="C92" t="inlineStr">
        <is>
          <t>AP</t>
        </is>
      </c>
      <c r="D92" t="inlineStr">
        <is>
          <t>K-544969</t>
        </is>
      </c>
      <c r="E92" t="inlineStr">
        <is>
          <t>AMBS Call Center Feb</t>
        </is>
      </c>
      <c r="G92" s="5" t="n">
        <v>-17.83</v>
      </c>
    </row>
    <row r="93">
      <c r="B93" s="4" t="n">
        <v>46112</v>
      </c>
      <c r="C93" t="inlineStr">
        <is>
          <t>AP</t>
        </is>
      </c>
      <c r="D93" t="inlineStr">
        <is>
          <t>K-544969</t>
        </is>
      </c>
      <c r="E93" t="inlineStr">
        <is>
          <t>1st Qrt snowstorm site vistes</t>
        </is>
      </c>
      <c r="G93" s="5" t="n">
        <v>-163.94</v>
      </c>
    </row>
    <row r="94">
      <c r="B94" s="4" t="n">
        <v>46112</v>
      </c>
      <c r="C94" t="inlineStr">
        <is>
          <t>AP</t>
        </is>
      </c>
      <c r="D94" t="inlineStr">
        <is>
          <t>K-544969</t>
        </is>
      </c>
      <c r="E94" t="inlineStr">
        <is>
          <t>1st Qrt snowstorm site vistes</t>
        </is>
      </c>
      <c r="G94" s="5" t="n">
        <v>-2</v>
      </c>
    </row>
    <row r="95">
      <c r="B95" s="4" t="n">
        <v>46112</v>
      </c>
      <c r="C95" t="inlineStr">
        <is>
          <t>AP</t>
        </is>
      </c>
      <c r="D95" t="inlineStr">
        <is>
          <t>K-544969</t>
        </is>
      </c>
      <c r="E95" t="inlineStr">
        <is>
          <t>Mail Increase NoticesLeases</t>
        </is>
      </c>
      <c r="G95" s="5" t="n">
        <v>-11.48</v>
      </c>
    </row>
    <row r="96">
      <c r="B96" s="4" t="n">
        <v>46112</v>
      </c>
      <c r="C96" t="inlineStr">
        <is>
          <t>AP</t>
        </is>
      </c>
      <c r="D96" t="inlineStr">
        <is>
          <t>K-544969</t>
        </is>
      </c>
      <c r="E96" t="inlineStr">
        <is>
          <t>Mail Increase NoticesLeases</t>
        </is>
      </c>
      <c r="G96" s="5" t="n">
        <v>-15.66</v>
      </c>
    </row>
    <row r="97">
      <c r="B97" s="4" t="n">
        <v>46112</v>
      </c>
      <c r="C97" t="inlineStr">
        <is>
          <t>AP</t>
        </is>
      </c>
      <c r="D97" t="inlineStr">
        <is>
          <t>K-544969</t>
        </is>
      </c>
      <c r="E97" t="inlineStr">
        <is>
          <t>Mail Increase NoticesLeases</t>
        </is>
      </c>
      <c r="G97" s="5" t="n">
        <v>-7.83</v>
      </c>
    </row>
    <row r="98">
      <c r="B98" s="4" t="n">
        <v>46112</v>
      </c>
      <c r="C98" t="inlineStr">
        <is>
          <t>AP</t>
        </is>
      </c>
      <c r="D98" t="inlineStr">
        <is>
          <t>K-544969</t>
        </is>
      </c>
      <c r="E98" t="inlineStr">
        <is>
          <t>Mail Increase NoticesLeases</t>
        </is>
      </c>
      <c r="G98" s="5" t="n">
        <v>-11.48</v>
      </c>
    </row>
    <row r="99">
      <c r="B99" s="4" t="n">
        <v>46112</v>
      </c>
      <c r="C99" t="inlineStr">
        <is>
          <t>AP</t>
        </is>
      </c>
      <c r="D99" t="inlineStr">
        <is>
          <t>K-544969</t>
        </is>
      </c>
      <c r="E99" t="inlineStr">
        <is>
          <t>lunch site visit</t>
        </is>
      </c>
      <c r="G99" s="5" t="n">
        <v>-13.69</v>
      </c>
    </row>
    <row r="100">
      <c r="B100" s="4" t="n">
        <v>46112</v>
      </c>
      <c r="C100" t="inlineStr">
        <is>
          <t>AP</t>
        </is>
      </c>
      <c r="D100" t="inlineStr">
        <is>
          <t>K-544969</t>
        </is>
      </c>
      <c r="E100" t="inlineStr">
        <is>
          <t>Breakfast</t>
        </is>
      </c>
      <c r="G100" s="5" t="n">
        <v>-12.55</v>
      </c>
    </row>
    <row r="101">
      <c r="B101" s="4" t="n">
        <v>46112</v>
      </c>
      <c r="C101" t="inlineStr">
        <is>
          <t>AP</t>
        </is>
      </c>
      <c r="D101" t="inlineStr">
        <is>
          <t>K-544969</t>
        </is>
      </c>
      <c r="E101" t="inlineStr">
        <is>
          <t>lunchdinner during property visit for new homes</t>
        </is>
      </c>
      <c r="G101" s="5" t="n">
        <v>-30.57</v>
      </c>
    </row>
    <row r="102">
      <c r="B102" s="4" t="n">
        <v>46112</v>
      </c>
      <c r="C102" t="inlineStr">
        <is>
          <t>AP</t>
        </is>
      </c>
      <c r="D102" t="inlineStr">
        <is>
          <t>K-544969</t>
        </is>
      </c>
      <c r="E102" t="inlineStr">
        <is>
          <t>lunch during property visit for new homes</t>
        </is>
      </c>
      <c r="G102" s="5" t="n">
        <v>-13.73</v>
      </c>
    </row>
    <row r="103">
      <c r="B103" s="4" t="n">
        <v>46112</v>
      </c>
      <c r="C103" t="inlineStr">
        <is>
          <t>AP</t>
        </is>
      </c>
      <c r="D103" t="inlineStr">
        <is>
          <t>K-544969</t>
        </is>
      </c>
      <c r="E103" t="inlineStr">
        <is>
          <t>lunch during property visit for new homes</t>
        </is>
      </c>
      <c r="G103" s="5" t="n">
        <v>-14.97</v>
      </c>
    </row>
    <row r="104">
      <c r="B104" s="4" t="n">
        <v>46112</v>
      </c>
      <c r="C104" t="inlineStr">
        <is>
          <t>AP</t>
        </is>
      </c>
      <c r="D104" t="inlineStr">
        <is>
          <t>K-544969</t>
        </is>
      </c>
      <c r="E104" t="inlineStr">
        <is>
          <t>stakes to mark new electric pedestal placement</t>
        </is>
      </c>
      <c r="G104" s="5" t="n">
        <v>-6.36</v>
      </c>
    </row>
    <row r="105">
      <c r="B105" s="4" t="n">
        <v>46112</v>
      </c>
      <c r="C105" t="inlineStr">
        <is>
          <t>AP</t>
        </is>
      </c>
      <c r="D105" t="inlineStr">
        <is>
          <t>K-544969</t>
        </is>
      </c>
      <c r="E105" t="inlineStr">
        <is>
          <t>Staging inventory home towels pillows comforter glass ware vase</t>
        </is>
      </c>
      <c r="G105" s="5" t="n">
        <v>-59.25</v>
      </c>
    </row>
    <row r="106">
      <c r="B106" s="4" t="n">
        <v>46112</v>
      </c>
      <c r="C106" t="inlineStr">
        <is>
          <t>AP</t>
        </is>
      </c>
      <c r="D106" t="inlineStr">
        <is>
          <t>K-544969</t>
        </is>
      </c>
      <c r="E106" t="inlineStr">
        <is>
          <t>Center Card regional allocation</t>
        </is>
      </c>
      <c r="G106" s="5" t="n">
        <v>-13.53</v>
      </c>
    </row>
    <row r="107">
      <c r="B107" s="4" t="n">
        <v>46112</v>
      </c>
      <c r="C107" t="inlineStr">
        <is>
          <t>AP</t>
        </is>
      </c>
      <c r="D107" t="inlineStr">
        <is>
          <t>K-544969</t>
        </is>
      </c>
      <c r="E107" t="inlineStr">
        <is>
          <t>Center Card regional allocation</t>
        </is>
      </c>
      <c r="G107" s="5" t="n">
        <v>-97.3</v>
      </c>
    </row>
    <row r="108">
      <c r="B108" s="4" t="n">
        <v>46112</v>
      </c>
      <c r="C108" t="inlineStr">
        <is>
          <t>AP</t>
        </is>
      </c>
      <c r="D108" t="inlineStr">
        <is>
          <t>J-360719</t>
        </is>
      </c>
      <c r="E108" t="inlineStr">
        <is>
          <t>Park Mgmt Fees Mar 2026 :Reversed by J-360866</t>
        </is>
      </c>
      <c r="G108" s="5" t="n">
        <v>-12356.33</v>
      </c>
    </row>
    <row r="110">
      <c r="B110" s="6" t="inlineStr">
        <is>
          <t>Un-reconcile Disbursement: Apr '26</t>
        </is>
      </c>
    </row>
    <row r="111">
      <c r="B111" s="4" t="n">
        <v>46113</v>
      </c>
      <c r="C111" t="inlineStr">
        <is>
          <t>AP</t>
        </is>
      </c>
      <c r="D111" t="inlineStr">
        <is>
          <t>K-545525</t>
        </is>
      </c>
      <c r="E111" t="inlineStr">
        <is>
          <t>WC 11-2025 to 11-2026</t>
        </is>
      </c>
      <c r="G111" s="5" t="n">
        <v>-639.52</v>
      </c>
    </row>
    <row r="112">
      <c r="B112" s="4" t="n">
        <v>46113</v>
      </c>
      <c r="C112" t="inlineStr">
        <is>
          <t>AP</t>
        </is>
      </c>
      <c r="D112" t="inlineStr">
        <is>
          <t>J-359045</t>
        </is>
      </c>
      <c r="E112" t="inlineStr">
        <is>
          <t>Accrue (161) Casa Verde MAR 2026 swap PB</t>
        </is>
      </c>
      <c r="G112" s="5" t="n">
        <v>-49435.06</v>
      </c>
    </row>
    <row r="113">
      <c r="B113" s="4" t="n">
        <v>46114</v>
      </c>
      <c r="C113" t="inlineStr">
        <is>
          <t>AP</t>
        </is>
      </c>
      <c r="D113" t="inlineStr">
        <is>
          <t>K-546195</t>
        </is>
      </c>
      <c r="E113" t="inlineStr">
        <is>
          <t>MOBILE MEDICAL DEVICES 2026</t>
        </is>
      </c>
      <c r="G113" s="5" t="n">
        <v>-887.76</v>
      </c>
    </row>
    <row r="114">
      <c r="B114" s="4" t="n">
        <v>46114</v>
      </c>
      <c r="C114" t="inlineStr">
        <is>
          <t>AP</t>
        </is>
      </c>
      <c r="D114" t="inlineStr">
        <is>
          <t>K-546552</t>
        </is>
      </c>
      <c r="E114" t="inlineStr">
        <is>
          <t>Management Fees</t>
        </is>
      </c>
      <c r="G114" s="5" t="n">
        <v>-12356.33</v>
      </c>
    </row>
    <row r="115">
      <c r="B115" s="4" t="n">
        <v>46121</v>
      </c>
      <c r="C115" t="inlineStr">
        <is>
          <t>AP</t>
        </is>
      </c>
      <c r="D115" t="inlineStr">
        <is>
          <t>K-548883</t>
        </is>
      </c>
      <c r="E115" t="inlineStr">
        <is>
          <t>PB PARKS FOR REFUND OF BROWN &amp; BROWN 2025 PREMIUM</t>
        </is>
      </c>
      <c r="G115" s="5" t="n">
        <v>-878</v>
      </c>
    </row>
    <row r="116">
      <c r="B116" s="4" t="n">
        <v>46126</v>
      </c>
      <c r="C116" t="inlineStr">
        <is>
          <t>AP</t>
        </is>
      </c>
      <c r="D116" t="inlineStr">
        <is>
          <t>K-549939</t>
        </is>
      </c>
      <c r="E116" t="inlineStr">
        <is>
          <t>04/01/2026-06/30/2026-Sewer-08-02-034-89-SEWER 1-25818 BERRY ST BAY CITY LOT 89</t>
        </is>
      </c>
      <c r="G116" s="5" t="n">
        <v>-88</v>
      </c>
    </row>
    <row r="117">
      <c r="B117" s="4" t="n">
        <v>46126</v>
      </c>
      <c r="C117" t="inlineStr">
        <is>
          <t>AP</t>
        </is>
      </c>
      <c r="D117" t="inlineStr">
        <is>
          <t>K-549939</t>
        </is>
      </c>
      <c r="E117" t="inlineStr">
        <is>
          <t>04/01/2026-06/30/2026-Sewer-08-02-034-0-SEWER 17-BAY CITY LOT 0</t>
        </is>
      </c>
      <c r="G117" s="5" t="n">
        <v>-88</v>
      </c>
    </row>
    <row r="118">
      <c r="B118" s="4" t="n">
        <v>46127</v>
      </c>
      <c r="C118" t="inlineStr">
        <is>
          <t>AP</t>
        </is>
      </c>
      <c r="D118" t="inlineStr">
        <is>
          <t>K-550563</t>
        </is>
      </c>
      <c r="E118" t="inlineStr">
        <is>
          <t>04/01/2026-06/30/2026-Sewer-08-02-034-D21-SEWER 21-35264 5TH ST BAY CITY LOT D21</t>
        </is>
      </c>
      <c r="G118" s="5" t="n">
        <v>-168.26</v>
      </c>
    </row>
    <row r="119">
      <c r="B119" s="4" t="n">
        <v>46127</v>
      </c>
      <c r="C119" t="inlineStr">
        <is>
          <t>AP</t>
        </is>
      </c>
      <c r="D119" t="inlineStr">
        <is>
          <t>K-550563</t>
        </is>
      </c>
      <c r="E119" t="inlineStr">
        <is>
          <t>04/01/2026-06/30/2026-Sewer-08-02-034-E17-SEWER 17-BAY CITY LOT E17</t>
        </is>
      </c>
      <c r="G119" s="5" t="n">
        <v>-88</v>
      </c>
    </row>
    <row r="120">
      <c r="B120" s="4" t="n">
        <v>46129</v>
      </c>
      <c r="C120" t="inlineStr">
        <is>
          <t>AP</t>
        </is>
      </c>
      <c r="D120" t="inlineStr">
        <is>
          <t>K-551516</t>
        </is>
      </c>
      <c r="E120" t="inlineStr">
        <is>
          <t>HANDICAP UNIT</t>
        </is>
      </c>
      <c r="G120" s="5" t="n">
        <v>-250.46</v>
      </c>
    </row>
    <row r="121">
      <c r="B121" s="4" t="n">
        <v>46136</v>
      </c>
      <c r="C121" t="inlineStr">
        <is>
          <t>AP</t>
        </is>
      </c>
      <c r="D121" t="inlineStr">
        <is>
          <t>K-553075</t>
        </is>
      </c>
      <c r="E121" t="inlineStr">
        <is>
          <t>Signs</t>
        </is>
      </c>
      <c r="G121" s="5" t="n">
        <v>-171.25</v>
      </c>
    </row>
    <row r="122">
      <c r="B122" s="4" t="n">
        <v>46136</v>
      </c>
      <c r="C122" t="inlineStr">
        <is>
          <t>AP</t>
        </is>
      </c>
      <c r="D122" t="inlineStr">
        <is>
          <t>K-553076</t>
        </is>
      </c>
      <c r="E122" t="inlineStr">
        <is>
          <t>Office gutters</t>
        </is>
      </c>
      <c r="G122" s="5" t="n">
        <v>-853.5</v>
      </c>
    </row>
    <row r="123">
      <c r="B123" s="4" t="n">
        <v>46139</v>
      </c>
      <c r="C123" t="inlineStr">
        <is>
          <t>AP</t>
        </is>
      </c>
      <c r="D123" t="inlineStr">
        <is>
          <t>K-553649</t>
        </is>
      </c>
      <c r="E123" t="inlineStr">
        <is>
          <t>CAT ENV, MAIL SERVICE/PREP AND LETTER 1 SIDED.</t>
        </is>
      </c>
      <c r="G123" s="5" t="n">
        <v>-190.28</v>
      </c>
    </row>
    <row r="124">
      <c r="B124" s="4" t="n">
        <v>46139</v>
      </c>
      <c r="C124" t="inlineStr">
        <is>
          <t>AP</t>
        </is>
      </c>
      <c r="D124" t="inlineStr">
        <is>
          <t>K-553649</t>
        </is>
      </c>
      <c r="E124" t="inlineStr">
        <is>
          <t>CAT ENV, MAIL SERVICE/PREP AND N LETTER1 SIDED.</t>
        </is>
      </c>
      <c r="G124" s="5" t="n">
        <v>-468.76</v>
      </c>
    </row>
    <row r="125">
      <c r="B125" s="4" t="n">
        <v>46139</v>
      </c>
      <c r="C125" t="inlineStr">
        <is>
          <t>AP</t>
        </is>
      </c>
      <c r="D125" t="inlineStr">
        <is>
          <t>K-553676</t>
        </is>
      </c>
      <c r="E125" t="inlineStr">
        <is>
          <t>ORDER# 7914809779-000-001 BY GLORIA LAMONACA</t>
        </is>
      </c>
      <c r="G125" s="5" t="n">
        <v>-1231.82</v>
      </c>
    </row>
    <row r="126">
      <c r="B126" s="4" t="n">
        <v>46139</v>
      </c>
      <c r="C126" t="inlineStr">
        <is>
          <t>AP</t>
        </is>
      </c>
      <c r="D126" t="inlineStr">
        <is>
          <t>K-553676</t>
        </is>
      </c>
      <c r="E126" t="inlineStr">
        <is>
          <t>ORDER# 7679035254-000-001 BY TINA CARLTON</t>
        </is>
      </c>
      <c r="G126" s="5" t="n">
        <v>-389.21</v>
      </c>
    </row>
    <row r="127">
      <c r="B127" s="4" t="n">
        <v>46139</v>
      </c>
      <c r="C127" t="inlineStr">
        <is>
          <t>AP</t>
        </is>
      </c>
      <c r="D127" t="inlineStr">
        <is>
          <t>K-553676</t>
        </is>
      </c>
      <c r="E127" t="inlineStr">
        <is>
          <t>ORDER# 7679035254-000-002 BY TINA CARLTON</t>
        </is>
      </c>
      <c r="G127" s="5" t="n">
        <v>-45.99</v>
      </c>
    </row>
    <row r="128">
      <c r="B128" s="4" t="n">
        <v>46141</v>
      </c>
      <c r="C128" t="inlineStr">
        <is>
          <t>AP</t>
        </is>
      </c>
      <c r="D128" t="inlineStr">
        <is>
          <t>K-554152</t>
        </is>
      </c>
      <c r="E128" t="inlineStr">
        <is>
          <t>03/26/2026-04/24/2026-Electric-5220205-ELECTRIC 1-BAY CITY</t>
        </is>
      </c>
      <c r="G128" s="5" t="n">
        <v>-718.85</v>
      </c>
    </row>
    <row r="129">
      <c r="B129" s="4" t="n">
        <v>46142</v>
      </c>
      <c r="C129" t="inlineStr">
        <is>
          <t>AP</t>
        </is>
      </c>
      <c r="D129" t="inlineStr">
        <is>
          <t>K-554198</t>
        </is>
      </c>
      <c r="E129" t="inlineStr">
        <is>
          <t>04-2026 transfer funds for SD activity</t>
        </is>
      </c>
      <c r="G129" s="5" t="n">
        <v>-1000</v>
      </c>
    </row>
    <row r="130">
      <c r="B130" s="4" t="n">
        <v>46142</v>
      </c>
      <c r="C130" t="inlineStr">
        <is>
          <t>AP</t>
        </is>
      </c>
      <c r="D130" t="inlineStr">
        <is>
          <t>K-554354</t>
        </is>
      </c>
      <c r="E130" t="inlineStr">
        <is>
          <t>mh village ads 03.07.26</t>
        </is>
      </c>
      <c r="G130" s="5" t="n">
        <v>-22.85</v>
      </c>
    </row>
    <row r="131">
      <c r="B131" s="4" t="n">
        <v>46142</v>
      </c>
      <c r="C131" t="inlineStr">
        <is>
          <t>AP</t>
        </is>
      </c>
      <c r="D131" t="inlineStr">
        <is>
          <t>K-554354</t>
        </is>
      </c>
      <c r="E131" t="inlineStr">
        <is>
          <t>Amex PB W2165149 DR431CL DR431CL DRUM UNIT MFCL8610CDW L-SUPL SUPL Gloria Lamonaca 161bct</t>
        </is>
      </c>
      <c r="G131" s="5" t="n">
        <v>-184.28</v>
      </c>
    </row>
    <row r="132">
      <c r="B132" s="4" t="n">
        <v>46142</v>
      </c>
      <c r="C132" t="inlineStr">
        <is>
          <t>AP</t>
        </is>
      </c>
      <c r="D132" t="inlineStr">
        <is>
          <t>K-554718</t>
        </is>
      </c>
      <c r="E132" t="inlineStr">
        <is>
          <t>Utility Invoice Processing (UEM) 03/01/2026 - 03/31/2026 Inv# 1413826</t>
        </is>
      </c>
      <c r="G132" s="5" t="n">
        <v>-49</v>
      </c>
    </row>
    <row r="133">
      <c r="B133" s="4" t="n">
        <v>46142</v>
      </c>
      <c r="C133" t="inlineStr">
        <is>
          <t>AP</t>
        </is>
      </c>
      <c r="D133" t="inlineStr">
        <is>
          <t>K-554853</t>
        </is>
      </c>
      <c r="E133" t="inlineStr">
        <is>
          <t>Feather flag pole kits</t>
        </is>
      </c>
      <c r="G133" s="5" t="n">
        <v>-495.92</v>
      </c>
    </row>
    <row r="134">
      <c r="B134" s="4" t="n">
        <v>46142</v>
      </c>
      <c r="C134" t="inlineStr">
        <is>
          <t>AP</t>
        </is>
      </c>
      <c r="D134" t="inlineStr">
        <is>
          <t>K-554853</t>
        </is>
      </c>
      <c r="E134" t="inlineStr">
        <is>
          <t>Paper towels chips chocolate and microwave for clubhouse</t>
        </is>
      </c>
      <c r="G134" s="5" t="n">
        <v>-136.79</v>
      </c>
    </row>
    <row r="135">
      <c r="B135" s="4" t="n">
        <v>46142</v>
      </c>
      <c r="C135" t="inlineStr">
        <is>
          <t>AP</t>
        </is>
      </c>
      <c r="D135" t="inlineStr">
        <is>
          <t>K-554853</t>
        </is>
      </c>
      <c r="E135" t="inlineStr">
        <is>
          <t>lunch</t>
        </is>
      </c>
      <c r="G135" s="5" t="n">
        <v>-100.13</v>
      </c>
    </row>
    <row r="136">
      <c r="B136" s="4" t="n">
        <v>46142</v>
      </c>
      <c r="C136" t="inlineStr">
        <is>
          <t>AP</t>
        </is>
      </c>
      <c r="D136" t="inlineStr">
        <is>
          <t>K-554853</t>
        </is>
      </c>
      <c r="E136" t="inlineStr">
        <is>
          <t>Plant for new homeowner</t>
        </is>
      </c>
      <c r="G136" s="5" t="n">
        <v>-39.99</v>
      </c>
    </row>
    <row r="137">
      <c r="B137" s="4" t="n">
        <v>46142</v>
      </c>
      <c r="C137" t="inlineStr">
        <is>
          <t>AP</t>
        </is>
      </c>
      <c r="D137" t="inlineStr">
        <is>
          <t>K-554853</t>
        </is>
      </c>
      <c r="E137" t="inlineStr">
        <is>
          <t>Resident luncheon</t>
        </is>
      </c>
      <c r="G137" s="5" t="n">
        <v>-81.27</v>
      </c>
    </row>
    <row r="138">
      <c r="B138" s="4" t="n">
        <v>46142</v>
      </c>
      <c r="C138" t="inlineStr">
        <is>
          <t>AP</t>
        </is>
      </c>
      <c r="D138" t="inlineStr">
        <is>
          <t>K-554853</t>
        </is>
      </c>
      <c r="E138" t="inlineStr">
        <is>
          <t>Resident luncheon</t>
        </is>
      </c>
      <c r="G138" s="5" t="n">
        <v>-23.2</v>
      </c>
    </row>
    <row r="139">
      <c r="B139" s="4" t="n">
        <v>46142</v>
      </c>
      <c r="C139" t="inlineStr">
        <is>
          <t>AP</t>
        </is>
      </c>
      <c r="D139" t="inlineStr">
        <is>
          <t>K-554853</t>
        </is>
      </c>
      <c r="E139" t="inlineStr">
        <is>
          <t>Resident luncheon</t>
        </is>
      </c>
      <c r="G139" s="5" t="n">
        <v>-64.98999999999999</v>
      </c>
    </row>
    <row r="140">
      <c r="B140" s="4" t="n">
        <v>46142</v>
      </c>
      <c r="C140" t="inlineStr">
        <is>
          <t>AP</t>
        </is>
      </c>
      <c r="D140" t="inlineStr">
        <is>
          <t>K-554853</t>
        </is>
      </c>
      <c r="E140" t="inlineStr">
        <is>
          <t>Basket for family of resident who passed away</t>
        </is>
      </c>
      <c r="G140" s="5" t="n">
        <v>-144.98</v>
      </c>
    </row>
    <row r="141">
      <c r="B141" s="4" t="n">
        <v>46142</v>
      </c>
      <c r="C141" t="inlineStr">
        <is>
          <t>AP</t>
        </is>
      </c>
      <c r="D141" t="inlineStr">
        <is>
          <t>K-554853</t>
        </is>
      </c>
      <c r="E141" t="inlineStr">
        <is>
          <t>Dump debris from community</t>
        </is>
      </c>
      <c r="G141" s="5" t="n">
        <v>-21.6</v>
      </c>
    </row>
    <row r="142">
      <c r="B142" s="4" t="n">
        <v>46142</v>
      </c>
      <c r="C142" t="inlineStr">
        <is>
          <t>AP</t>
        </is>
      </c>
      <c r="D142" t="inlineStr">
        <is>
          <t>K-554853</t>
        </is>
      </c>
      <c r="E142" t="inlineStr">
        <is>
          <t>Dump debris from community</t>
        </is>
      </c>
      <c r="G142" s="5" t="n">
        <v>-32.8</v>
      </c>
    </row>
    <row r="143">
      <c r="B143" s="4" t="n">
        <v>46142</v>
      </c>
      <c r="C143" t="inlineStr">
        <is>
          <t>AP</t>
        </is>
      </c>
      <c r="D143" t="inlineStr">
        <is>
          <t>K-554853</t>
        </is>
      </c>
      <c r="E143" t="inlineStr">
        <is>
          <t>Dump debris from community</t>
        </is>
      </c>
      <c r="G143" s="5" t="n">
        <v>-12.8</v>
      </c>
    </row>
    <row r="144">
      <c r="B144" s="4" t="n">
        <v>46142</v>
      </c>
      <c r="C144" t="inlineStr">
        <is>
          <t>AP</t>
        </is>
      </c>
      <c r="D144" t="inlineStr">
        <is>
          <t>K-554853</t>
        </is>
      </c>
      <c r="E144" t="inlineStr">
        <is>
          <t>truck wash</t>
        </is>
      </c>
      <c r="G144" s="5" t="n">
        <v>-29.99</v>
      </c>
    </row>
    <row r="145">
      <c r="B145" s="4" t="n">
        <v>46142</v>
      </c>
      <c r="C145" t="inlineStr">
        <is>
          <t>AP</t>
        </is>
      </c>
      <c r="D145" t="inlineStr">
        <is>
          <t>K-554853</t>
        </is>
      </c>
      <c r="E145" t="inlineStr">
        <is>
          <t>Interior truck cleaning</t>
        </is>
      </c>
      <c r="G145" s="5" t="n">
        <v>-10</v>
      </c>
    </row>
    <row r="146">
      <c r="B146" s="4" t="n">
        <v>46142</v>
      </c>
      <c r="C146" t="inlineStr">
        <is>
          <t>AP</t>
        </is>
      </c>
      <c r="D146" t="inlineStr">
        <is>
          <t>K-554853</t>
        </is>
      </c>
      <c r="E146" t="inlineStr">
        <is>
          <t>Bumper repair</t>
        </is>
      </c>
      <c r="G146" s="5" t="n">
        <v>-1357.85</v>
      </c>
    </row>
    <row r="147">
      <c r="B147" s="4" t="n">
        <v>46142</v>
      </c>
      <c r="C147" t="inlineStr">
        <is>
          <t>AP</t>
        </is>
      </c>
      <c r="D147" t="inlineStr">
        <is>
          <t>K-554853</t>
        </is>
      </c>
      <c r="E147" t="inlineStr">
        <is>
          <t>Hydraulic jack</t>
        </is>
      </c>
      <c r="G147" s="5" t="n">
        <v>-62.98</v>
      </c>
    </row>
    <row r="148">
      <c r="B148" s="4" t="n">
        <v>46142</v>
      </c>
      <c r="C148" t="inlineStr">
        <is>
          <t>AP</t>
        </is>
      </c>
      <c r="D148" t="inlineStr">
        <is>
          <t>K-554853</t>
        </is>
      </c>
      <c r="E148" t="inlineStr">
        <is>
          <t>Tools</t>
        </is>
      </c>
      <c r="G148" s="5" t="n">
        <v>-53.92</v>
      </c>
    </row>
    <row r="149">
      <c r="B149" s="4" t="n">
        <v>46142</v>
      </c>
      <c r="C149" t="inlineStr">
        <is>
          <t>AP</t>
        </is>
      </c>
      <c r="D149" t="inlineStr">
        <is>
          <t>K-554853</t>
        </is>
      </c>
      <c r="E149" t="inlineStr">
        <is>
          <t>Dock screws</t>
        </is>
      </c>
      <c r="G149" s="5" t="n">
        <v>-1345</v>
      </c>
    </row>
    <row r="150">
      <c r="B150" s="4" t="n">
        <v>46142</v>
      </c>
      <c r="C150" t="inlineStr">
        <is>
          <t>AP</t>
        </is>
      </c>
      <c r="D150" t="inlineStr">
        <is>
          <t>K-554853</t>
        </is>
      </c>
      <c r="E150" t="inlineStr">
        <is>
          <t>New mailboxes for Main St</t>
        </is>
      </c>
      <c r="G150" s="5" t="n">
        <v>-498.25</v>
      </c>
    </row>
    <row r="151">
      <c r="B151" s="4" t="n">
        <v>46142</v>
      </c>
      <c r="C151" t="inlineStr">
        <is>
          <t>AP</t>
        </is>
      </c>
      <c r="D151" t="inlineStr">
        <is>
          <t>K-554853</t>
        </is>
      </c>
      <c r="E151" t="inlineStr">
        <is>
          <t>Marine rope for docks</t>
        </is>
      </c>
      <c r="G151" s="5" t="n">
        <v>-197.98</v>
      </c>
    </row>
    <row r="152">
      <c r="B152" s="4" t="n">
        <v>46142</v>
      </c>
      <c r="C152" t="inlineStr">
        <is>
          <t>AP</t>
        </is>
      </c>
      <c r="D152" t="inlineStr">
        <is>
          <t>K-554853</t>
        </is>
      </c>
      <c r="E152" t="inlineStr">
        <is>
          <t>Light bulbs for the office</t>
        </is>
      </c>
      <c r="G152" s="5" t="n">
        <v>-30.95</v>
      </c>
    </row>
    <row r="153">
      <c r="B153" s="4" t="n">
        <v>46142</v>
      </c>
      <c r="C153" t="inlineStr">
        <is>
          <t>AP</t>
        </is>
      </c>
      <c r="D153" t="inlineStr">
        <is>
          <t>K-554853</t>
        </is>
      </c>
      <c r="E153" t="inlineStr">
        <is>
          <t>HVAC repairs</t>
        </is>
      </c>
      <c r="G153" s="5" t="n">
        <v>-248.5</v>
      </c>
    </row>
    <row r="154">
      <c r="B154" s="4" t="n">
        <v>46142</v>
      </c>
      <c r="C154" t="inlineStr">
        <is>
          <t>AP</t>
        </is>
      </c>
      <c r="D154" t="inlineStr">
        <is>
          <t>K-554853</t>
        </is>
      </c>
      <c r="E154" t="inlineStr">
        <is>
          <t>clubhouse Shower curtain rod hooks for managers bathroom</t>
        </is>
      </c>
      <c r="G154" s="5" t="n">
        <v>-32.09</v>
      </c>
    </row>
    <row r="155">
      <c r="B155" s="4" t="n">
        <v>46142</v>
      </c>
      <c r="C155" t="inlineStr">
        <is>
          <t>AP</t>
        </is>
      </c>
      <c r="D155" t="inlineStr">
        <is>
          <t>K-554853</t>
        </is>
      </c>
      <c r="E155" t="inlineStr">
        <is>
          <t>HVAC repairs</t>
        </is>
      </c>
      <c r="G155" s="5" t="n">
        <v>-159</v>
      </c>
    </row>
    <row r="156">
      <c r="B156" s="4" t="n">
        <v>46142</v>
      </c>
      <c r="C156" t="inlineStr">
        <is>
          <t>AP</t>
        </is>
      </c>
      <c r="D156" t="inlineStr">
        <is>
          <t>K-554853</t>
        </is>
      </c>
      <c r="E156" t="inlineStr">
        <is>
          <t>Diesel Fuel for tractors</t>
        </is>
      </c>
      <c r="G156" s="5" t="n">
        <v>-48.2</v>
      </c>
    </row>
    <row r="157">
      <c r="B157" s="4" t="n">
        <v>46142</v>
      </c>
      <c r="C157" t="inlineStr">
        <is>
          <t>AP</t>
        </is>
      </c>
      <c r="D157" t="inlineStr">
        <is>
          <t>K-554853</t>
        </is>
      </c>
      <c r="E157" t="inlineStr">
        <is>
          <t>Monthly Team Lunch</t>
        </is>
      </c>
      <c r="G157" s="5" t="n">
        <v>-70.54000000000001</v>
      </c>
    </row>
    <row r="158">
      <c r="B158" s="4" t="n">
        <v>46142</v>
      </c>
      <c r="C158" t="inlineStr">
        <is>
          <t>AP</t>
        </is>
      </c>
      <c r="D158" t="inlineStr">
        <is>
          <t>K-554853</t>
        </is>
      </c>
      <c r="E158" t="inlineStr">
        <is>
          <t>Resident luncheon door prize</t>
        </is>
      </c>
      <c r="G158" s="5" t="n">
        <v>-50</v>
      </c>
    </row>
    <row r="159">
      <c r="B159" s="4" t="n">
        <v>46142</v>
      </c>
      <c r="C159" t="inlineStr">
        <is>
          <t>AP</t>
        </is>
      </c>
      <c r="D159" t="inlineStr">
        <is>
          <t>K-554853</t>
        </is>
      </c>
      <c r="E159" t="inlineStr">
        <is>
          <t>Purchased drinks snacks and accessories</t>
        </is>
      </c>
      <c r="G159" s="5" t="n">
        <v>-50.84</v>
      </c>
    </row>
    <row r="160">
      <c r="B160" s="4" t="n">
        <v>46142</v>
      </c>
      <c r="C160" t="inlineStr">
        <is>
          <t>AP</t>
        </is>
      </c>
      <c r="D160" t="inlineStr">
        <is>
          <t>K-554853</t>
        </is>
      </c>
      <c r="E160" t="inlineStr">
        <is>
          <t>Remove and dispose of debris from the Community</t>
        </is>
      </c>
      <c r="G160" s="5" t="n">
        <v>-35.89</v>
      </c>
    </row>
    <row r="161">
      <c r="B161" s="4" t="n">
        <v>46142</v>
      </c>
      <c r="C161" t="inlineStr">
        <is>
          <t>AP</t>
        </is>
      </c>
      <c r="D161" t="inlineStr">
        <is>
          <t>K-554853</t>
        </is>
      </c>
      <c r="E161" t="inlineStr">
        <is>
          <t>Remove and dispose of debris from the Community</t>
        </is>
      </c>
      <c r="G161" s="5" t="n">
        <v>-25.6</v>
      </c>
    </row>
    <row r="162">
      <c r="B162" s="4" t="n">
        <v>46142</v>
      </c>
      <c r="C162" t="inlineStr">
        <is>
          <t>AP</t>
        </is>
      </c>
      <c r="D162" t="inlineStr">
        <is>
          <t>K-554853</t>
        </is>
      </c>
      <c r="E162" t="inlineStr">
        <is>
          <t>Remove and dispose of debris from the Community</t>
        </is>
      </c>
      <c r="G162" s="5" t="n">
        <v>-20</v>
      </c>
    </row>
    <row r="163">
      <c r="B163" s="4" t="n">
        <v>46142</v>
      </c>
      <c r="C163" t="inlineStr">
        <is>
          <t>AP</t>
        </is>
      </c>
      <c r="D163" t="inlineStr">
        <is>
          <t>K-554853</t>
        </is>
      </c>
      <c r="E163" t="inlineStr">
        <is>
          <t>Remove and dispose of debris from the Community</t>
        </is>
      </c>
      <c r="G163" s="5" t="n">
        <v>-17.6</v>
      </c>
    </row>
    <row r="164">
      <c r="B164" s="4" t="n">
        <v>46142</v>
      </c>
      <c r="C164" t="inlineStr">
        <is>
          <t>AP</t>
        </is>
      </c>
      <c r="D164" t="inlineStr">
        <is>
          <t>K-554853</t>
        </is>
      </c>
      <c r="E164" t="inlineStr">
        <is>
          <t>Remove and dispose of debris from the Community</t>
        </is>
      </c>
      <c r="G164" s="5" t="n">
        <v>-19.2</v>
      </c>
    </row>
    <row r="165">
      <c r="B165" s="4" t="n">
        <v>46142</v>
      </c>
      <c r="C165" t="inlineStr">
        <is>
          <t>AP</t>
        </is>
      </c>
      <c r="D165" t="inlineStr">
        <is>
          <t>K-554853</t>
        </is>
      </c>
      <c r="E165" t="inlineStr">
        <is>
          <t>Remove and dispose of debris from the Community</t>
        </is>
      </c>
      <c r="G165" s="5" t="n">
        <v>-18.4</v>
      </c>
    </row>
    <row r="166">
      <c r="B166" s="4" t="n">
        <v>46142</v>
      </c>
      <c r="C166" t="inlineStr">
        <is>
          <t>AP</t>
        </is>
      </c>
      <c r="D166" t="inlineStr">
        <is>
          <t>K-554853</t>
        </is>
      </c>
      <c r="E166" t="inlineStr">
        <is>
          <t>Remove and dispose of debris from the Community</t>
        </is>
      </c>
      <c r="G166" s="5" t="n">
        <v>-80</v>
      </c>
    </row>
    <row r="167">
      <c r="B167" s="4" t="n">
        <v>46142</v>
      </c>
      <c r="C167" t="inlineStr">
        <is>
          <t>AP</t>
        </is>
      </c>
      <c r="D167" t="inlineStr">
        <is>
          <t>K-554853</t>
        </is>
      </c>
      <c r="E167" t="inlineStr">
        <is>
          <t>Remove and dispose of debris from the Community</t>
        </is>
      </c>
      <c r="G167" s="5" t="n">
        <v>-20</v>
      </c>
    </row>
    <row r="168">
      <c r="B168" s="4" t="n">
        <v>46142</v>
      </c>
      <c r="C168" t="inlineStr">
        <is>
          <t>AP</t>
        </is>
      </c>
      <c r="D168" t="inlineStr">
        <is>
          <t>K-554853</t>
        </is>
      </c>
      <c r="E168" t="inlineStr">
        <is>
          <t>Remove and dispose of debris from the Community</t>
        </is>
      </c>
      <c r="G168" s="5" t="n">
        <v>-34.4</v>
      </c>
    </row>
    <row r="169">
      <c r="B169" s="4" t="n">
        <v>46142</v>
      </c>
      <c r="C169" t="inlineStr">
        <is>
          <t>AP</t>
        </is>
      </c>
      <c r="D169" t="inlineStr">
        <is>
          <t>K-554853</t>
        </is>
      </c>
      <c r="E169" t="inlineStr">
        <is>
          <t>Remove and dispose of debris from the Community</t>
        </is>
      </c>
      <c r="G169" s="5" t="n">
        <v>-20.8</v>
      </c>
    </row>
    <row r="170">
      <c r="B170" s="4" t="n">
        <v>46142</v>
      </c>
      <c r="C170" t="inlineStr">
        <is>
          <t>AP</t>
        </is>
      </c>
      <c r="D170" t="inlineStr">
        <is>
          <t>K-554853</t>
        </is>
      </c>
      <c r="E170" t="inlineStr">
        <is>
          <t>Remove and dispose of debris from the Community</t>
        </is>
      </c>
      <c r="G170" s="5" t="n">
        <v>-33.6</v>
      </c>
    </row>
    <row r="171">
      <c r="B171" s="4" t="n">
        <v>46142</v>
      </c>
      <c r="C171" t="inlineStr">
        <is>
          <t>AP</t>
        </is>
      </c>
      <c r="D171" t="inlineStr">
        <is>
          <t>K-554853</t>
        </is>
      </c>
      <c r="E171" t="inlineStr">
        <is>
          <t>Remove and dispose of debris from the Community</t>
        </is>
      </c>
      <c r="G171" s="5" t="n">
        <v>-20.8</v>
      </c>
    </row>
    <row r="172">
      <c r="B172" s="4" t="n">
        <v>46142</v>
      </c>
      <c r="C172" t="inlineStr">
        <is>
          <t>AP</t>
        </is>
      </c>
      <c r="D172" t="inlineStr">
        <is>
          <t>K-554853</t>
        </is>
      </c>
      <c r="E172" t="inlineStr">
        <is>
          <t>Purchased flowers for front entrance</t>
        </is>
      </c>
      <c r="G172" s="5" t="n">
        <v>-77.84</v>
      </c>
    </row>
    <row r="173">
      <c r="B173" s="4" t="n">
        <v>46142</v>
      </c>
      <c r="C173" t="inlineStr">
        <is>
          <t>AP</t>
        </is>
      </c>
      <c r="D173" t="inlineStr">
        <is>
          <t>K-554853</t>
        </is>
      </c>
      <c r="E173" t="inlineStr">
        <is>
          <t>Seed for Office landscaping</t>
        </is>
      </c>
      <c r="G173" s="5" t="n">
        <v>-74.98999999999999</v>
      </c>
    </row>
    <row r="174">
      <c r="B174" s="4" t="n">
        <v>46142</v>
      </c>
      <c r="C174" t="inlineStr">
        <is>
          <t>AP</t>
        </is>
      </c>
      <c r="D174" t="inlineStr">
        <is>
          <t>K-554853</t>
        </is>
      </c>
      <c r="E174" t="inlineStr">
        <is>
          <t>Beach maintenance</t>
        </is>
      </c>
      <c r="G174" s="5" t="n">
        <v>-129.52</v>
      </c>
    </row>
    <row r="175">
      <c r="B175" s="4" t="n">
        <v>46142</v>
      </c>
      <c r="C175" t="inlineStr">
        <is>
          <t>AP</t>
        </is>
      </c>
      <c r="D175" t="inlineStr">
        <is>
          <t>K-554853</t>
        </is>
      </c>
      <c r="E175" t="inlineStr">
        <is>
          <t>Beach maintenance</t>
        </is>
      </c>
      <c r="G175" s="5" t="n">
        <v>-126.65</v>
      </c>
    </row>
    <row r="176">
      <c r="B176" s="4" t="n">
        <v>46142</v>
      </c>
      <c r="C176" t="inlineStr">
        <is>
          <t>AP</t>
        </is>
      </c>
      <c r="D176" t="inlineStr">
        <is>
          <t>K-554853</t>
        </is>
      </c>
      <c r="E176" t="inlineStr">
        <is>
          <t>Beach maintenance</t>
        </is>
      </c>
      <c r="G176" s="5" t="n">
        <v>-137.02</v>
      </c>
    </row>
    <row r="177">
      <c r="B177" s="4" t="n">
        <v>46142</v>
      </c>
      <c r="C177" t="inlineStr">
        <is>
          <t>AP</t>
        </is>
      </c>
      <c r="D177" t="inlineStr">
        <is>
          <t>K-554853</t>
        </is>
      </c>
      <c r="E177" t="inlineStr">
        <is>
          <t>Beach maintenance</t>
        </is>
      </c>
      <c r="G177" s="5" t="n">
        <v>-141.68</v>
      </c>
    </row>
    <row r="178">
      <c r="B178" s="4" t="n">
        <v>46142</v>
      </c>
      <c r="C178" t="inlineStr">
        <is>
          <t>AP</t>
        </is>
      </c>
      <c r="D178" t="inlineStr">
        <is>
          <t>K-554853</t>
        </is>
      </c>
      <c r="E178" t="inlineStr">
        <is>
          <t>Beach maintenance</t>
        </is>
      </c>
      <c r="G178" s="5" t="n">
        <v>-119.29</v>
      </c>
    </row>
    <row r="179">
      <c r="B179" s="4" t="n">
        <v>46142</v>
      </c>
      <c r="C179" t="inlineStr">
        <is>
          <t>AP</t>
        </is>
      </c>
      <c r="D179" t="inlineStr">
        <is>
          <t>K-554853</t>
        </is>
      </c>
      <c r="E179" t="inlineStr">
        <is>
          <t>Beach maintenance</t>
        </is>
      </c>
      <c r="G179" s="5" t="n">
        <v>-149.01</v>
      </c>
    </row>
    <row r="180">
      <c r="B180" s="4" t="n">
        <v>46142</v>
      </c>
      <c r="C180" t="inlineStr">
        <is>
          <t>AP</t>
        </is>
      </c>
      <c r="D180" t="inlineStr">
        <is>
          <t>K-554853</t>
        </is>
      </c>
      <c r="E180" t="inlineStr">
        <is>
          <t>Treated lumber for new mailboxes</t>
        </is>
      </c>
      <c r="G180" s="5" t="n">
        <v>-215.96</v>
      </c>
    </row>
    <row r="181">
      <c r="B181" s="4" t="n">
        <v>46142</v>
      </c>
      <c r="C181" t="inlineStr">
        <is>
          <t>AP</t>
        </is>
      </c>
      <c r="D181" t="inlineStr">
        <is>
          <t>K-554853</t>
        </is>
      </c>
      <c r="E181" t="inlineStr">
        <is>
          <t>wht vnyl 4x4 sleeve</t>
        </is>
      </c>
      <c r="G181" s="5" t="n">
        <v>-139.72</v>
      </c>
    </row>
    <row r="182">
      <c r="B182" s="4" t="n">
        <v>46142</v>
      </c>
      <c r="C182" t="inlineStr">
        <is>
          <t>AP</t>
        </is>
      </c>
      <c r="D182" t="inlineStr">
        <is>
          <t>K-554853</t>
        </is>
      </c>
      <c r="E182" t="inlineStr">
        <is>
          <t>start fluid and 2 Stroke oil</t>
        </is>
      </c>
      <c r="G182" s="5" t="n">
        <v>-29.01</v>
      </c>
    </row>
    <row r="183">
      <c r="B183" s="4" t="n">
        <v>46142</v>
      </c>
      <c r="C183" t="inlineStr">
        <is>
          <t>AP</t>
        </is>
      </c>
      <c r="D183" t="inlineStr">
        <is>
          <t>K-554853</t>
        </is>
      </c>
      <c r="E183" t="inlineStr">
        <is>
          <t>Truck Fuel</t>
        </is>
      </c>
      <c r="G183" s="5" t="n">
        <v>-69.31</v>
      </c>
    </row>
    <row r="184">
      <c r="B184" s="4" t="n">
        <v>46142</v>
      </c>
      <c r="C184" t="inlineStr">
        <is>
          <t>AP</t>
        </is>
      </c>
      <c r="D184" t="inlineStr">
        <is>
          <t>K-554853</t>
        </is>
      </c>
      <c r="E184" t="inlineStr">
        <is>
          <t>gas</t>
        </is>
      </c>
      <c r="G184" s="5" t="n">
        <v>-89</v>
      </c>
    </row>
    <row r="185">
      <c r="B185" s="4" t="n">
        <v>46142</v>
      </c>
      <c r="C185" t="inlineStr">
        <is>
          <t>AP</t>
        </is>
      </c>
      <c r="D185" t="inlineStr">
        <is>
          <t>K-554853</t>
        </is>
      </c>
      <c r="E185" t="inlineStr">
        <is>
          <t>vehicle gasoline</t>
        </is>
      </c>
      <c r="G185" s="5" t="n">
        <v>-93.25</v>
      </c>
    </row>
    <row r="186">
      <c r="B186" s="4" t="n">
        <v>46142</v>
      </c>
      <c r="C186" t="inlineStr">
        <is>
          <t>AP</t>
        </is>
      </c>
      <c r="D186" t="inlineStr">
        <is>
          <t>K-554853</t>
        </is>
      </c>
      <c r="E186" t="inlineStr">
        <is>
          <t>gas for vehicle</t>
        </is>
      </c>
      <c r="G186" s="5" t="n">
        <v>-94.59</v>
      </c>
    </row>
    <row r="187">
      <c r="B187" s="4" t="n">
        <v>46142</v>
      </c>
      <c r="C187" t="inlineStr">
        <is>
          <t>AP</t>
        </is>
      </c>
      <c r="D187" t="inlineStr">
        <is>
          <t>K-554853</t>
        </is>
      </c>
      <c r="E187" t="inlineStr">
        <is>
          <t>Sales model furnishings</t>
        </is>
      </c>
      <c r="G187" s="5" t="n">
        <v>-309.92</v>
      </c>
    </row>
    <row r="188">
      <c r="B188" s="4" t="n">
        <v>46142</v>
      </c>
      <c r="C188" t="inlineStr">
        <is>
          <t>AP</t>
        </is>
      </c>
      <c r="D188" t="inlineStr">
        <is>
          <t>K-554853</t>
        </is>
      </c>
      <c r="E188" t="inlineStr">
        <is>
          <t>Nextiva VoIP Mar</t>
        </is>
      </c>
      <c r="G188" s="5" t="n">
        <v>-20.52</v>
      </c>
    </row>
    <row r="189">
      <c r="B189" s="4" t="n">
        <v>46142</v>
      </c>
      <c r="C189" t="inlineStr">
        <is>
          <t>AP</t>
        </is>
      </c>
      <c r="D189" t="inlineStr">
        <is>
          <t>K-554853</t>
        </is>
      </c>
      <c r="E189" t="inlineStr">
        <is>
          <t>AMBS Call Center Mar</t>
        </is>
      </c>
      <c r="G189" s="5" t="n">
        <v>-77.84</v>
      </c>
    </row>
    <row r="190">
      <c r="B190" s="4" t="n">
        <v>46142</v>
      </c>
      <c r="C190" t="inlineStr">
        <is>
          <t>AP</t>
        </is>
      </c>
      <c r="D190" t="inlineStr">
        <is>
          <t>K-554853</t>
        </is>
      </c>
      <c r="E190" t="inlineStr">
        <is>
          <t>Booking fee for Travel for QBR</t>
        </is>
      </c>
      <c r="G190" s="5" t="n">
        <v>-10</v>
      </c>
    </row>
    <row r="191">
      <c r="B191" s="4" t="n">
        <v>46142</v>
      </c>
      <c r="C191" t="inlineStr">
        <is>
          <t>AP</t>
        </is>
      </c>
      <c r="D191" t="inlineStr">
        <is>
          <t>K-554853</t>
        </is>
      </c>
      <c r="E191" t="inlineStr">
        <is>
          <t>Welcome Pots for new home Sales and rentals</t>
        </is>
      </c>
      <c r="G191" s="5" t="n">
        <v>-198</v>
      </c>
    </row>
    <row r="192">
      <c r="B192" s="4" t="n">
        <v>46142</v>
      </c>
      <c r="C192" t="inlineStr">
        <is>
          <t>AP</t>
        </is>
      </c>
      <c r="D192" t="inlineStr">
        <is>
          <t>K-554853</t>
        </is>
      </c>
      <c r="E192" t="inlineStr">
        <is>
          <t>travel dinner</t>
        </is>
      </c>
      <c r="G192" s="5" t="n">
        <v>-37.76</v>
      </c>
    </row>
    <row r="193">
      <c r="B193" s="4" t="n">
        <v>46142</v>
      </c>
      <c r="C193" t="inlineStr">
        <is>
          <t>AP</t>
        </is>
      </c>
      <c r="D193" t="inlineStr">
        <is>
          <t>K-554853</t>
        </is>
      </c>
      <c r="E193" t="inlineStr">
        <is>
          <t>Breakfast travel day</t>
        </is>
      </c>
      <c r="G193" s="5" t="n">
        <v>-9</v>
      </c>
    </row>
    <row r="194">
      <c r="B194" s="4" t="n">
        <v>46142</v>
      </c>
      <c r="C194" t="inlineStr">
        <is>
          <t>AP</t>
        </is>
      </c>
      <c r="D194" t="inlineStr">
        <is>
          <t>K-554853</t>
        </is>
      </c>
      <c r="E194" t="inlineStr">
        <is>
          <t>rental refuel</t>
        </is>
      </c>
      <c r="G194" s="5" t="n">
        <v>-65.20999999999999</v>
      </c>
    </row>
    <row r="195">
      <c r="B195" s="4" t="n">
        <v>46142</v>
      </c>
      <c r="C195" t="inlineStr">
        <is>
          <t>AP</t>
        </is>
      </c>
      <c r="D195" t="inlineStr">
        <is>
          <t>K-554853</t>
        </is>
      </c>
      <c r="E195" t="inlineStr">
        <is>
          <t>Egencia fee car rental</t>
        </is>
      </c>
      <c r="G195" s="5" t="n">
        <v>-2</v>
      </c>
    </row>
    <row r="196">
      <c r="B196" s="4" t="n">
        <v>46142</v>
      </c>
      <c r="C196" t="inlineStr">
        <is>
          <t>AP</t>
        </is>
      </c>
      <c r="D196" t="inlineStr">
        <is>
          <t>K-554853</t>
        </is>
      </c>
      <c r="E196" t="inlineStr">
        <is>
          <t>site visit rental toll</t>
        </is>
      </c>
      <c r="G196" s="5" t="n">
        <v>-8.199999999999999</v>
      </c>
    </row>
    <row r="197">
      <c r="B197" s="4" t="n">
        <v>46142</v>
      </c>
      <c r="C197" t="inlineStr">
        <is>
          <t>AP</t>
        </is>
      </c>
      <c r="D197" t="inlineStr">
        <is>
          <t>K-554853</t>
        </is>
      </c>
      <c r="E197" t="inlineStr">
        <is>
          <t>Vista Print  business cards for Tina Carlton</t>
        </is>
      </c>
      <c r="G197" s="5" t="n">
        <v>-41.98</v>
      </c>
    </row>
    <row r="198">
      <c r="B198" s="4" t="n">
        <v>46142</v>
      </c>
      <c r="C198" t="inlineStr">
        <is>
          <t>AP</t>
        </is>
      </c>
      <c r="D198" t="inlineStr">
        <is>
          <t>K-554853</t>
        </is>
      </c>
      <c r="E198" t="inlineStr">
        <is>
          <t>Lunch Dinner from property visit for new homes and Capex</t>
        </is>
      </c>
      <c r="G198" s="5" t="n">
        <v>-22.03</v>
      </c>
    </row>
    <row r="199">
      <c r="B199" s="4" t="n">
        <v>46142</v>
      </c>
      <c r="C199" t="inlineStr">
        <is>
          <t>AP</t>
        </is>
      </c>
      <c r="D199" t="inlineStr">
        <is>
          <t>K-554853</t>
        </is>
      </c>
      <c r="E199" t="inlineStr">
        <is>
          <t>lunch during property visit for new homes</t>
        </is>
      </c>
      <c r="G199" s="5" t="n">
        <v>-8.99</v>
      </c>
    </row>
    <row r="200">
      <c r="B200" s="4" t="n">
        <v>46142</v>
      </c>
      <c r="C200" t="inlineStr">
        <is>
          <t>AP</t>
        </is>
      </c>
      <c r="D200" t="inlineStr">
        <is>
          <t>K-554853</t>
        </is>
      </c>
      <c r="E200" t="inlineStr">
        <is>
          <t>Office Supplies</t>
        </is>
      </c>
      <c r="G200" s="5" t="n">
        <v>-573.35</v>
      </c>
    </row>
    <row r="201">
      <c r="B201" s="4" t="n">
        <v>46142</v>
      </c>
      <c r="C201" t="inlineStr">
        <is>
          <t>AP</t>
        </is>
      </c>
      <c r="D201" t="inlineStr">
        <is>
          <t>K-554853</t>
        </is>
      </c>
      <c r="E201" t="inlineStr">
        <is>
          <t>Center Card regional allocation</t>
        </is>
      </c>
      <c r="G201" s="5" t="n">
        <v>-11.12</v>
      </c>
    </row>
    <row r="202">
      <c r="B202" s="4" t="n">
        <v>46142</v>
      </c>
      <c r="C202" t="inlineStr">
        <is>
          <t>AP</t>
        </is>
      </c>
      <c r="D202" t="inlineStr">
        <is>
          <t>K-554853</t>
        </is>
      </c>
      <c r="E202" t="inlineStr">
        <is>
          <t>Center Card regional allocation</t>
        </is>
      </c>
      <c r="G202" s="5" t="n">
        <v>-8.02</v>
      </c>
    </row>
    <row r="203">
      <c r="B203" s="4" t="n">
        <v>46142</v>
      </c>
      <c r="C203" t="inlineStr">
        <is>
          <t>AP</t>
        </is>
      </c>
      <c r="D203" t="inlineStr">
        <is>
          <t>K-554853</t>
        </is>
      </c>
      <c r="E203" t="inlineStr">
        <is>
          <t>Center Card regional allocation</t>
        </is>
      </c>
      <c r="G203" s="5" t="n">
        <v>-60.96</v>
      </c>
    </row>
    <row r="204">
      <c r="B204" s="4" t="n">
        <v>46142</v>
      </c>
      <c r="C204" t="inlineStr">
        <is>
          <t>AP</t>
        </is>
      </c>
      <c r="D204" t="inlineStr">
        <is>
          <t>J-365388</t>
        </is>
      </c>
      <c r="E204" t="inlineStr">
        <is>
          <t>Bay City mtg pymt</t>
        </is>
      </c>
      <c r="G204" s="5" t="n">
        <v>-146900.02</v>
      </c>
    </row>
    <row r="205">
      <c r="B205" s="4" t="n">
        <v>46142</v>
      </c>
      <c r="C205" t="inlineStr">
        <is>
          <t>AP</t>
        </is>
      </c>
      <c r="D205" t="inlineStr">
        <is>
          <t>J-365388</t>
        </is>
      </c>
      <c r="E205" t="inlineStr">
        <is>
          <t>Bay City mtg pymt</t>
        </is>
      </c>
      <c r="G205" s="5" t="n">
        <v>-232.46</v>
      </c>
    </row>
    <row r="206">
      <c r="B206" s="4" t="n">
        <v>46142</v>
      </c>
      <c r="C206" t="inlineStr">
        <is>
          <t>AP</t>
        </is>
      </c>
      <c r="D206" t="inlineStr">
        <is>
          <t>J-367912</t>
        </is>
      </c>
      <c r="E206" t="inlineStr">
        <is>
          <t>:Reversed by J-368059</t>
        </is>
      </c>
      <c r="G206" s="5" t="n">
        <v>-20088.08</v>
      </c>
    </row>
    <row r="208">
      <c r="F208" t="inlineStr">
        <is>
          <t xml:space="preserve">Total </t>
        </is>
      </c>
      <c r="G208" s="5">
        <f>SUM(G41:G206)</f>
        <v/>
      </c>
    </row>
    <row r="210">
      <c r="F210" t="inlineStr">
        <is>
          <t xml:space="preserve">Sub-Total </t>
        </is>
      </c>
      <c r="G210" s="5">
        <f>+G208+G38</f>
        <v/>
      </c>
    </row>
    <row r="212">
      <c r="F212" t="inlineStr">
        <is>
          <t>Adjusted book balance</t>
        </is>
      </c>
      <c r="H212" s="5">
        <f>+H23-G210</f>
        <v/>
      </c>
    </row>
    <row r="214">
      <c r="F214" t="inlineStr">
        <is>
          <t>Variance (s/b zero)</t>
        </is>
      </c>
      <c r="H214" s="5">
        <f>+H19-H212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90" customWidth="1" min="5" max="5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Check Number</t>
        </is>
      </c>
      <c r="D1" s="1" t="inlineStr">
        <is>
          <t>Code</t>
        </is>
      </c>
      <c r="E1" s="1" t="inlineStr">
        <is>
          <t>Description</t>
        </is>
      </c>
    </row>
    <row r="2">
      <c r="A2" s="4" t="n">
        <v>46112</v>
      </c>
      <c r="B2" s="5" t="n">
        <v>-428548.32</v>
      </c>
      <c r="D2" t="n">
        <v>-4</v>
      </c>
      <c r="E2" t="inlineStr">
        <is>
          <t>STAGECOACH SWEEP DEBIT</t>
        </is>
      </c>
    </row>
    <row r="3">
      <c r="A3" s="4" t="n">
        <v>46113</v>
      </c>
      <c r="B3" s="5" t="n">
        <v>-463508.14</v>
      </c>
      <c r="D3" t="n">
        <v>-4</v>
      </c>
      <c r="E3" t="inlineStr">
        <is>
          <t>STAGECOACH SWEEP DEBIT</t>
        </is>
      </c>
    </row>
    <row r="4">
      <c r="A4" s="4" t="n">
        <v>46113</v>
      </c>
      <c r="B4" s="5" t="n">
        <v>-844.5</v>
      </c>
      <c r="C4" t="inlineStr">
        <is>
          <t>1798</t>
        </is>
      </c>
      <c r="D4" t="n">
        <v>-3</v>
      </c>
      <c r="E4" t="inlineStr">
        <is>
          <t>CHECK</t>
        </is>
      </c>
    </row>
    <row r="5">
      <c r="A5" s="4" t="n">
        <v>46113</v>
      </c>
      <c r="B5" s="5" t="n">
        <v>-10927.58</v>
      </c>
      <c r="D5" t="n">
        <v>-2</v>
      </c>
      <c r="E5" t="inlineStr">
        <is>
          <t>WT SEQ453192 LAKESHORE EMPLOYMENT, I /BNF=LAKESHORE EMPLOYMENT, INC. SRF# PPE032826 TRN#260401453192 RFB# 15221</t>
        </is>
      </c>
    </row>
    <row r="6">
      <c r="A6" s="4" t="n">
        <v>46113</v>
      </c>
      <c r="B6" s="5" t="n">
        <v>-3702.24</v>
      </c>
      <c r="D6" t="n">
        <v>-1</v>
      </c>
      <c r="E6" t="inlineStr">
        <is>
          <t>ACH ORIGINATION - Bay City MHC - FILE EDIMN00004 COID LAK3642339 LAK3642339 FILE EDIMN00004 0S00000091003852621874N</t>
        </is>
      </c>
    </row>
    <row r="7">
      <c r="A7" s="4" t="n">
        <v>46113</v>
      </c>
      <c r="B7" s="5" t="n">
        <v>-2704.47</v>
      </c>
      <c r="D7" t="n">
        <v>-2</v>
      </c>
      <c r="E7" t="inlineStr">
        <is>
          <t>WT SEQ451920 LAKESHORE EMPLOYMENT, I /BNF=LAKESHORE EMPLOYMENT, INC. SRF# Ben 042026 TRN#260401451920 RFB# 14949</t>
        </is>
      </c>
    </row>
    <row r="8">
      <c r="A8" s="4" t="n">
        <v>46113</v>
      </c>
      <c r="B8" s="5" t="n">
        <v>-639.52</v>
      </c>
      <c r="D8" t="n">
        <v>-3</v>
      </c>
      <c r="E8" t="inlineStr">
        <is>
          <t>WT SEQ451657 LAKESHORE MANAGEMENT, I /BNF=LAKESHORE MANAGEMENT, INC. SRF# AM Audit 2025 TRN#260401451657 RFB# 14688</t>
        </is>
      </c>
    </row>
    <row r="9">
      <c r="A9" s="4" t="n">
        <v>46113</v>
      </c>
      <c r="B9" s="5" t="n">
        <v>-241.74</v>
      </c>
      <c r="D9" t="n">
        <v>-2</v>
      </c>
      <c r="E9" t="inlineStr">
        <is>
          <t>WT SEQ451810 LAKESHORE MANAGEMENT, I /BNF=LAKESHORE MANAGEMENT, INC. SRF# AM Audit 2025 TRN#260401451810 RFB# 14815</t>
        </is>
      </c>
    </row>
    <row r="10">
      <c r="A10" s="4" t="n">
        <v>46113</v>
      </c>
      <c r="B10" s="5" t="n">
        <v>14019.3</v>
      </c>
      <c r="D10" t="n">
        <v>2</v>
      </c>
      <c r="E10" t="inlineStr">
        <is>
          <t>Bay City Settlement 040126 000026656200110 Lakeshore Management I 9000631441 000026656200110 R00000091003657539139N</t>
        </is>
      </c>
    </row>
    <row r="11">
      <c r="A11" s="4" t="n">
        <v>46113</v>
      </c>
      <c r="B11" s="5" t="n">
        <v>13664.27</v>
      </c>
      <c r="D11" t="n">
        <v>3</v>
      </c>
      <c r="E11" t="inlineStr">
        <is>
          <t>Bay City MHC LLC Settlement 040126 000026654135354 Bay City 9001520382 000026654135354 R00000091003657656227N</t>
        </is>
      </c>
    </row>
    <row r="12">
      <c r="A12" s="4" t="n">
        <v>46113</v>
      </c>
      <c r="B12" s="5" t="n">
        <v>13466.4</v>
      </c>
      <c r="D12" t="n">
        <v>3</v>
      </c>
      <c r="E12" t="inlineStr">
        <is>
          <t>Bay City MHC LLC Settlement 040126 000026650504774 Bay City 9001520382 000026650504774 R00000091003657617695N</t>
        </is>
      </c>
    </row>
    <row r="13">
      <c r="A13" s="4" t="n">
        <v>46113</v>
      </c>
      <c r="B13" s="5" t="n">
        <v>7292.75</v>
      </c>
      <c r="D13" t="n">
        <v>3</v>
      </c>
      <c r="E13" t="inlineStr">
        <is>
          <t>Bay City MHC LLC Settlement 040126 000026650646226 Bay City 9001520382 000026650646226 R00000091003657601951N</t>
        </is>
      </c>
    </row>
    <row r="14">
      <c r="A14" s="4" t="n">
        <v>46113</v>
      </c>
      <c r="B14" s="5" t="n">
        <v>1994.98</v>
      </c>
      <c r="D14" t="n">
        <v>3</v>
      </c>
      <c r="E14" t="inlineStr">
        <is>
          <t>Bay City MHC LLC Settlement 040126 000026648824526 Bay City 9001520382 000026648824526 R00000091003657655870N</t>
        </is>
      </c>
    </row>
    <row r="15">
      <c r="A15" s="4" t="n">
        <v>46113</v>
      </c>
      <c r="B15" s="5" t="n">
        <v>1800</v>
      </c>
      <c r="D15" t="n">
        <v>3</v>
      </c>
      <c r="E15" t="inlineStr">
        <is>
          <t>BNKCD SETTLE MERCH DEP 260401 286768420002857 LAKESHORE BAY CITY 1043763809 286768420002857 R00000091003755924648N</t>
        </is>
      </c>
    </row>
    <row r="16">
      <c r="A16" s="4" t="n">
        <v>46113</v>
      </c>
      <c r="B16" s="5" t="n">
        <v>1171</v>
      </c>
      <c r="D16" t="n">
        <v>3</v>
      </c>
      <c r="E16" t="inlineStr">
        <is>
          <t>Bay City MHC LLC Settlement 040126 000026648824518 Bay City 9001520382 000026648824518 R00000091003657614627N</t>
        </is>
      </c>
    </row>
    <row r="17">
      <c r="A17" s="4" t="n">
        <v>46113</v>
      </c>
      <c r="B17" s="5" t="n">
        <v>611.17</v>
      </c>
      <c r="D17" t="n">
        <v>2</v>
      </c>
      <c r="E17" t="inlineStr">
        <is>
          <t>STAGECOACH SWEEP INTEREST PAYMENT</t>
        </is>
      </c>
    </row>
    <row r="18">
      <c r="A18" s="4" t="n">
        <v>46113</v>
      </c>
      <c r="B18" s="5" t="n">
        <v>428548.32</v>
      </c>
      <c r="D18" t="n">
        <v>4</v>
      </c>
      <c r="E18" t="inlineStr">
        <is>
          <t>STAGECOACH SWEEP CREDIT</t>
        </is>
      </c>
    </row>
    <row r="19">
      <c r="A19" s="4" t="n">
        <v>46114</v>
      </c>
      <c r="B19" s="5" t="n">
        <v>-482629.69</v>
      </c>
      <c r="D19" t="n">
        <v>-4</v>
      </c>
      <c r="E19" t="inlineStr">
        <is>
          <t>STAGECOACH SWEEP DEBIT</t>
        </is>
      </c>
    </row>
    <row r="20">
      <c r="A20" s="4" t="n">
        <v>46114</v>
      </c>
      <c r="B20" s="5" t="n">
        <v>-38554.1</v>
      </c>
      <c r="D20" t="n">
        <v>-2</v>
      </c>
      <c r="E20" t="inlineStr">
        <is>
          <t>ONLINE TRANSFER BAY CITY TO LSLNDB CAPEX FILL HOME SIDE REF #BB0XHW6C83</t>
        </is>
      </c>
    </row>
    <row r="21">
      <c r="A21" s="4" t="n">
        <v>46114</v>
      </c>
      <c r="B21" s="5" t="n">
        <v>-37328</v>
      </c>
      <c r="D21" t="n">
        <v>-2</v>
      </c>
      <c r="E21" t="inlineStr">
        <is>
          <t>ONLINE TRANSFER BAY CITY TO LSLNDB CAPEX FILL PARK SIDE REF #BB0XHW65G5</t>
        </is>
      </c>
    </row>
    <row r="22">
      <c r="A22" s="4" t="n">
        <v>46114</v>
      </c>
      <c r="B22" s="5" t="n">
        <v>49435.06</v>
      </c>
      <c r="D22" t="n">
        <v>2</v>
      </c>
      <c r="E22" t="inlineStr">
        <is>
          <t>DESKTOP CHECK DEPOSIT</t>
        </is>
      </c>
    </row>
    <row r="23">
      <c r="A23" s="4" t="n">
        <v>46114</v>
      </c>
      <c r="B23" s="5" t="n">
        <v>22781.03</v>
      </c>
      <c r="D23" t="n">
        <v>2</v>
      </c>
      <c r="E23" t="inlineStr">
        <is>
          <t>Bay City Settlement 040226 000026681669182 Lakeshore Management I 9000631441 000026681669182 R00000091004258370788N</t>
        </is>
      </c>
    </row>
    <row r="24">
      <c r="A24" s="4" t="n">
        <v>46114</v>
      </c>
      <c r="B24" s="5" t="n">
        <v>13727.69</v>
      </c>
      <c r="D24" t="n">
        <v>2</v>
      </c>
      <c r="E24" t="inlineStr">
        <is>
          <t>Bay City MHC LLC Settlement 040226 000026677177798 Bay City 9001520382 000026677177798 R00000091004258322142N</t>
        </is>
      </c>
    </row>
    <row r="25">
      <c r="A25" s="4" t="n">
        <v>46114</v>
      </c>
      <c r="B25" s="5" t="n">
        <v>7133.84</v>
      </c>
      <c r="D25" t="n">
        <v>2</v>
      </c>
      <c r="E25" t="inlineStr">
        <is>
          <t>Bay City MHC LLC Settlement 040226 000026670028462 Bay City 9001520382 000026670028462 R00000091004258436662N</t>
        </is>
      </c>
    </row>
    <row r="26">
      <c r="A26" s="4" t="n">
        <v>46114</v>
      </c>
      <c r="B26" s="5" t="n">
        <v>1926.03</v>
      </c>
      <c r="D26" t="n">
        <v>2</v>
      </c>
      <c r="E26" t="inlineStr">
        <is>
          <t>Bay City MHC LLC Settlement 040226 000026675912454 Bay City 9001520382 000026675912454 R00000091004258366275N</t>
        </is>
      </c>
    </row>
    <row r="27">
      <c r="A27" s="4" t="n">
        <v>46114</v>
      </c>
      <c r="B27" s="5" t="n">
        <v>463508.14</v>
      </c>
      <c r="D27" t="n">
        <v>4</v>
      </c>
      <c r="E27" t="inlineStr">
        <is>
          <t>STAGECOACH SWEEP CREDIT</t>
        </is>
      </c>
    </row>
    <row r="28">
      <c r="A28" s="4" t="n">
        <v>46115</v>
      </c>
      <c r="B28" s="5" t="n">
        <v>-502680.79</v>
      </c>
      <c r="D28" t="n">
        <v>-4</v>
      </c>
      <c r="E28" t="inlineStr">
        <is>
          <t>STAGECOACH SWEEP DEBIT</t>
        </is>
      </c>
    </row>
    <row r="29">
      <c r="A29" s="4" t="n">
        <v>46115</v>
      </c>
      <c r="B29" s="5" t="n">
        <v>-13244.09</v>
      </c>
      <c r="D29" t="n">
        <v>-1</v>
      </c>
      <c r="E29" t="inlineStr">
        <is>
          <t>ACH ORIGINATION - Bay City MHC - FILE EDIMN00004 COID LAK3642339 LAK3642339 FILE EDIMN00004 0S00000091003934073006N</t>
        </is>
      </c>
    </row>
    <row r="30">
      <c r="A30" s="4" t="n">
        <v>46115</v>
      </c>
      <c r="B30" s="5" t="n">
        <v>10543.26</v>
      </c>
      <c r="D30" t="n">
        <v>2</v>
      </c>
      <c r="E30" t="inlineStr">
        <is>
          <t>Bay City MHC LLC Settlement 040326 000026692104274 Bay City 9001520382 000026692104274 R00000091003739410173N</t>
        </is>
      </c>
    </row>
    <row r="31">
      <c r="A31" s="4" t="n">
        <v>46115</v>
      </c>
      <c r="B31" s="5" t="n">
        <v>6933.13</v>
      </c>
      <c r="D31" t="n">
        <v>2</v>
      </c>
      <c r="E31" t="inlineStr">
        <is>
          <t>Bay City MHC LLC Settlement 040326 000026694870402 Bay City 9001520382 000026694870402 R00000091003739398967N</t>
        </is>
      </c>
    </row>
    <row r="32">
      <c r="A32" s="4" t="n">
        <v>46115</v>
      </c>
      <c r="B32" s="5" t="n">
        <v>5548.18</v>
      </c>
      <c r="D32" t="n">
        <v>1</v>
      </c>
      <c r="E32" t="inlineStr">
        <is>
          <t>BNKCD SETTLE MERCH DEP 260403 286768420002857 LAKESHORE BAY CITY 1043763809 286768420002857 R00000091003838493219N</t>
        </is>
      </c>
    </row>
    <row r="33">
      <c r="A33" s="4" t="n">
        <v>46115</v>
      </c>
      <c r="B33" s="5" t="n">
        <v>5281.42</v>
      </c>
      <c r="D33" t="n">
        <v>2</v>
      </c>
      <c r="E33" t="inlineStr">
        <is>
          <t>Bay City MHC LLC Settlement 040326 000026691209498 Bay City 9001520382 000026691209498 R00000091003739390007N</t>
        </is>
      </c>
    </row>
    <row r="34">
      <c r="A34" s="4" t="n">
        <v>46115</v>
      </c>
      <c r="B34" s="5" t="n">
        <v>4989.2</v>
      </c>
      <c r="D34" t="n">
        <v>2</v>
      </c>
      <c r="E34" t="inlineStr">
        <is>
          <t>Bay City Settlement 040326 000026697796746 Lakeshore Management I 9000631441 000026697796746 R00000091003739424442N</t>
        </is>
      </c>
    </row>
    <row r="35">
      <c r="A35" s="4" t="n">
        <v>46115</v>
      </c>
      <c r="B35" s="5" t="n">
        <v>482629.69</v>
      </c>
      <c r="D35" t="n">
        <v>4</v>
      </c>
      <c r="E35" t="inlineStr">
        <is>
          <t>STAGECOACH SWEEP CREDIT</t>
        </is>
      </c>
    </row>
    <row r="36">
      <c r="A36" s="4" t="n">
        <v>46118</v>
      </c>
      <c r="B36" s="5" t="n">
        <v>-367279.3</v>
      </c>
      <c r="D36" t="n">
        <v>-4</v>
      </c>
      <c r="E36" t="inlineStr">
        <is>
          <t>STAGECOACH SWEEP DEBIT</t>
        </is>
      </c>
    </row>
    <row r="37">
      <c r="A37" s="4" t="n">
        <v>46118</v>
      </c>
      <c r="B37" s="5" t="n">
        <v>-151798.66</v>
      </c>
      <c r="D37" t="n">
        <v>-3</v>
      </c>
      <c r="E37" t="inlineStr">
        <is>
          <t>WT SEQ#16791 WELLS FARGO CRE LENDING /BNF=CASA VERDE MHC LLC SRF# LIQD000000183120 TRN#260406016791 RFB# LIQD000000183120</t>
        </is>
      </c>
    </row>
    <row r="38">
      <c r="A38" s="4" t="n">
        <v>46118</v>
      </c>
      <c r="B38" s="5" t="n">
        <v>-240.83</v>
      </c>
      <c r="D38" t="n">
        <v>-3</v>
      </c>
      <c r="E38" t="inlineStr">
        <is>
          <t>WT SEQ#17509 WELLS FARGO CRE LENDING /BNF=CASA VERDE MHC LLC SRF# LIQD000000183365 TRN#260406017509 RFB# LIQD000000183365</t>
        </is>
      </c>
    </row>
    <row r="39">
      <c r="A39" s="4" t="n">
        <v>46118</v>
      </c>
      <c r="B39" s="5" t="n">
        <v>-27.48</v>
      </c>
      <c r="D39" t="n">
        <v>-2</v>
      </c>
      <c r="E39" t="inlineStr">
        <is>
          <t>ACH ORIGINATION - Bay City MHC - FILE EDIMN00004 COID LAK3642339 LAK3642339 FILE EDIMN00004 0S00000091005470401954N</t>
        </is>
      </c>
    </row>
    <row r="40">
      <c r="A40" s="4" t="n">
        <v>46118</v>
      </c>
      <c r="B40" s="5" t="n">
        <v>7911.51</v>
      </c>
      <c r="D40" t="n">
        <v>2</v>
      </c>
      <c r="E40" t="inlineStr">
        <is>
          <t>Bay City MHC LLC Settlement 040626 000026707547042 Bay City 9001520382 000026707547042 R00000091004230235182N</t>
        </is>
      </c>
    </row>
    <row r="41">
      <c r="A41" s="4" t="n">
        <v>46118</v>
      </c>
      <c r="B41" s="5" t="n">
        <v>3780</v>
      </c>
      <c r="D41" t="n">
        <v>2</v>
      </c>
      <c r="E41" t="inlineStr">
        <is>
          <t>Bay City MHC LLC Settlement 040626 000026708782418 Bay City 9001520382 000026708782418 R00000091004230214289N</t>
        </is>
      </c>
    </row>
    <row r="42">
      <c r="A42" s="4" t="n">
        <v>46118</v>
      </c>
      <c r="B42" s="5" t="n">
        <v>3047.97</v>
      </c>
      <c r="D42" t="n">
        <v>2</v>
      </c>
      <c r="E42" t="inlineStr">
        <is>
          <t>Bay City Settlement 040626 000026713888894 Lakeshore Management I 9000631441 000026713888894 R00000091004230341206N</t>
        </is>
      </c>
    </row>
    <row r="43">
      <c r="A43" s="4" t="n">
        <v>46118</v>
      </c>
      <c r="B43" s="5" t="n">
        <v>1926</v>
      </c>
      <c r="D43" t="n">
        <v>2</v>
      </c>
      <c r="E43" t="inlineStr">
        <is>
          <t>Bay City MHC LLC Settlement 040626 000026705529194 Bay City 9001520382 000026705529194 R00000091004230234955N</t>
        </is>
      </c>
    </row>
    <row r="44">
      <c r="A44" s="4" t="n">
        <v>46118</v>
      </c>
      <c r="B44" s="5" t="n">
        <v>502680.79</v>
      </c>
      <c r="D44" t="n">
        <v>4</v>
      </c>
      <c r="E44" t="inlineStr">
        <is>
          <t>STAGECOACH SWEEP CREDIT</t>
        </is>
      </c>
    </row>
    <row r="45">
      <c r="A45" s="4" t="n">
        <v>46119</v>
      </c>
      <c r="B45" s="5" t="n">
        <v>-453989.13</v>
      </c>
      <c r="D45" t="n">
        <v>-4</v>
      </c>
      <c r="E45" t="inlineStr">
        <is>
          <t>STAGECOACH SWEEP DEBIT</t>
        </is>
      </c>
    </row>
    <row r="46">
      <c r="A46" s="4" t="n">
        <v>46119</v>
      </c>
      <c r="B46" s="5" t="n">
        <v>-928.7</v>
      </c>
      <c r="C46" t="inlineStr">
        <is>
          <t>1777</t>
        </is>
      </c>
      <c r="D46" t="n">
        <v>-3</v>
      </c>
      <c r="E46" t="inlineStr">
        <is>
          <t>CHECK</t>
        </is>
      </c>
    </row>
    <row r="47">
      <c r="A47" s="4" t="n">
        <v>46119</v>
      </c>
      <c r="B47" s="5" t="n">
        <v>-718.85</v>
      </c>
      <c r="C47" t="inlineStr">
        <is>
          <t>1800</t>
        </is>
      </c>
      <c r="D47" t="n">
        <v>-3</v>
      </c>
      <c r="E47" t="inlineStr">
        <is>
          <t>CHECK</t>
        </is>
      </c>
    </row>
    <row r="48">
      <c r="A48" s="4" t="n">
        <v>46119</v>
      </c>
      <c r="B48" s="5" t="n">
        <v>-78</v>
      </c>
      <c r="C48" t="inlineStr">
        <is>
          <t>1799</t>
        </is>
      </c>
      <c r="D48" t="n">
        <v>-3</v>
      </c>
      <c r="E48" t="inlineStr">
        <is>
          <t>CHECK</t>
        </is>
      </c>
    </row>
    <row r="49">
      <c r="A49" s="4" t="n">
        <v>46119</v>
      </c>
      <c r="B49" s="5" t="n">
        <v>-538.2</v>
      </c>
      <c r="D49" t="n">
        <v>-2</v>
      </c>
      <c r="E49" t="inlineStr">
        <is>
          <t>ACH ORIGINATION - Bay City MHC - FILE EDIMN00004 COID LAK3642339 LAK3642339 FILE EDIMN00004 0S00000091005674649506N</t>
        </is>
      </c>
    </row>
    <row r="50">
      <c r="A50" s="4" t="n">
        <v>46119</v>
      </c>
      <c r="B50" s="5" t="n">
        <v>62722.75</v>
      </c>
      <c r="D50" t="n">
        <v>2</v>
      </c>
      <c r="E50" t="inlineStr">
        <is>
          <t>Bay City Settlement 040726 000026737806966 Lakeshore Management I 9000631441 000026737806966 R00000091005579884641N</t>
        </is>
      </c>
    </row>
    <row r="51">
      <c r="A51" s="4" t="n">
        <v>46119</v>
      </c>
      <c r="B51" s="5" t="n">
        <v>14041.76</v>
      </c>
      <c r="D51" t="n">
        <v>2</v>
      </c>
      <c r="E51" t="inlineStr">
        <is>
          <t>Bay City MHC LLC Settlement 040726 000026734980458 Bay City 9001520382 000026734980458 R00000091005579768836N</t>
        </is>
      </c>
    </row>
    <row r="52">
      <c r="A52" s="4" t="n">
        <v>46119</v>
      </c>
      <c r="B52" s="5" t="n">
        <v>11302.82</v>
      </c>
      <c r="D52" t="n">
        <v>2</v>
      </c>
      <c r="E52" t="inlineStr">
        <is>
          <t>Bay City MHC LLC Settlement 040726 000026737145014 Bay City 9001520382 000026737145014 R00000091005579851570N</t>
        </is>
      </c>
    </row>
    <row r="53">
      <c r="A53" s="4" t="n">
        <v>46119</v>
      </c>
      <c r="B53" s="5" t="n">
        <v>906.25</v>
      </c>
      <c r="D53" t="n">
        <v>2</v>
      </c>
      <c r="E53" t="inlineStr">
        <is>
          <t>BNKCD SETTLE MERCH DEP 260407 286768420002857 LAKESHORE BAY CITY 1043763809 286768420002857 R00000091005670686772N</t>
        </is>
      </c>
    </row>
    <row r="54">
      <c r="A54" s="4" t="n">
        <v>46119</v>
      </c>
      <c r="B54" s="5" t="n">
        <v>367279.3</v>
      </c>
      <c r="D54" t="n">
        <v>4</v>
      </c>
      <c r="E54" t="inlineStr">
        <is>
          <t>STAGECOACH SWEEP CREDIT</t>
        </is>
      </c>
    </row>
    <row r="55">
      <c r="A55" s="4" t="n">
        <v>46120</v>
      </c>
      <c r="B55" s="5" t="n">
        <v>-456049.98</v>
      </c>
      <c r="D55" t="n">
        <v>-4</v>
      </c>
      <c r="E55" t="inlineStr">
        <is>
          <t>STAGECOACH SWEEP DEBIT</t>
        </is>
      </c>
    </row>
    <row r="56">
      <c r="A56" s="4" t="n">
        <v>46120</v>
      </c>
      <c r="B56" s="5" t="n">
        <v>-5000</v>
      </c>
      <c r="D56" t="n">
        <v>-2</v>
      </c>
      <c r="E56" t="inlineStr">
        <is>
          <t>ACH ORIGINATION - Bay City MHC - FILE EDIMN00004 COID LAK3642339 LAK3642339 FILE EDIMN00004 0S00000091005674649965N</t>
        </is>
      </c>
    </row>
    <row r="57">
      <c r="A57" s="4" t="n">
        <v>46120</v>
      </c>
      <c r="B57" s="5" t="n">
        <v>3665.65</v>
      </c>
      <c r="D57" t="n">
        <v>2</v>
      </c>
      <c r="E57" t="inlineStr">
        <is>
          <t>Bay City MHC LLC Settlement 040826 000026742322734 Bay City 9001520382 000026742322734 R00000091005861649357N</t>
        </is>
      </c>
    </row>
    <row r="58">
      <c r="A58" s="4" t="n">
        <v>46120</v>
      </c>
      <c r="B58" s="5" t="n">
        <v>1850</v>
      </c>
      <c r="D58" t="n">
        <v>2</v>
      </c>
      <c r="E58" t="inlineStr">
        <is>
          <t>BNKCD SETTLE MERCH DEP 260408 286768420002857 LAKESHORE BAY CITY 1043763809 286768420002857 R00000091005868374621N</t>
        </is>
      </c>
    </row>
    <row r="59">
      <c r="A59" s="4" t="n">
        <v>46120</v>
      </c>
      <c r="B59" s="5" t="n">
        <v>842.8</v>
      </c>
      <c r="D59" t="n">
        <v>2</v>
      </c>
      <c r="E59" t="inlineStr">
        <is>
          <t>Bay City Settlement 040826 000026747681414 Lakeshore Management I 9000631441 000026747681414 R00000091005861649218N</t>
        </is>
      </c>
    </row>
    <row r="60">
      <c r="A60" s="4" t="n">
        <v>46120</v>
      </c>
      <c r="B60" s="5" t="n">
        <v>702.4</v>
      </c>
      <c r="D60" t="n">
        <v>2</v>
      </c>
      <c r="E60" t="inlineStr">
        <is>
          <t>Bay City MHC LLC Settlement 040826 000026743739542 Bay City 9001520382 000026743739542 R00000091005861815091N</t>
        </is>
      </c>
    </row>
    <row r="61">
      <c r="A61" s="4" t="n">
        <v>46120</v>
      </c>
      <c r="B61" s="5" t="n">
        <v>453989.13</v>
      </c>
      <c r="D61" t="n">
        <v>4</v>
      </c>
      <c r="E61" t="inlineStr">
        <is>
          <t>STAGECOACH SWEEP CREDIT</t>
        </is>
      </c>
    </row>
    <row r="62">
      <c r="A62" s="4" t="n">
        <v>46121</v>
      </c>
      <c r="B62" s="5" t="n">
        <v>-450729.1</v>
      </c>
      <c r="D62" t="n">
        <v>-4</v>
      </c>
      <c r="E62" t="inlineStr">
        <is>
          <t>STAGECOACH SWEEP DEBIT</t>
        </is>
      </c>
    </row>
    <row r="63">
      <c r="A63" s="4" t="n">
        <v>46121</v>
      </c>
      <c r="B63" s="5" t="n">
        <v>-942.89</v>
      </c>
      <c r="D63" t="n">
        <v>-2</v>
      </c>
      <c r="E63" t="inlineStr">
        <is>
          <t>Bay City Return 040926 000026752591334 Lakeshore Management I 9000631441 000026752591334 0R00000091006070416187N</t>
        </is>
      </c>
    </row>
    <row r="64">
      <c r="A64" s="4" t="n">
        <v>46121</v>
      </c>
      <c r="B64" s="5" t="n">
        <v>-402.88</v>
      </c>
      <c r="C64" t="inlineStr">
        <is>
          <t>1797</t>
        </is>
      </c>
      <c r="D64" t="n">
        <v>-3</v>
      </c>
      <c r="E64" t="inlineStr">
        <is>
          <t>CHECK</t>
        </is>
      </c>
    </row>
    <row r="65">
      <c r="A65" s="4" t="n">
        <v>46121</v>
      </c>
      <c r="B65" s="5" t="n">
        <v>-13.5</v>
      </c>
      <c r="C65" t="inlineStr">
        <is>
          <t>1803</t>
        </is>
      </c>
      <c r="D65" t="n">
        <v>-2</v>
      </c>
      <c r="E65" t="inlineStr">
        <is>
          <t>CHECK</t>
        </is>
      </c>
    </row>
    <row r="66">
      <c r="A66" s="4" t="n">
        <v>46121</v>
      </c>
      <c r="B66" s="5" t="n">
        <v>-3961.61</v>
      </c>
      <c r="D66" t="n">
        <v>-2</v>
      </c>
      <c r="E66" t="inlineStr">
        <is>
          <t>ACH ORIGINATION - Bay City MHC - FILE EDIMN00004 COID LAK3642339 LAK3642339 FILE EDIMN00004 0S00000091006163293104N</t>
        </is>
      </c>
    </row>
    <row r="67">
      <c r="A67" s="4" t="n">
        <v>46121</v>
      </c>
      <c r="B67" s="5" t="n">
        <v>456049.98</v>
      </c>
      <c r="D67" t="n">
        <v>4</v>
      </c>
      <c r="E67" t="inlineStr">
        <is>
          <t>STAGECOACH SWEEP CREDIT</t>
        </is>
      </c>
    </row>
    <row r="68">
      <c r="A68" s="4" t="n">
        <v>46122</v>
      </c>
      <c r="B68" s="5" t="n">
        <v>-456558.32</v>
      </c>
      <c r="D68" t="n">
        <v>-4</v>
      </c>
      <c r="E68" t="inlineStr">
        <is>
          <t>STAGECOACH SWEEP DEBIT</t>
        </is>
      </c>
    </row>
    <row r="69">
      <c r="A69" s="4" t="n">
        <v>46122</v>
      </c>
      <c r="B69" s="5" t="n">
        <v>-948.88</v>
      </c>
      <c r="D69" t="n">
        <v>-2</v>
      </c>
      <c r="E69" t="inlineStr">
        <is>
          <t>Bay City Return 041026 000026760577334 Lakeshore Management I 9000631441 000026760577334 0R00000091006272146047N</t>
        </is>
      </c>
    </row>
    <row r="70">
      <c r="A70" s="4" t="n">
        <v>46122</v>
      </c>
      <c r="B70" s="5" t="n">
        <v>-59.5</v>
      </c>
      <c r="C70" t="inlineStr">
        <is>
          <t>1804</t>
        </is>
      </c>
      <c r="D70" t="n">
        <v>-2</v>
      </c>
      <c r="E70" t="inlineStr">
        <is>
          <t>CHECK</t>
        </is>
      </c>
    </row>
    <row r="71">
      <c r="A71" s="4" t="n">
        <v>46122</v>
      </c>
      <c r="B71" s="5" t="n">
        <v>-212.4</v>
      </c>
      <c r="D71" t="n">
        <v>-2</v>
      </c>
      <c r="E71" t="inlineStr">
        <is>
          <t>ACH ORIGINATION - Bay City MHC - FILE EDIMN00004 COID LAK3642339 LAK3642339 FILE EDIMN00004 0S00000091006366514308N</t>
        </is>
      </c>
    </row>
    <row r="72">
      <c r="A72" s="4" t="n">
        <v>46122</v>
      </c>
      <c r="B72" s="5" t="n">
        <v>3750</v>
      </c>
      <c r="D72" t="n">
        <v>2</v>
      </c>
      <c r="E72" t="inlineStr">
        <is>
          <t>Bay City MHC LLC Settlement 041026 000026762943554 Bay City 9001520382 000026762943554 R00000091006272431834N</t>
        </is>
      </c>
    </row>
    <row r="73">
      <c r="A73" s="4" t="n">
        <v>46122</v>
      </c>
      <c r="B73" s="5" t="n">
        <v>3250</v>
      </c>
      <c r="D73" t="n">
        <v>2</v>
      </c>
      <c r="E73" t="inlineStr">
        <is>
          <t>Bay City Settlement 041026 000026764474642 Lakeshore Management I 9000631441 000026764474642 R00000091006271861591N</t>
        </is>
      </c>
    </row>
    <row r="74">
      <c r="A74" s="4" t="n">
        <v>46122</v>
      </c>
      <c r="B74" s="5" t="n">
        <v>50</v>
      </c>
      <c r="D74" t="n">
        <v>2</v>
      </c>
      <c r="E74" t="inlineStr">
        <is>
          <t>Bay City MHC LLC Settlement 041026 000026762965166 Bay City 9001520382 000026762965166 R00000091006272212208N</t>
        </is>
      </c>
    </row>
    <row r="75">
      <c r="A75" s="4" t="n">
        <v>46122</v>
      </c>
      <c r="B75" s="5" t="n">
        <v>450729.1</v>
      </c>
      <c r="D75" t="n">
        <v>4</v>
      </c>
      <c r="E75" t="inlineStr">
        <is>
          <t>STAGECOACH SWEEP CREDIT</t>
        </is>
      </c>
    </row>
    <row r="76">
      <c r="A76" s="4" t="n">
        <v>46125</v>
      </c>
      <c r="B76" s="5" t="n">
        <v>-458750.82</v>
      </c>
      <c r="D76" t="n">
        <v>-4</v>
      </c>
      <c r="E76" t="inlineStr">
        <is>
          <t>STAGECOACH SWEEP DEBIT</t>
        </is>
      </c>
    </row>
    <row r="77">
      <c r="A77" s="4" t="n">
        <v>46125</v>
      </c>
      <c r="B77" s="5" t="n">
        <v>-5395</v>
      </c>
      <c r="C77" t="inlineStr">
        <is>
          <t>1806</t>
        </is>
      </c>
      <c r="D77" t="n">
        <v>-2</v>
      </c>
      <c r="E77" t="inlineStr">
        <is>
          <t>CHECK</t>
        </is>
      </c>
    </row>
    <row r="78">
      <c r="A78" s="4" t="n">
        <v>46125</v>
      </c>
      <c r="B78" s="5" t="n">
        <v>-13.5</v>
      </c>
      <c r="C78" t="inlineStr">
        <is>
          <t>1807</t>
        </is>
      </c>
      <c r="D78" t="n">
        <v>-2</v>
      </c>
      <c r="E78" t="inlineStr">
        <is>
          <t>CHECK</t>
        </is>
      </c>
    </row>
    <row r="79">
      <c r="A79" s="4" t="n">
        <v>46125</v>
      </c>
      <c r="B79" s="5" t="n">
        <v>-89</v>
      </c>
      <c r="D79" t="n">
        <v>-2</v>
      </c>
      <c r="E79" t="inlineStr">
        <is>
          <t>WT SEQ452352 LS LEND B LLC /BNF=LS LEND B LLC SRF# WF LN Int 326 TRN#260413452352 RFB# 15399</t>
        </is>
      </c>
    </row>
    <row r="80">
      <c r="A80" s="4" t="n">
        <v>46125</v>
      </c>
      <c r="B80" s="5" t="n">
        <v>5840</v>
      </c>
      <c r="D80" t="n">
        <v>2</v>
      </c>
      <c r="E80" t="inlineStr">
        <is>
          <t>Bay City MHC LLC Settlement 041326 000026772902654 Bay City 9001520382 000026772902654 R00000091003658294032N</t>
        </is>
      </c>
    </row>
    <row r="81">
      <c r="A81" s="4" t="n">
        <v>46125</v>
      </c>
      <c r="B81" s="5" t="n">
        <v>1850</v>
      </c>
      <c r="D81" t="n">
        <v>2</v>
      </c>
      <c r="E81" t="inlineStr">
        <is>
          <t>BNKCD SETTLE MERCH DEP 260412 286768420002857 LAKESHORE BAY CITY 1043763809 286768420002857 R00000091004055757857N</t>
        </is>
      </c>
    </row>
    <row r="82">
      <c r="A82" s="4" t="n">
        <v>46125</v>
      </c>
      <c r="B82" s="5" t="n">
        <v>456558.32</v>
      </c>
      <c r="D82" t="n">
        <v>4</v>
      </c>
      <c r="E82" t="inlineStr">
        <is>
          <t>STAGECOACH SWEEP CREDIT</t>
        </is>
      </c>
    </row>
    <row r="83">
      <c r="A83" s="4" t="n">
        <v>46126</v>
      </c>
      <c r="B83" s="5" t="n">
        <v>-458465.38</v>
      </c>
      <c r="D83" t="n">
        <v>-4</v>
      </c>
      <c r="E83" t="inlineStr">
        <is>
          <t>STAGECOACH SWEEP DEBIT</t>
        </is>
      </c>
    </row>
    <row r="84">
      <c r="A84" s="4" t="n">
        <v>46126</v>
      </c>
      <c r="B84" s="5" t="n">
        <v>-1969.57</v>
      </c>
      <c r="D84" t="n">
        <v>-2</v>
      </c>
      <c r="E84" t="inlineStr">
        <is>
          <t>ACH ORIGINATION - Bay City MHC - FILE EDIMN00004 COID LAK3642339 LAK3642339 FILE EDIMN00004 0S00000091003634060139N</t>
        </is>
      </c>
    </row>
    <row r="85">
      <c r="A85" s="4" t="n">
        <v>46126</v>
      </c>
      <c r="B85" s="5" t="n">
        <v>1684.13</v>
      </c>
      <c r="D85" t="n">
        <v>2</v>
      </c>
      <c r="E85" t="inlineStr">
        <is>
          <t>Bay City MHC LLC Settlement 041426 000026787537286 Bay City 9001520382 000026787537286 R00000091004458761235N</t>
        </is>
      </c>
    </row>
    <row r="86">
      <c r="A86" s="4" t="n">
        <v>46126</v>
      </c>
      <c r="B86" s="5" t="n">
        <v>458750.82</v>
      </c>
      <c r="D86" t="n">
        <v>4</v>
      </c>
      <c r="E86" t="inlineStr">
        <is>
          <t>STAGECOACH SWEEP CREDIT</t>
        </is>
      </c>
    </row>
    <row r="87">
      <c r="A87" s="4" t="n">
        <v>46127</v>
      </c>
      <c r="B87" s="5" t="n">
        <v>-443359.17</v>
      </c>
      <c r="D87" t="n">
        <v>-4</v>
      </c>
      <c r="E87" t="inlineStr">
        <is>
          <t>STAGECOACH SWEEP DEBIT</t>
        </is>
      </c>
    </row>
    <row r="88">
      <c r="A88" s="4" t="n">
        <v>46127</v>
      </c>
      <c r="B88" s="5" t="n">
        <v>-880</v>
      </c>
      <c r="C88" t="inlineStr">
        <is>
          <t>1805</t>
        </is>
      </c>
      <c r="D88" t="n">
        <v>-2</v>
      </c>
      <c r="E88" t="inlineStr">
        <is>
          <t>CHECK</t>
        </is>
      </c>
    </row>
    <row r="89">
      <c r="A89" s="4" t="n">
        <v>46127</v>
      </c>
      <c r="B89" s="5" t="n">
        <v>-12356.75</v>
      </c>
      <c r="D89" t="n">
        <v>-2</v>
      </c>
      <c r="E89" t="inlineStr">
        <is>
          <t>WT SEQ453879 LAKESHORE EMPLOYMENT, I /BNF=LAKESHORE EMPLOYMENT, INC. SRF# PPE041126 TRN#260415453879 RFB# 15626</t>
        </is>
      </c>
    </row>
    <row r="90">
      <c r="A90" s="4" t="n">
        <v>46127</v>
      </c>
      <c r="B90" s="5" t="n">
        <v>-3450</v>
      </c>
      <c r="D90" t="n">
        <v>-2</v>
      </c>
      <c r="E90" t="inlineStr">
        <is>
          <t>ACH ORIGINATION - Bay City MHC - FILE EDIMN00004 COID LAK3642339 LAK3642339 FILE EDIMN00004 0S00000091003634076277N</t>
        </is>
      </c>
    </row>
    <row r="91">
      <c r="A91" s="4" t="n">
        <v>46127</v>
      </c>
      <c r="B91" s="5" t="n">
        <v>-172.46</v>
      </c>
      <c r="D91" t="n">
        <v>-2</v>
      </c>
      <c r="E91" t="inlineStr">
        <is>
          <t>ACH ORIGINATION - Bay City MHC - FILE EDIMN00004 COID LAK3642339 LAK3642339 FILE EDIMN00004 0S00000091004037039863N</t>
        </is>
      </c>
    </row>
    <row r="92">
      <c r="A92" s="4" t="n">
        <v>46127</v>
      </c>
      <c r="B92" s="5" t="n">
        <v>878</v>
      </c>
      <c r="D92" t="n">
        <v>2</v>
      </c>
      <c r="E92" t="inlineStr">
        <is>
          <t>LSM Field EDI PYMNTS XXXXX0322 BAY CITY MHC LLC LAK3642496 200550322 O00000091004036961997N</t>
        </is>
      </c>
    </row>
    <row r="93">
      <c r="A93" s="4" t="n">
        <v>46127</v>
      </c>
      <c r="B93" s="5" t="n">
        <v>875</v>
      </c>
      <c r="D93" t="n">
        <v>2</v>
      </c>
      <c r="E93" t="inlineStr">
        <is>
          <t>Bay City Settlement 041526 000026791572114 Lakeshore Management I 9000631441 000026791572114 R00000091003934305250N</t>
        </is>
      </c>
    </row>
    <row r="94">
      <c r="A94" s="4" t="n">
        <v>46127</v>
      </c>
      <c r="B94" s="5" t="n">
        <v>458465.38</v>
      </c>
      <c r="D94" t="n">
        <v>4</v>
      </c>
      <c r="E94" t="inlineStr">
        <is>
          <t>STAGECOACH SWEEP CREDIT</t>
        </is>
      </c>
    </row>
    <row r="95">
      <c r="A95" s="4" t="n">
        <v>46128</v>
      </c>
      <c r="B95" s="5" t="n">
        <v>-449329.49</v>
      </c>
      <c r="D95" t="n">
        <v>-4</v>
      </c>
      <c r="E95" t="inlineStr">
        <is>
          <t>STAGECOACH SWEEP DEBIT</t>
        </is>
      </c>
    </row>
    <row r="96">
      <c r="A96" s="4" t="n">
        <v>46128</v>
      </c>
      <c r="B96" s="5" t="n">
        <v>-2444.07</v>
      </c>
      <c r="D96" t="n">
        <v>-2</v>
      </c>
      <c r="E96" t="inlineStr">
        <is>
          <t>ACH ORIGINATION - Bay City MHC - FILE EDIMN00004 COID LAK3642339 LAK3642339 FILE EDIMN00004 0S00000091005461468894N</t>
        </is>
      </c>
    </row>
    <row r="97">
      <c r="A97" s="4" t="n">
        <v>46128</v>
      </c>
      <c r="B97" s="5" t="n">
        <v>7341.54</v>
      </c>
      <c r="D97" t="n">
        <v>2</v>
      </c>
      <c r="E97" t="inlineStr">
        <is>
          <t>Bay City MHC LLC Settlement 041626 000026805149098 Bay City 9001520382 000026805149098 R00000091004438594365N</t>
        </is>
      </c>
    </row>
    <row r="98">
      <c r="A98" s="4" t="n">
        <v>46128</v>
      </c>
      <c r="B98" s="5" t="n">
        <v>952.85</v>
      </c>
      <c r="D98" t="n">
        <v>2</v>
      </c>
      <c r="E98" t="inlineStr">
        <is>
          <t>Bay City Settlement 041626 000026806959858 Lakeshore Management I 9000631441 000026806959858 R00000091004438682263N</t>
        </is>
      </c>
    </row>
    <row r="99">
      <c r="A99" s="4" t="n">
        <v>46128</v>
      </c>
      <c r="B99" s="5" t="n">
        <v>120</v>
      </c>
      <c r="D99" t="n">
        <v>2</v>
      </c>
      <c r="E99" t="inlineStr">
        <is>
          <t>Bay City MHC LLC Settlement 041626 000026803021902 Bay City 9001520382 000026803021902 R00000091004438424144N</t>
        </is>
      </c>
    </row>
    <row r="100">
      <c r="A100" s="4" t="n">
        <v>46128</v>
      </c>
      <c r="B100" s="5" t="n">
        <v>443359.17</v>
      </c>
      <c r="D100" t="n">
        <v>4</v>
      </c>
      <c r="E100" t="inlineStr">
        <is>
          <t>STAGECOACH SWEEP CREDIT</t>
        </is>
      </c>
    </row>
    <row r="101">
      <c r="A101" s="4" t="n">
        <v>46129</v>
      </c>
      <c r="B101" s="5" t="n">
        <v>-449521.14</v>
      </c>
      <c r="D101" t="n">
        <v>-4</v>
      </c>
      <c r="E101" t="inlineStr">
        <is>
          <t>STAGECOACH SWEEP DEBIT</t>
        </is>
      </c>
    </row>
    <row r="102">
      <c r="A102" s="4" t="n">
        <v>46129</v>
      </c>
      <c r="B102" s="5" t="n">
        <v>-1897.39</v>
      </c>
      <c r="C102" t="inlineStr">
        <is>
          <t>1814</t>
        </is>
      </c>
      <c r="D102" t="n">
        <v>-2</v>
      </c>
      <c r="E102" t="inlineStr">
        <is>
          <t>CHECK</t>
        </is>
      </c>
    </row>
    <row r="103">
      <c r="A103" s="4" t="n">
        <v>46129</v>
      </c>
      <c r="B103" s="5" t="n">
        <v>-880</v>
      </c>
      <c r="C103" t="inlineStr">
        <is>
          <t>1808</t>
        </is>
      </c>
      <c r="D103" t="n">
        <v>-2</v>
      </c>
      <c r="E103" t="inlineStr">
        <is>
          <t>CHECK</t>
        </is>
      </c>
    </row>
    <row r="104">
      <c r="A104" s="4" t="n">
        <v>46129</v>
      </c>
      <c r="B104" s="5" t="n">
        <v>-176</v>
      </c>
      <c r="C104" t="inlineStr">
        <is>
          <t>1809</t>
        </is>
      </c>
      <c r="D104" t="n">
        <v>-2</v>
      </c>
      <c r="E104" t="inlineStr">
        <is>
          <t>CHECK</t>
        </is>
      </c>
    </row>
    <row r="105">
      <c r="A105" s="4" t="n">
        <v>46129</v>
      </c>
      <c r="B105" s="5" t="n">
        <v>-702.17</v>
      </c>
      <c r="D105" t="n">
        <v>-2</v>
      </c>
      <c r="E105" t="inlineStr">
        <is>
          <t>ACH ORIGINATION - Bay City MHC - FILE EDIMN00004 COID LAK3642339 LAK3642339 FILE EDIMN00004 0S00000091005670340310N</t>
        </is>
      </c>
    </row>
    <row r="106">
      <c r="A106" s="4" t="n">
        <v>46129</v>
      </c>
      <c r="B106" s="5" t="n">
        <v>2062.21</v>
      </c>
      <c r="D106" t="n">
        <v>2</v>
      </c>
      <c r="E106" t="inlineStr">
        <is>
          <t>Bay City Settlement 041726 000026814326682 Lakeshore Management I 9000631441 000026814326682 R00000091005573540195N</t>
        </is>
      </c>
    </row>
    <row r="107">
      <c r="A107" s="4" t="n">
        <v>46129</v>
      </c>
      <c r="B107" s="5" t="n">
        <v>1785</v>
      </c>
      <c r="D107" t="n">
        <v>2</v>
      </c>
      <c r="E107" t="inlineStr">
        <is>
          <t>Bay City MHC LLC Settlement 041726 000026812944382 Bay City 9001520382 000026812944382 R00000091005573539716N</t>
        </is>
      </c>
    </row>
    <row r="108">
      <c r="A108" s="4" t="n">
        <v>46129</v>
      </c>
      <c r="B108" s="5" t="n">
        <v>449329.49</v>
      </c>
      <c r="D108" t="n">
        <v>4</v>
      </c>
      <c r="E108" t="inlineStr">
        <is>
          <t>STAGECOACH SWEEP CREDIT</t>
        </is>
      </c>
    </row>
    <row r="109">
      <c r="A109" s="4" t="n">
        <v>46132</v>
      </c>
      <c r="B109" s="5" t="n">
        <v>-199903.84</v>
      </c>
      <c r="D109" t="n">
        <v>-4</v>
      </c>
      <c r="E109" t="inlineStr">
        <is>
          <t>STAGECOACH SWEEP DEBIT</t>
        </is>
      </c>
    </row>
    <row r="110">
      <c r="A110" s="4" t="n">
        <v>46132</v>
      </c>
      <c r="B110" s="5" t="n">
        <v>-2172.28</v>
      </c>
      <c r="C110" t="inlineStr">
        <is>
          <t>1810</t>
        </is>
      </c>
      <c r="D110" t="n">
        <v>-2</v>
      </c>
      <c r="E110" t="inlineStr">
        <is>
          <t>CHECK</t>
        </is>
      </c>
    </row>
    <row r="111">
      <c r="A111" s="4" t="n">
        <v>46132</v>
      </c>
      <c r="B111" s="5" t="n">
        <v>-263300</v>
      </c>
      <c r="D111" t="n">
        <v>-2</v>
      </c>
      <c r="E111" t="inlineStr">
        <is>
          <t>ONLINE TRANSFER BAY CITY TO LSLND B Q1 26 PYDWN REF #BB0XR4KNBT</t>
        </is>
      </c>
    </row>
    <row r="112">
      <c r="A112" s="4" t="n">
        <v>46132</v>
      </c>
      <c r="B112" s="5" t="n">
        <v>-23.51</v>
      </c>
      <c r="D112" t="n">
        <v>-2</v>
      </c>
      <c r="E112" t="inlineStr">
        <is>
          <t>ACH ORIGINATION - Bay City MHC - FILE EDIMN00004 COID LAK3642339 LAK3642339 FILE EDIMN00004 0S00000091006061298868N</t>
        </is>
      </c>
    </row>
    <row r="113">
      <c r="A113" s="4" t="n">
        <v>46132</v>
      </c>
      <c r="B113" s="5" t="n">
        <v>7510</v>
      </c>
      <c r="D113" t="n">
        <v>2</v>
      </c>
      <c r="E113" t="inlineStr">
        <is>
          <t>Bay City MHC LLC Settlement 042026 000026821476398 Bay City 9001520382 000026821476398 R00000091005773196221N</t>
        </is>
      </c>
    </row>
    <row r="114">
      <c r="A114" s="4" t="n">
        <v>46132</v>
      </c>
      <c r="B114" s="5" t="n">
        <v>2818.49</v>
      </c>
      <c r="D114" t="n">
        <v>2</v>
      </c>
      <c r="E114" t="inlineStr">
        <is>
          <t>Bay City Settlement 042026 000026823165982 Lakeshore Management I 9000631441 000026823165982 R00000091005774018611N</t>
        </is>
      </c>
    </row>
    <row r="115">
      <c r="A115" s="4" t="n">
        <v>46132</v>
      </c>
      <c r="B115" s="5" t="n">
        <v>1950</v>
      </c>
      <c r="D115" t="n">
        <v>2</v>
      </c>
      <c r="E115" t="inlineStr">
        <is>
          <t>BNKCD SETTLE MERCH DEP 260418 286768420002857 LAKESHORE BAY CITY 1043763809 286768420002857 R00000091005879365183N</t>
        </is>
      </c>
    </row>
    <row r="116">
      <c r="A116" s="4" t="n">
        <v>46132</v>
      </c>
      <c r="B116" s="5" t="n">
        <v>1860</v>
      </c>
      <c r="D116" t="n">
        <v>2</v>
      </c>
      <c r="E116" t="inlineStr">
        <is>
          <t>Bay City MHC LLC Settlement 042026 000026821436222 Bay City 9001520382 000026821436222 R00000091005774015293N</t>
        </is>
      </c>
    </row>
    <row r="117">
      <c r="A117" s="4" t="n">
        <v>46132</v>
      </c>
      <c r="B117" s="5" t="n">
        <v>1250</v>
      </c>
      <c r="D117" t="n">
        <v>2</v>
      </c>
      <c r="E117" t="inlineStr">
        <is>
          <t>Bay City MHC LLC Settlement 042026 000026821449642 Bay City 9001520382 000026821449642 R00000091005773389416N</t>
        </is>
      </c>
    </row>
    <row r="118">
      <c r="A118" s="4" t="n">
        <v>46132</v>
      </c>
      <c r="B118" s="5" t="n">
        <v>490</v>
      </c>
      <c r="D118" t="n">
        <v>2</v>
      </c>
      <c r="E118" t="inlineStr">
        <is>
          <t>BNKCD SETTLE MERCH DEP 260419 286768420002857 LAKESHORE BAY CITY 1043763809 286768420002857 R00000091005879580221N</t>
        </is>
      </c>
    </row>
    <row r="119">
      <c r="A119" s="4" t="n">
        <v>46132</v>
      </c>
      <c r="B119" s="5" t="n">
        <v>449521.14</v>
      </c>
      <c r="D119" t="n">
        <v>4</v>
      </c>
      <c r="E119" t="inlineStr">
        <is>
          <t>STAGECOACH SWEEP CREDIT</t>
        </is>
      </c>
    </row>
    <row r="120">
      <c r="A120" s="4" t="n">
        <v>46133</v>
      </c>
      <c r="B120" s="5" t="n">
        <v>-204262.62</v>
      </c>
      <c r="D120" t="n">
        <v>-4</v>
      </c>
      <c r="E120" t="inlineStr">
        <is>
          <t>STAGECOACH SWEEP DEBIT</t>
        </is>
      </c>
    </row>
    <row r="121">
      <c r="A121" s="4" t="n">
        <v>46133</v>
      </c>
      <c r="B121" s="5" t="n">
        <v>-413.4</v>
      </c>
      <c r="C121" t="inlineStr">
        <is>
          <t>1786</t>
        </is>
      </c>
      <c r="D121" t="n">
        <v>-3</v>
      </c>
      <c r="E121" t="inlineStr">
        <is>
          <t>CHECK</t>
        </is>
      </c>
    </row>
    <row r="122">
      <c r="A122" s="4" t="n">
        <v>46133</v>
      </c>
      <c r="B122" s="5" t="n">
        <v>-275</v>
      </c>
      <c r="C122" t="inlineStr">
        <is>
          <t>1811</t>
        </is>
      </c>
      <c r="D122" t="n">
        <v>-2</v>
      </c>
      <c r="E122" t="inlineStr">
        <is>
          <t>CHECK</t>
        </is>
      </c>
    </row>
    <row r="123">
      <c r="A123" s="4" t="n">
        <v>46133</v>
      </c>
      <c r="B123" s="5" t="n">
        <v>-106.92</v>
      </c>
      <c r="C123" t="inlineStr">
        <is>
          <t>1812</t>
        </is>
      </c>
      <c r="D123" t="n">
        <v>-2</v>
      </c>
      <c r="E123" t="inlineStr">
        <is>
          <t>CHECK</t>
        </is>
      </c>
    </row>
    <row r="124">
      <c r="A124" s="4" t="n">
        <v>46133</v>
      </c>
      <c r="B124" s="5" t="n">
        <v>5154.1</v>
      </c>
      <c r="D124" t="n">
        <v>2</v>
      </c>
      <c r="E124" t="inlineStr">
        <is>
          <t>Bay City Settlement 042126 000026838156846 Lakeshore Management I 9000631441 000026838156846 R00000091006170052985N</t>
        </is>
      </c>
    </row>
    <row r="125">
      <c r="A125" s="4" t="n">
        <v>46133</v>
      </c>
      <c r="B125" s="5" t="n">
        <v>199903.84</v>
      </c>
      <c r="D125" t="n">
        <v>4</v>
      </c>
      <c r="E125" t="inlineStr">
        <is>
          <t>STAGECOACH SWEEP CREDIT</t>
        </is>
      </c>
    </row>
    <row r="126">
      <c r="A126" s="4" t="n">
        <v>46134</v>
      </c>
      <c r="B126" s="5" t="n">
        <v>-217125.43</v>
      </c>
      <c r="D126" t="n">
        <v>-4</v>
      </c>
      <c r="E126" t="inlineStr">
        <is>
          <t>STAGECOACH SWEEP DEBIT</t>
        </is>
      </c>
    </row>
    <row r="127">
      <c r="A127" s="4" t="n">
        <v>46134</v>
      </c>
      <c r="B127" s="5" t="n">
        <v>-6000</v>
      </c>
      <c r="D127" t="n">
        <v>-2</v>
      </c>
      <c r="E127" t="inlineStr">
        <is>
          <t>ACH ORIGINATION - Bay City MHC - FILE EDIMN00004 COID LAK3642339 LAK3642339 FILE EDIMN00004 0S00000091003652731167N</t>
        </is>
      </c>
    </row>
    <row r="128">
      <c r="A128" s="4" t="n">
        <v>46134</v>
      </c>
      <c r="B128" s="5" t="n">
        <v>-4200</v>
      </c>
      <c r="D128" t="n">
        <v>-2</v>
      </c>
      <c r="E128" t="inlineStr">
        <is>
          <t>ACH ORIGINATION - Bay City MHC - FILE EDIMN00004 COID LAK3642339 LAK3642339 FILE EDIMN00004 0S00000091006268485154N</t>
        </is>
      </c>
    </row>
    <row r="129">
      <c r="A129" s="4" t="n">
        <v>46134</v>
      </c>
      <c r="B129" s="5" t="n">
        <v>13234</v>
      </c>
      <c r="D129" t="n">
        <v>2</v>
      </c>
      <c r="E129" t="inlineStr">
        <is>
          <t>ONLINE TRANSFER LS LEND B TO BAY CITY PK DRW 829 REF #BB0XRTNRXJ</t>
        </is>
      </c>
    </row>
    <row r="130">
      <c r="A130" s="4" t="n">
        <v>46134</v>
      </c>
      <c r="B130" s="5" t="n">
        <v>5000</v>
      </c>
      <c r="D130" t="n">
        <v>2</v>
      </c>
      <c r="E130" t="inlineStr">
        <is>
          <t>ONLINE TRANSFER LSLND B TO BAY CITY PK DRW 828 REF #BB0XRSHKSS</t>
        </is>
      </c>
    </row>
    <row r="131">
      <c r="A131" s="4" t="n">
        <v>46134</v>
      </c>
      <c r="B131" s="5" t="n">
        <v>2583.63</v>
      </c>
      <c r="D131" t="n">
        <v>2</v>
      </c>
      <c r="E131" t="inlineStr">
        <is>
          <t>Bay City MHC LLC Settlement 042226 000026844270634 Bay City 9001520382 000026844270634 R00000091006370440192N</t>
        </is>
      </c>
    </row>
    <row r="132">
      <c r="A132" s="4" t="n">
        <v>46134</v>
      </c>
      <c r="B132" s="5" t="n">
        <v>2245.18</v>
      </c>
      <c r="D132" t="n">
        <v>2</v>
      </c>
      <c r="E132" t="inlineStr">
        <is>
          <t>Bay City MHC LLC Settlement 042226 000026842549330 Bay City 9001520382 000026842549330 R00000091006370238701N</t>
        </is>
      </c>
    </row>
    <row r="133">
      <c r="A133" s="4" t="n">
        <v>46134</v>
      </c>
      <c r="B133" s="5" t="n">
        <v>204262.62</v>
      </c>
      <c r="D133" t="n">
        <v>4</v>
      </c>
      <c r="E133" t="inlineStr">
        <is>
          <t>STAGECOACH SWEEP CREDIT</t>
        </is>
      </c>
    </row>
    <row r="134">
      <c r="A134" s="4" t="n">
        <v>46135</v>
      </c>
      <c r="B134" s="5" t="n">
        <v>-209994.85</v>
      </c>
      <c r="D134" t="n">
        <v>-4</v>
      </c>
      <c r="E134" t="inlineStr">
        <is>
          <t>STAGECOACH SWEEP DEBIT</t>
        </is>
      </c>
    </row>
    <row r="135">
      <c r="A135" s="4" t="n">
        <v>46135</v>
      </c>
      <c r="B135" s="5" t="n">
        <v>-9784</v>
      </c>
      <c r="C135" t="inlineStr">
        <is>
          <t>1816</t>
        </is>
      </c>
      <c r="D135" t="n">
        <v>-2</v>
      </c>
      <c r="E135" t="inlineStr">
        <is>
          <t>CHECK</t>
        </is>
      </c>
    </row>
    <row r="136">
      <c r="A136" s="4" t="n">
        <v>46135</v>
      </c>
      <c r="B136" s="5" t="n">
        <v>-23.81</v>
      </c>
      <c r="D136" t="n">
        <v>-2</v>
      </c>
      <c r="E136" t="inlineStr">
        <is>
          <t>ACH ORIGINATION - Bay City MHC - FILE EDIMN00004 COID LAK3642339 LAK3642339 FILE EDIMN00004 0S00000091004059086182N</t>
        </is>
      </c>
    </row>
    <row r="137">
      <c r="A137" s="4" t="n">
        <v>46135</v>
      </c>
      <c r="B137" s="5" t="n">
        <v>1850</v>
      </c>
      <c r="D137" t="n">
        <v>2</v>
      </c>
      <c r="E137" t="inlineStr">
        <is>
          <t>BNKCD SETTLE MERCH DEP 260423 286768420002857 LAKESHORE BAY CITY 1043763809 286768420002857 R00000091004054710557N</t>
        </is>
      </c>
    </row>
    <row r="138">
      <c r="A138" s="4" t="n">
        <v>46135</v>
      </c>
      <c r="B138" s="5" t="n">
        <v>827.23</v>
      </c>
      <c r="D138" t="n">
        <v>2</v>
      </c>
      <c r="E138" t="inlineStr">
        <is>
          <t>Bay City Settlement 042326 000026852999366 Lakeshore Management I 9000631441 000026852999366 R00000091003957865206N</t>
        </is>
      </c>
    </row>
    <row r="139">
      <c r="A139" s="4" t="n">
        <v>46135</v>
      </c>
      <c r="B139" s="5" t="n">
        <v>217125.43</v>
      </c>
      <c r="D139" t="n">
        <v>4</v>
      </c>
      <c r="E139" t="inlineStr">
        <is>
          <t>STAGECOACH SWEEP CREDIT</t>
        </is>
      </c>
    </row>
    <row r="140">
      <c r="A140" s="4" t="n">
        <v>46136</v>
      </c>
      <c r="B140" s="5" t="n">
        <v>-212197.38</v>
      </c>
      <c r="D140" t="n">
        <v>-4</v>
      </c>
      <c r="E140" t="inlineStr">
        <is>
          <t>STAGECOACH SWEEP DEBIT</t>
        </is>
      </c>
    </row>
    <row r="141">
      <c r="A141" s="4" t="n">
        <v>46136</v>
      </c>
      <c r="B141" s="5" t="n">
        <v>-395.38</v>
      </c>
      <c r="C141" t="inlineStr">
        <is>
          <t>1818</t>
        </is>
      </c>
      <c r="D141" t="n">
        <v>-2</v>
      </c>
      <c r="E141" t="inlineStr">
        <is>
          <t>CHECK</t>
        </is>
      </c>
    </row>
    <row r="142">
      <c r="A142" s="4" t="n">
        <v>46136</v>
      </c>
      <c r="B142" s="5" t="n">
        <v>1030.12</v>
      </c>
      <c r="D142" t="n">
        <v>2</v>
      </c>
      <c r="E142" t="inlineStr">
        <is>
          <t>Bay City MHC LLC Settlement 042426 000026858382482 Bay City 9001520382 000026858382482 R00000091004356857143N</t>
        </is>
      </c>
    </row>
    <row r="143">
      <c r="A143" s="4" t="n">
        <v>46136</v>
      </c>
      <c r="B143" s="5" t="n">
        <v>859.37</v>
      </c>
      <c r="D143" t="n">
        <v>2</v>
      </c>
      <c r="E143" t="inlineStr">
        <is>
          <t>Bay City Settlement 042426 000026859724618 Lakeshore Management I 9000631441 000026859724618 R00000091004357075387N</t>
        </is>
      </c>
    </row>
    <row r="144">
      <c r="A144" s="4" t="n">
        <v>46136</v>
      </c>
      <c r="B144" s="5" t="n">
        <v>708.42</v>
      </c>
      <c r="D144" t="n">
        <v>2</v>
      </c>
      <c r="E144" t="inlineStr">
        <is>
          <t>Bay City MHC LLC Settlement 042426 000026857063474 Bay City 9001520382 000026857063474 R00000091004357076918N</t>
        </is>
      </c>
    </row>
    <row r="145">
      <c r="A145" s="4" t="n">
        <v>46136</v>
      </c>
      <c r="B145" s="5" t="n">
        <v>209994.85</v>
      </c>
      <c r="D145" t="n">
        <v>4</v>
      </c>
      <c r="E145" t="inlineStr">
        <is>
          <t>STAGECOACH SWEEP CREDIT</t>
        </is>
      </c>
    </row>
    <row r="146">
      <c r="A146" s="4" t="n">
        <v>46139</v>
      </c>
      <c r="B146" s="5" t="n">
        <v>-218381.95</v>
      </c>
      <c r="D146" t="n">
        <v>-4</v>
      </c>
      <c r="E146" t="inlineStr">
        <is>
          <t>STAGECOACH SWEEP DEBIT</t>
        </is>
      </c>
    </row>
    <row r="147">
      <c r="A147" s="4" t="n">
        <v>46139</v>
      </c>
      <c r="B147" s="5" t="n">
        <v>-620.63</v>
      </c>
      <c r="C147" t="inlineStr">
        <is>
          <t>1824</t>
        </is>
      </c>
      <c r="D147" t="n">
        <v>-2</v>
      </c>
      <c r="E147" t="inlineStr">
        <is>
          <t>CHECK</t>
        </is>
      </c>
    </row>
    <row r="148">
      <c r="A148" s="4" t="n">
        <v>46139</v>
      </c>
      <c r="B148" s="5" t="n">
        <v>-330.48</v>
      </c>
      <c r="C148" t="inlineStr">
        <is>
          <t>1823</t>
        </is>
      </c>
      <c r="D148" t="n">
        <v>-2</v>
      </c>
      <c r="E148" t="inlineStr">
        <is>
          <t>CHECK</t>
        </is>
      </c>
    </row>
    <row r="149">
      <c r="A149" s="4" t="n">
        <v>46139</v>
      </c>
      <c r="B149" s="5" t="n">
        <v>-253.75</v>
      </c>
      <c r="C149" t="inlineStr">
        <is>
          <t>1820</t>
        </is>
      </c>
      <c r="D149" t="n">
        <v>-2</v>
      </c>
      <c r="E149" t="inlineStr">
        <is>
          <t>CHECK</t>
        </is>
      </c>
    </row>
    <row r="150">
      <c r="A150" s="4" t="n">
        <v>46139</v>
      </c>
      <c r="B150" s="5" t="n">
        <v>2555.37</v>
      </c>
      <c r="D150" t="n">
        <v>2</v>
      </c>
      <c r="E150" t="inlineStr">
        <is>
          <t>Bay City MHC LLC Settlement 042726 000026867500810 Bay City 9001520382 000026867500810 R00000091003639031097N</t>
        </is>
      </c>
    </row>
    <row r="151">
      <c r="A151" s="4" t="n">
        <v>46139</v>
      </c>
      <c r="B151" s="5" t="n">
        <v>2392.85</v>
      </c>
      <c r="D151" t="n">
        <v>2</v>
      </c>
      <c r="E151" t="inlineStr">
        <is>
          <t>BNKCD SETTLE MERCH DEP 260425 286768420002857 LAKESHORE BAY CITY 1043763809 286768420002857 R00000091003933318445N</t>
        </is>
      </c>
    </row>
    <row r="152">
      <c r="A152" s="4" t="n">
        <v>46139</v>
      </c>
      <c r="B152" s="5" t="n">
        <v>1750</v>
      </c>
      <c r="D152" t="n">
        <v>2</v>
      </c>
      <c r="E152" t="inlineStr">
        <is>
          <t>Bay City MHC LLC Settlement 042726 000026867487866 Bay City 9001520382 000026867487866 R00000091003638857347N</t>
        </is>
      </c>
    </row>
    <row r="153">
      <c r="A153" s="4" t="n">
        <v>46139</v>
      </c>
      <c r="B153" s="5" t="n">
        <v>691.21</v>
      </c>
      <c r="D153" t="n">
        <v>2</v>
      </c>
      <c r="E153" t="inlineStr">
        <is>
          <t>Bay City Settlement 042726 000026868600150 Lakeshore Management I 9000631441 000026868600150 R00000091003639031130N</t>
        </is>
      </c>
    </row>
    <row r="154">
      <c r="A154" s="4" t="n">
        <v>46139</v>
      </c>
      <c r="B154" s="5" t="n">
        <v>212197.38</v>
      </c>
      <c r="D154" t="n">
        <v>4</v>
      </c>
      <c r="E154" t="inlineStr">
        <is>
          <t>STAGECOACH SWEEP CREDIT</t>
        </is>
      </c>
    </row>
    <row r="155">
      <c r="A155" s="4" t="n">
        <v>46140</v>
      </c>
      <c r="B155" s="5" t="n">
        <v>-226344.02</v>
      </c>
      <c r="D155" t="n">
        <v>-4</v>
      </c>
      <c r="E155" t="inlineStr">
        <is>
          <t>STAGECOACH SWEEP DEBIT</t>
        </is>
      </c>
    </row>
    <row r="156">
      <c r="A156" s="4" t="n">
        <v>46140</v>
      </c>
      <c r="B156" s="5" t="n">
        <v>-857.96</v>
      </c>
      <c r="C156" t="inlineStr">
        <is>
          <t>1821</t>
        </is>
      </c>
      <c r="D156" t="n">
        <v>-2</v>
      </c>
      <c r="E156" t="inlineStr">
        <is>
          <t>CHECK</t>
        </is>
      </c>
    </row>
    <row r="157">
      <c r="A157" s="4" t="n">
        <v>46140</v>
      </c>
      <c r="B157" s="5" t="n">
        <v>-247.33</v>
      </c>
      <c r="D157" t="n">
        <v>-2</v>
      </c>
      <c r="E157" t="inlineStr">
        <is>
          <t>INTELLIPAY BILLING 260427 A24916979 Lakeshore - Bay City 27-3685152 A24916979 0R00000091004334990418N</t>
        </is>
      </c>
    </row>
    <row r="158">
      <c r="A158" s="4" t="n">
        <v>46140</v>
      </c>
      <c r="B158" s="5" t="n">
        <v>-41.11</v>
      </c>
      <c r="C158" t="inlineStr">
        <is>
          <t>1825</t>
        </is>
      </c>
      <c r="D158" t="n">
        <v>-2</v>
      </c>
      <c r="E158" t="inlineStr">
        <is>
          <t>CHECK</t>
        </is>
      </c>
    </row>
    <row r="159">
      <c r="A159" s="4" t="n">
        <v>46140</v>
      </c>
      <c r="B159" s="5" t="n">
        <v>-1326.82</v>
      </c>
      <c r="D159" t="n">
        <v>-2</v>
      </c>
      <c r="E159" t="inlineStr">
        <is>
          <t>ACH ORIGINATION - Bay City MHC - FILE EDIMN00004 COID LAK3642339 LAK3642339 FILE EDIMN00004 0S00000091004538058682N</t>
        </is>
      </c>
    </row>
    <row r="160">
      <c r="A160" s="4" t="n">
        <v>46140</v>
      </c>
      <c r="B160" s="5" t="n">
        <v>3317.08</v>
      </c>
      <c r="D160" t="n">
        <v>2</v>
      </c>
      <c r="E160" t="inlineStr">
        <is>
          <t>Bay City MHC LLC Settlement 042826 000026881936398 Bay City 9001520382 000026881936398 R00000091004433796632N</t>
        </is>
      </c>
    </row>
    <row r="161">
      <c r="A161" s="4" t="n">
        <v>46140</v>
      </c>
      <c r="B161" s="5" t="n">
        <v>2880.61</v>
      </c>
      <c r="D161" t="n">
        <v>2</v>
      </c>
      <c r="E161" t="inlineStr">
        <is>
          <t>Bay City MHC LLC Settlement 042826 000026873930678 Bay City 9001520382 000026873930678 R00000091004433784047N</t>
        </is>
      </c>
    </row>
    <row r="162">
      <c r="A162" s="4" t="n">
        <v>46140</v>
      </c>
      <c r="B162" s="5" t="n">
        <v>2730.74</v>
      </c>
      <c r="D162" t="n">
        <v>2</v>
      </c>
      <c r="E162" t="inlineStr">
        <is>
          <t>Bay City Settlement 042826 000026884911010 Lakeshore Management I 9000631441 000026884911010 R00000091004433789914N</t>
        </is>
      </c>
    </row>
    <row r="163">
      <c r="A163" s="4" t="n">
        <v>46140</v>
      </c>
      <c r="B163" s="5" t="n">
        <v>775</v>
      </c>
      <c r="D163" t="n">
        <v>2</v>
      </c>
      <c r="E163" t="inlineStr">
        <is>
          <t>Bay City MHC LLC Settlement 042826 000026873930642 Bay City 9001520382 000026873930642 R00000091004433874796N</t>
        </is>
      </c>
    </row>
    <row r="164">
      <c r="A164" s="4" t="n">
        <v>46140</v>
      </c>
      <c r="B164" s="5" t="n">
        <v>731.86</v>
      </c>
      <c r="D164" t="n">
        <v>2</v>
      </c>
      <c r="E164" t="inlineStr">
        <is>
          <t>Bay City MHC LLC Settlement 042826 000026873930582 Bay City 9001520382 000026873930582 R00000091004433788371N</t>
        </is>
      </c>
    </row>
    <row r="165">
      <c r="A165" s="4" t="n">
        <v>46140</v>
      </c>
      <c r="B165" s="5" t="n">
        <v>218381.95</v>
      </c>
      <c r="D165" t="n">
        <v>4</v>
      </c>
      <c r="E165" t="inlineStr">
        <is>
          <t>STAGECOACH SWEEP CREDIT</t>
        </is>
      </c>
    </row>
    <row r="166">
      <c r="A166" s="4" t="n">
        <v>46141</v>
      </c>
      <c r="B166" s="5" t="n">
        <v>-206642.35</v>
      </c>
      <c r="D166" t="n">
        <v>-4</v>
      </c>
      <c r="E166" t="inlineStr">
        <is>
          <t>STAGECOACH SWEEP DEBIT</t>
        </is>
      </c>
    </row>
    <row r="167">
      <c r="A167" s="4" t="n">
        <v>46141</v>
      </c>
      <c r="B167" s="5" t="n">
        <v>-1030.12</v>
      </c>
      <c r="D167" t="n">
        <v>-2</v>
      </c>
      <c r="E167" t="inlineStr">
        <is>
          <t>Bay City MHC LLC Return 042926 000026888502262 Bay City 9001520382 000026888502262 0R00000091005572189781N</t>
        </is>
      </c>
    </row>
    <row r="168">
      <c r="A168" s="4" t="n">
        <v>46141</v>
      </c>
      <c r="B168" s="5" t="n">
        <v>-15777.79</v>
      </c>
      <c r="D168" t="n">
        <v>-2</v>
      </c>
      <c r="E168" t="inlineStr">
        <is>
          <t>WT SEQ454505 LAKESHORE EMPLOYMENT, I /BNF=LAKESHORE EMPLOYMENT, INC. SRF# PPE042526 TRN#260429454505 RFB# 15815</t>
        </is>
      </c>
    </row>
    <row r="169">
      <c r="A169" s="4" t="n">
        <v>46141</v>
      </c>
      <c r="B169" s="5" t="n">
        <v>-5157.5</v>
      </c>
      <c r="D169" t="n">
        <v>-2</v>
      </c>
      <c r="E169" t="inlineStr">
        <is>
          <t>ACH ORIGINATION - Bay City MHC - FILE EDIMN00004 COID LAK3642339 LAK3642339 FILE EDIMN00004 0S00000091004538072929N</t>
        </is>
      </c>
    </row>
    <row r="170">
      <c r="A170" s="4" t="n">
        <v>46141</v>
      </c>
      <c r="B170" s="5" t="n">
        <v>2263.74</v>
      </c>
      <c r="D170" t="n">
        <v>2</v>
      </c>
      <c r="E170" t="inlineStr">
        <is>
          <t>Bay City Settlement 042926 000026893768138 Lakeshore Management I 9000631441 000026893768138 R00000091005572202972N</t>
        </is>
      </c>
    </row>
    <row r="171">
      <c r="A171" s="4" t="n">
        <v>46141</v>
      </c>
      <c r="B171" s="5" t="n">
        <v>226344.02</v>
      </c>
      <c r="D171" t="n">
        <v>4</v>
      </c>
      <c r="E171" t="inlineStr">
        <is>
          <t>STAGECOACH SWEEP CREDIT</t>
        </is>
      </c>
    </row>
    <row r="172">
      <c r="A172" s="4" t="n">
        <v>46142</v>
      </c>
      <c r="B172" s="5" t="n">
        <v>-215978.85</v>
      </c>
      <c r="D172" t="n">
        <v>-1</v>
      </c>
      <c r="E172" t="inlineStr">
        <is>
          <t>STAGECOACH SWEEP DEBIT</t>
        </is>
      </c>
    </row>
    <row r="173">
      <c r="A173" s="4" t="n">
        <v>46142</v>
      </c>
      <c r="B173" s="5" t="n">
        <v>-1433.03</v>
      </c>
      <c r="C173" t="inlineStr">
        <is>
          <t>1819</t>
        </is>
      </c>
      <c r="D173" t="n">
        <v>-2</v>
      </c>
      <c r="E173" t="inlineStr">
        <is>
          <t>CHECK</t>
        </is>
      </c>
    </row>
    <row r="174">
      <c r="A174" s="4" t="n">
        <v>46142</v>
      </c>
      <c r="B174" s="5" t="n">
        <v>4882.62</v>
      </c>
      <c r="D174" t="n">
        <v>2</v>
      </c>
      <c r="E174" t="inlineStr">
        <is>
          <t>Bay City MHC LLC Settlement 043026 000026899938882 Bay City 9001520382 000026899938882 R00000091005865639092N</t>
        </is>
      </c>
    </row>
    <row r="175">
      <c r="A175" s="4" t="n">
        <v>46142</v>
      </c>
      <c r="B175" s="5" t="n">
        <v>3154.77</v>
      </c>
      <c r="D175" t="n">
        <v>2</v>
      </c>
      <c r="E175" t="inlineStr">
        <is>
          <t>Bay City MHC LLC Settlement 043026 000026901274862 Bay City 9001520382 000026901274862 R00000091005865622560N</t>
        </is>
      </c>
    </row>
    <row r="176">
      <c r="A176" s="4" t="n">
        <v>46142</v>
      </c>
      <c r="B176" s="5" t="n">
        <v>1847.72</v>
      </c>
      <c r="D176" t="n">
        <v>2</v>
      </c>
      <c r="E176" t="inlineStr">
        <is>
          <t>Bay City Settlement 043026 000026902772750 Lakeshore Management I 9000631441 000026902772750 R00000091005865631946N</t>
        </is>
      </c>
    </row>
    <row r="177">
      <c r="A177" s="4" t="n">
        <v>46142</v>
      </c>
      <c r="B177" s="5" t="n">
        <v>884.42</v>
      </c>
      <c r="D177" t="n">
        <v>2</v>
      </c>
      <c r="E177" t="inlineStr">
        <is>
          <t>Bay City MHC LLC Settlement 043026 000026901207046 Bay City 9001520382 000026901207046 R00000091005865633160N</t>
        </is>
      </c>
    </row>
    <row r="178">
      <c r="A178" s="4" t="n">
        <v>46142</v>
      </c>
      <c r="B178" s="5" t="n">
        <v>206642.35</v>
      </c>
      <c r="D178" t="n">
        <v>4</v>
      </c>
      <c r="E178" t="inlineStr">
        <is>
          <t>STAGECOACH SWEEP CREDIT</t>
        </is>
      </c>
    </row>
    <row r="180">
      <c r="A180" t="n">
        <v>1</v>
      </c>
      <c r="B180" s="5">
        <f>SUMIF(D2:D178,1,B2:B178)</f>
        <v/>
      </c>
      <c r="C180" t="inlineStr">
        <is>
          <t>Un-Reconciled Deposits</t>
        </is>
      </c>
    </row>
    <row r="182">
      <c r="A182" t="n">
        <v>-1</v>
      </c>
      <c r="B182" s="5">
        <f>SUMIF(D2:D178,-1,B2:B178)</f>
        <v/>
      </c>
      <c r="C182" t="inlineStr">
        <is>
          <t>Un-Reconciled Withdrawals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45" customWidth="1" min="5" max="5"/>
    <col width="45" customWidth="1" min="6" max="6"/>
    <col width="13" customWidth="1" min="7" max="7"/>
    <col width="13" customWidth="1" min="8" max="8"/>
    <col width="13" customWidth="1" min="9" max="9"/>
    <col width="13" customWidth="1" min="10" max="10"/>
    <col width="6" customWidth="1" min="11" max="11"/>
  </cols>
  <sheetData>
    <row r="1">
      <c r="B1" t="inlineStr">
        <is>
          <t xml:space="preserve">                    General Ledger</t>
        </is>
      </c>
    </row>
    <row r="2">
      <c r="B2" t="inlineStr">
        <is>
          <t>Property: Bay City (161bct)</t>
        </is>
      </c>
    </row>
    <row r="3">
      <c r="B3" t="inlineStr">
        <is>
          <t>Detail Date Range: 04/01/26 - 04/30/26  (Accural basis)</t>
        </is>
      </c>
    </row>
    <row r="4">
      <c r="A4" t="inlineStr">
        <is>
          <t>11100161 BAY CITY MHC, LLC  (Bank Account)</t>
        </is>
      </c>
      <c r="I4" s="5" t="n">
        <v>344594.37</v>
      </c>
    </row>
    <row r="5">
      <c r="A5" s="1" t="inlineStr">
        <is>
          <t>Property Name</t>
        </is>
      </c>
      <c r="B5" s="1" t="inlineStr">
        <is>
          <t>Date</t>
        </is>
      </c>
      <c r="C5" s="1" t="inlineStr">
        <is>
          <t>Control</t>
        </is>
      </c>
      <c r="D5" s="1" t="inlineStr">
        <is>
          <t>Reference</t>
        </is>
      </c>
      <c r="E5" s="1" t="inlineStr">
        <is>
          <t>Description</t>
        </is>
      </c>
      <c r="F5" s="1" t="inlineStr">
        <is>
          <t>Remarks</t>
        </is>
      </c>
      <c r="G5" s="1" t="inlineStr">
        <is>
          <t>Debit</t>
        </is>
      </c>
      <c r="H5" s="1" t="inlineStr">
        <is>
          <t>Credit</t>
        </is>
      </c>
      <c r="I5" s="1" t="inlineStr">
        <is>
          <t>Balance</t>
        </is>
      </c>
      <c r="J5" s="1" t="inlineStr">
        <is>
          <t>Reconcile Date</t>
        </is>
      </c>
      <c r="K5" s="1" t="inlineStr">
        <is>
          <t>Code</t>
        </is>
      </c>
    </row>
    <row r="6">
      <c r="A6" t="inlineStr">
        <is>
          <t>Bay City</t>
        </is>
      </c>
      <c r="B6" s="4" t="n">
        <v>46112</v>
      </c>
      <c r="C6" t="inlineStr">
        <is>
          <t>J-359040</t>
        </is>
      </c>
      <c r="E6" t="inlineStr">
        <is>
          <t>Accrue Casa Verde MAR 2026 swap PB :Reversed by J-359045</t>
        </is>
      </c>
      <c r="F6" t="inlineStr">
        <is>
          <t>Accrue (161) Casa Verde MAR 2026 swap PB</t>
        </is>
      </c>
      <c r="G6" s="5" t="n">
        <v>49435.06</v>
      </c>
      <c r="K6" t="n">
        <v>1</v>
      </c>
    </row>
    <row r="7">
      <c r="A7" t="inlineStr">
        <is>
          <t>Bay City</t>
        </is>
      </c>
      <c r="B7" s="4" t="n">
        <v>46112</v>
      </c>
      <c r="C7" t="inlineStr">
        <is>
          <t>J-359244</t>
        </is>
      </c>
      <c r="D7" t="inlineStr">
        <is>
          <t>Daily Deposit</t>
        </is>
      </c>
      <c r="E7" t="inlineStr">
        <is>
          <t>03/31/2026 Daily Deposit</t>
        </is>
      </c>
      <c r="F7" t="inlineStr">
        <is>
          <t>CKS 03/31/2026 Batch 25d90c5d-639e-4cbe-8519-4e81f290d32a</t>
        </is>
      </c>
      <c r="G7" s="5" t="n">
        <v>13466.4</v>
      </c>
      <c r="J7" s="4" t="n">
        <v>46113</v>
      </c>
      <c r="K7" t="n">
        <v>3</v>
      </c>
    </row>
    <row r="8">
      <c r="A8" t="inlineStr">
        <is>
          <t>Bay City</t>
        </is>
      </c>
      <c r="B8" s="4" t="n">
        <v>46112</v>
      </c>
      <c r="C8" t="inlineStr">
        <is>
          <t>J-359244</t>
        </is>
      </c>
      <c r="D8" t="inlineStr">
        <is>
          <t>Daily Deposit</t>
        </is>
      </c>
      <c r="E8" t="inlineStr">
        <is>
          <t>03/31/2026 Daily Deposit</t>
        </is>
      </c>
      <c r="F8" t="inlineStr">
        <is>
          <t>CKS 03/31/2026 Batch 607460c1-14c4-46a8-bbc3-8c0dbf165773</t>
        </is>
      </c>
      <c r="G8" s="5" t="n">
        <v>7292.75</v>
      </c>
      <c r="J8" s="4" t="n">
        <v>46113</v>
      </c>
      <c r="K8" t="n">
        <v>3</v>
      </c>
    </row>
    <row r="9">
      <c r="A9" t="inlineStr">
        <is>
          <t>Bay City</t>
        </is>
      </c>
      <c r="B9" s="4" t="n">
        <v>46112</v>
      </c>
      <c r="C9" t="inlineStr">
        <is>
          <t>J-359244</t>
        </is>
      </c>
      <c r="D9" t="inlineStr">
        <is>
          <t>Daily Deposit</t>
        </is>
      </c>
      <c r="E9" t="inlineStr">
        <is>
          <t>03/31/2026 Daily Deposit</t>
        </is>
      </c>
      <c r="F9" t="inlineStr">
        <is>
          <t>CKS 03/31/2026 Batch a6f02ce9-9ac0-4816-9ed3-b55af71c8d07</t>
        </is>
      </c>
      <c r="G9" s="5" t="n">
        <v>13664.27</v>
      </c>
      <c r="J9" s="4" t="n">
        <v>46113</v>
      </c>
      <c r="K9" t="n">
        <v>3</v>
      </c>
    </row>
    <row r="10">
      <c r="A10" t="inlineStr">
        <is>
          <t>Bay City</t>
        </is>
      </c>
      <c r="B10" s="4" t="n">
        <v>46112</v>
      </c>
      <c r="C10" t="inlineStr">
        <is>
          <t>J-359244</t>
        </is>
      </c>
      <c r="D10" t="inlineStr">
        <is>
          <t>Daily Deposit</t>
        </is>
      </c>
      <c r="E10" t="inlineStr">
        <is>
          <t>03/31/2026 Daily Deposit</t>
        </is>
      </c>
      <c r="F10" t="inlineStr">
        <is>
          <t>CKS 03/31/2026 Batch e9d5295e-2f13-4ef6-a9a7-496f265fece0</t>
        </is>
      </c>
      <c r="G10" s="5" t="n">
        <v>1171</v>
      </c>
      <c r="J10" s="4" t="n">
        <v>46113</v>
      </c>
      <c r="K10" t="n">
        <v>3</v>
      </c>
    </row>
    <row r="11">
      <c r="A11" t="inlineStr">
        <is>
          <t>Bay City</t>
        </is>
      </c>
      <c r="B11" s="4" t="n">
        <v>46112</v>
      </c>
      <c r="C11" t="inlineStr">
        <is>
          <t>J-359244</t>
        </is>
      </c>
      <c r="D11" t="inlineStr">
        <is>
          <t>Daily Deposit</t>
        </is>
      </c>
      <c r="E11" t="inlineStr">
        <is>
          <t>03/31/2026 Daily Deposit</t>
        </is>
      </c>
      <c r="F11" t="inlineStr">
        <is>
          <t>CKS 03/31/2026 Batch ee14b80a-ceea-4d74-997c-82beb6b7a3a7</t>
        </is>
      </c>
      <c r="G11" s="5" t="n">
        <v>1994.98</v>
      </c>
      <c r="J11" s="4" t="n">
        <v>46113</v>
      </c>
      <c r="K11" t="n">
        <v>3</v>
      </c>
    </row>
    <row r="12">
      <c r="A12" t="inlineStr">
        <is>
          <t>Bay City</t>
        </is>
      </c>
      <c r="B12" s="4" t="n">
        <v>46112</v>
      </c>
      <c r="C12" t="inlineStr">
        <is>
          <t>J-359244</t>
        </is>
      </c>
      <c r="D12" t="inlineStr">
        <is>
          <t>Daily Deposit</t>
        </is>
      </c>
      <c r="E12" t="inlineStr">
        <is>
          <t>03/31/2026 Daily Deposit</t>
        </is>
      </c>
      <c r="F12" t="inlineStr">
        <is>
          <t>RP : CC Deposit 03/31/2026</t>
        </is>
      </c>
      <c r="G12" s="5" t="n">
        <v>1800</v>
      </c>
      <c r="J12" s="4" t="n">
        <v>46113</v>
      </c>
      <c r="K12" t="n">
        <v>3</v>
      </c>
    </row>
    <row r="13">
      <c r="A13" t="inlineStr">
        <is>
          <t>Bay City</t>
        </is>
      </c>
      <c r="B13" s="4" t="n">
        <v>46055</v>
      </c>
      <c r="C13" t="inlineStr">
        <is>
          <t>K-527696</t>
        </is>
      </c>
      <c r="D13" t="inlineStr">
        <is>
          <t>22621</t>
        </is>
      </c>
      <c r="E13" t="inlineStr">
        <is>
          <t>Lakeshore Management Inc (v0000666)</t>
        </is>
      </c>
      <c r="F13" t="inlineStr">
        <is>
          <t>WC 11-2025 to 11-2026</t>
        </is>
      </c>
      <c r="H13" s="5" t="n">
        <v>639.52</v>
      </c>
      <c r="J13" s="4" t="n">
        <v>46113</v>
      </c>
      <c r="K13" t="n">
        <v>-3</v>
      </c>
    </row>
    <row r="14">
      <c r="A14" t="inlineStr">
        <is>
          <t>Bay City</t>
        </is>
      </c>
      <c r="B14" s="4" t="n">
        <v>46083</v>
      </c>
      <c r="C14" t="inlineStr">
        <is>
          <t>K-535324</t>
        </is>
      </c>
      <c r="D14" t="inlineStr">
        <is>
          <t>1766</t>
        </is>
      </c>
      <c r="E14" t="inlineStr">
        <is>
          <t>Lakeshore Management Inc (v0000666)</t>
        </is>
      </c>
      <c r="F14" t="inlineStr">
        <is>
          <t>Gloria  Lamonaca</t>
        </is>
      </c>
      <c r="H14" s="5" t="n">
        <v>210.25</v>
      </c>
      <c r="K14" t="n">
        <v>-1</v>
      </c>
    </row>
    <row r="15">
      <c r="A15" t="inlineStr">
        <is>
          <t>Bay City</t>
        </is>
      </c>
      <c r="B15" s="4" t="n">
        <v>46083</v>
      </c>
      <c r="C15" t="inlineStr">
        <is>
          <t>K-535324</t>
        </is>
      </c>
      <c r="D15" t="inlineStr">
        <is>
          <t>1766</t>
        </is>
      </c>
      <c r="E15" t="inlineStr">
        <is>
          <t>Lakeshore Management Inc (v0000666)</t>
        </is>
      </c>
      <c r="F15" t="inlineStr">
        <is>
          <t>Lakeshore</t>
        </is>
      </c>
      <c r="H15" s="5" t="n">
        <v>164.45</v>
      </c>
      <c r="K15" t="n">
        <v>-1</v>
      </c>
    </row>
    <row r="16">
      <c r="A16" t="inlineStr">
        <is>
          <t>Bay City</t>
        </is>
      </c>
      <c r="B16" s="4" t="n">
        <v>46083</v>
      </c>
      <c r="C16" t="inlineStr">
        <is>
          <t>K-535324</t>
        </is>
      </c>
      <c r="D16" t="inlineStr">
        <is>
          <t>1766</t>
        </is>
      </c>
      <c r="E16" t="inlineStr">
        <is>
          <t>Lakeshore Management Inc (v0000666)</t>
        </is>
      </c>
      <c r="F16" t="inlineStr">
        <is>
          <t>Rocco Ameduri</t>
        </is>
      </c>
      <c r="H16" s="5" t="n">
        <v>179.8</v>
      </c>
      <c r="K16" t="n">
        <v>-1</v>
      </c>
    </row>
    <row r="17">
      <c r="A17" t="inlineStr">
        <is>
          <t>Bay City</t>
        </is>
      </c>
      <c r="B17" s="4" t="n">
        <v>46090</v>
      </c>
      <c r="C17" t="inlineStr">
        <is>
          <t>K-537827</t>
        </is>
      </c>
      <c r="D17" t="inlineStr">
        <is>
          <t>1777</t>
        </is>
      </c>
      <c r="E17" t="inlineStr">
        <is>
          <t>Sharon Lee Kerr (v0012158)</t>
        </is>
      </c>
      <c r="F17" t="inlineStr">
        <is>
          <t>161 Credit Balance Refund Site 137</t>
        </is>
      </c>
      <c r="H17" s="5" t="n">
        <v>928.7</v>
      </c>
      <c r="J17" s="4" t="n">
        <v>46119</v>
      </c>
      <c r="K17" t="n">
        <v>-3</v>
      </c>
    </row>
    <row r="18">
      <c r="A18" t="inlineStr">
        <is>
          <t>Bay City</t>
        </is>
      </c>
      <c r="B18" s="4" t="n">
        <v>46098</v>
      </c>
      <c r="C18" t="inlineStr">
        <is>
          <t>K-540327</t>
        </is>
      </c>
      <c r="D18" t="inlineStr">
        <is>
          <t>1786</t>
        </is>
      </c>
      <c r="E18" t="inlineStr">
        <is>
          <t>Delmarva Beachgrass LLC (v0012207)</t>
        </is>
      </c>
      <c r="F18" t="inlineStr">
        <is>
          <t>Beach Grass</t>
        </is>
      </c>
      <c r="H18" s="5" t="n">
        <v>413.4</v>
      </c>
      <c r="J18" s="4" t="n">
        <v>46133</v>
      </c>
      <c r="K18" t="n">
        <v>-3</v>
      </c>
    </row>
    <row r="19">
      <c r="A19" t="inlineStr">
        <is>
          <t>Bay City</t>
        </is>
      </c>
      <c r="B19" s="4" t="n">
        <v>46100</v>
      </c>
      <c r="C19" t="inlineStr">
        <is>
          <t>K-541552</t>
        </is>
      </c>
      <c r="D19" t="inlineStr">
        <is>
          <t>1792</t>
        </is>
      </c>
      <c r="E19" t="inlineStr">
        <is>
          <t>Barb Tumas (v0011814)</t>
        </is>
      </c>
      <c r="F19" t="inlineStr">
        <is>
          <t>161 Credit Balance Refund Boat-E87</t>
        </is>
      </c>
      <c r="H19" s="5" t="n">
        <v>100</v>
      </c>
      <c r="K19" t="n">
        <v>-1</v>
      </c>
    </row>
    <row r="20">
      <c r="A20" t="inlineStr">
        <is>
          <t>Bay City</t>
        </is>
      </c>
      <c r="B20" s="4" t="n">
        <v>46105</v>
      </c>
      <c r="C20" t="inlineStr">
        <is>
          <t>K-543116</t>
        </is>
      </c>
      <c r="D20" t="inlineStr">
        <is>
          <t>1797</t>
        </is>
      </c>
      <c r="E20" t="inlineStr">
        <is>
          <t>Core Integrated Marketing (v0000301)</t>
        </is>
      </c>
      <c r="F20" t="inlineStr">
        <is>
          <t>CAT ENV AND MAIL SERVICE/PREP.</t>
        </is>
      </c>
      <c r="H20" s="5" t="n">
        <v>190.28</v>
      </c>
      <c r="J20" s="4" t="n">
        <v>46121</v>
      </c>
      <c r="K20" t="n">
        <v>-3</v>
      </c>
    </row>
    <row r="21">
      <c r="A21" t="inlineStr">
        <is>
          <t>Bay City</t>
        </is>
      </c>
      <c r="B21" s="4" t="n">
        <v>46105</v>
      </c>
      <c r="C21" t="inlineStr">
        <is>
          <t>K-543116</t>
        </is>
      </c>
      <c r="D21" t="inlineStr">
        <is>
          <t>1797</t>
        </is>
      </c>
      <c r="E21" t="inlineStr">
        <is>
          <t>Core Integrated Marketing (v0000301)</t>
        </is>
      </c>
      <c r="F21" t="inlineStr">
        <is>
          <t>CAT ENV, MAIL SERVICE/PREP AND CERTIFICATION</t>
        </is>
      </c>
      <c r="H21" s="5" t="n">
        <v>212.6</v>
      </c>
      <c r="J21" s="4" t="n">
        <v>46121</v>
      </c>
      <c r="K21" t="n">
        <v>-3</v>
      </c>
    </row>
    <row r="22">
      <c r="A22" t="inlineStr">
        <is>
          <t>Bay City</t>
        </is>
      </c>
      <c r="B22" s="4" t="n">
        <v>46106</v>
      </c>
      <c r="C22" t="inlineStr">
        <is>
          <t>K-543415</t>
        </is>
      </c>
      <c r="D22" t="inlineStr">
        <is>
          <t>1798</t>
        </is>
      </c>
      <c r="E22" t="inlineStr">
        <is>
          <t>Guardian Property Services (v0011491)</t>
        </is>
      </c>
      <c r="F22" t="inlineStr">
        <is>
          <t>50% DEPOSIT OFFICE GUTTERS</t>
        </is>
      </c>
      <c r="H22" s="5" t="n">
        <v>844.5</v>
      </c>
      <c r="J22" s="4" t="n">
        <v>46113</v>
      </c>
      <c r="K22" t="n">
        <v>-3</v>
      </c>
    </row>
    <row r="23">
      <c r="A23" t="inlineStr">
        <is>
          <t>Bay City</t>
        </is>
      </c>
      <c r="B23" s="4" t="n">
        <v>46108</v>
      </c>
      <c r="C23" t="inlineStr">
        <is>
          <t>K-543853</t>
        </is>
      </c>
      <c r="D23" t="inlineStr">
        <is>
          <t>1799</t>
        </is>
      </c>
      <c r="E23" t="inlineStr">
        <is>
          <t>Delaware Electric Cooperative Inc (v0007699)</t>
        </is>
      </c>
      <c r="F23" t="inlineStr">
        <is>
          <t>02/19/2026-03/12/2026-Electric-16422800-85186878-35873 S Canal St</t>
        </is>
      </c>
      <c r="H23" s="5" t="n">
        <v>78</v>
      </c>
      <c r="J23" s="4" t="n">
        <v>46119</v>
      </c>
      <c r="K23" t="n">
        <v>-3</v>
      </c>
    </row>
    <row r="24">
      <c r="A24" t="inlineStr">
        <is>
          <t>Bay City</t>
        </is>
      </c>
      <c r="B24" s="4" t="n">
        <v>46111</v>
      </c>
      <c r="C24" t="inlineStr">
        <is>
          <t>K-544652</t>
        </is>
      </c>
      <c r="D24" t="inlineStr">
        <is>
          <t>1800</t>
        </is>
      </c>
      <c r="E24" t="inlineStr">
        <is>
          <t>Delaware Electric Cooperative Inc (v0007699)</t>
        </is>
      </c>
      <c r="F24" t="inlineStr">
        <is>
          <t>02/24/2026-03/25/2026-Electric-5220205-ELECTRIC 1-BAY CITY</t>
        </is>
      </c>
      <c r="H24" s="5" t="n">
        <v>718.85</v>
      </c>
      <c r="J24" s="4" t="n">
        <v>46119</v>
      </c>
      <c r="K24" t="n">
        <v>-3</v>
      </c>
    </row>
    <row r="25">
      <c r="A25" t="inlineStr">
        <is>
          <t>Bay City</t>
        </is>
      </c>
      <c r="B25" s="4" t="n">
        <v>46112</v>
      </c>
      <c r="C25" t="inlineStr">
        <is>
          <t>K-544798</t>
        </is>
      </c>
      <c r="D25" t="inlineStr">
        <is>
          <t>22665</t>
        </is>
      </c>
      <c r="E25" t="inlineStr">
        <is>
          <t>Lakeshore Management Inc (v0000666)</t>
        </is>
      </c>
      <c r="H25" s="5" t="n">
        <v>12.12</v>
      </c>
      <c r="K25" t="n">
        <v>-1</v>
      </c>
    </row>
    <row r="26">
      <c r="A26" t="inlineStr">
        <is>
          <t>Bay City</t>
        </is>
      </c>
      <c r="B26" s="4" t="n">
        <v>46112</v>
      </c>
      <c r="C26" t="inlineStr">
        <is>
          <t>K-544969</t>
        </is>
      </c>
      <c r="D26" t="inlineStr">
        <is>
          <t>22666</t>
        </is>
      </c>
      <c r="E26" t="inlineStr">
        <is>
          <t>Lakeshore Management Inc (v0000666)</t>
        </is>
      </c>
      <c r="F26" t="inlineStr">
        <is>
          <t>candy for the office</t>
        </is>
      </c>
      <c r="H26" s="5" t="n">
        <v>126.95</v>
      </c>
      <c r="K26" t="n">
        <v>-1</v>
      </c>
    </row>
    <row r="27">
      <c r="A27" t="inlineStr">
        <is>
          <t>Bay City</t>
        </is>
      </c>
      <c r="B27" s="4" t="n">
        <v>46112</v>
      </c>
      <c r="C27" t="inlineStr">
        <is>
          <t>K-544969</t>
        </is>
      </c>
      <c r="D27" t="inlineStr">
        <is>
          <t>22666</t>
        </is>
      </c>
      <c r="E27" t="inlineStr">
        <is>
          <t>Lakeshore Management Inc (v0000666)</t>
        </is>
      </c>
      <c r="F27" t="inlineStr">
        <is>
          <t>Security cameras</t>
        </is>
      </c>
      <c r="H27" s="5" t="n">
        <v>427.04</v>
      </c>
      <c r="K27" t="n">
        <v>-1</v>
      </c>
    </row>
    <row r="28">
      <c r="A28" t="inlineStr">
        <is>
          <t>Bay City</t>
        </is>
      </c>
      <c r="B28" s="4" t="n">
        <v>46112</v>
      </c>
      <c r="C28" t="inlineStr">
        <is>
          <t>K-544969</t>
        </is>
      </c>
      <c r="D28" t="inlineStr">
        <is>
          <t>22666</t>
        </is>
      </c>
      <c r="E28" t="inlineStr">
        <is>
          <t>Lakeshore Management Inc (v0000666)</t>
        </is>
      </c>
      <c r="F28" t="inlineStr">
        <is>
          <t>Ring doorbell subscription</t>
        </is>
      </c>
      <c r="H28" s="5" t="n">
        <v>99.98999999999999</v>
      </c>
      <c r="K28" t="n">
        <v>-1</v>
      </c>
    </row>
    <row r="29">
      <c r="A29" t="inlineStr">
        <is>
          <t>Bay City</t>
        </is>
      </c>
      <c r="B29" s="4" t="n">
        <v>46112</v>
      </c>
      <c r="C29" t="inlineStr">
        <is>
          <t>K-544969</t>
        </is>
      </c>
      <c r="D29" t="inlineStr">
        <is>
          <t>22666</t>
        </is>
      </c>
      <c r="E29" t="inlineStr">
        <is>
          <t>Lakeshore Management Inc (v0000666)</t>
        </is>
      </c>
      <c r="F29" t="inlineStr">
        <is>
          <t>QBR breakfast</t>
        </is>
      </c>
      <c r="H29" s="5" t="n">
        <v>59.58</v>
      </c>
      <c r="K29" t="n">
        <v>-1</v>
      </c>
    </row>
    <row r="30">
      <c r="A30" t="inlineStr">
        <is>
          <t>Bay City</t>
        </is>
      </c>
      <c r="B30" s="4" t="n">
        <v>46112</v>
      </c>
      <c r="C30" t="inlineStr">
        <is>
          <t>K-544969</t>
        </is>
      </c>
      <c r="D30" t="inlineStr">
        <is>
          <t>22666</t>
        </is>
      </c>
      <c r="E30" t="inlineStr">
        <is>
          <t>Lakeshore Management Inc (v0000666)</t>
        </is>
      </c>
      <c r="F30" t="inlineStr">
        <is>
          <t>lunch</t>
        </is>
      </c>
      <c r="H30" s="5" t="n">
        <v>208.77</v>
      </c>
      <c r="K30" t="n">
        <v>-1</v>
      </c>
    </row>
    <row r="31">
      <c r="A31" t="inlineStr">
        <is>
          <t>Bay City</t>
        </is>
      </c>
      <c r="B31" s="4" t="n">
        <v>46112</v>
      </c>
      <c r="C31" t="inlineStr">
        <is>
          <t>K-544969</t>
        </is>
      </c>
      <c r="D31" t="inlineStr">
        <is>
          <t>22666</t>
        </is>
      </c>
      <c r="E31" t="inlineStr">
        <is>
          <t>Lakeshore Management Inc (v0000666)</t>
        </is>
      </c>
      <c r="F31" t="inlineStr">
        <is>
          <t>Yard of the Month Gift Card</t>
        </is>
      </c>
      <c r="H31" s="5" t="n">
        <v>50</v>
      </c>
      <c r="K31" t="n">
        <v>-1</v>
      </c>
    </row>
    <row r="32">
      <c r="A32" t="inlineStr">
        <is>
          <t>Bay City</t>
        </is>
      </c>
      <c r="B32" s="4" t="n">
        <v>46112</v>
      </c>
      <c r="C32" t="inlineStr">
        <is>
          <t>K-544969</t>
        </is>
      </c>
      <c r="D32" t="inlineStr">
        <is>
          <t>22666</t>
        </is>
      </c>
      <c r="E32" t="inlineStr">
        <is>
          <t>Lakeshore Management Inc (v0000666)</t>
        </is>
      </c>
      <c r="F32" t="inlineStr">
        <is>
          <t>Flashlight for safety board</t>
        </is>
      </c>
      <c r="H32" s="5" t="n">
        <v>32.98</v>
      </c>
      <c r="K32" t="n">
        <v>-1</v>
      </c>
    </row>
    <row r="33">
      <c r="A33" t="inlineStr">
        <is>
          <t>Bay City</t>
        </is>
      </c>
      <c r="B33" s="4" t="n">
        <v>46112</v>
      </c>
      <c r="C33" t="inlineStr">
        <is>
          <t>K-544969</t>
        </is>
      </c>
      <c r="D33" t="inlineStr">
        <is>
          <t>22666</t>
        </is>
      </c>
      <c r="E33" t="inlineStr">
        <is>
          <t>Lakeshore Management Inc (v0000666)</t>
        </is>
      </c>
      <c r="F33" t="inlineStr">
        <is>
          <t>Lumber for mailboxes</t>
        </is>
      </c>
      <c r="H33" s="5" t="n">
        <v>69.44</v>
      </c>
      <c r="K33" t="n">
        <v>-1</v>
      </c>
    </row>
    <row r="34">
      <c r="A34" t="inlineStr">
        <is>
          <t>Bay City</t>
        </is>
      </c>
      <c r="B34" s="4" t="n">
        <v>46112</v>
      </c>
      <c r="C34" t="inlineStr">
        <is>
          <t>K-544969</t>
        </is>
      </c>
      <c r="D34" t="inlineStr">
        <is>
          <t>22666</t>
        </is>
      </c>
      <c r="E34" t="inlineStr">
        <is>
          <t>Lakeshore Management Inc (v0000666)</t>
        </is>
      </c>
      <c r="F34" t="inlineStr">
        <is>
          <t>Mailboxes and screws</t>
        </is>
      </c>
      <c r="H34" s="5" t="n">
        <v>209.65</v>
      </c>
      <c r="K34" t="n">
        <v>-1</v>
      </c>
    </row>
    <row r="35">
      <c r="A35" t="inlineStr">
        <is>
          <t>Bay City</t>
        </is>
      </c>
      <c r="B35" s="4" t="n">
        <v>46112</v>
      </c>
      <c r="C35" t="inlineStr">
        <is>
          <t>K-544969</t>
        </is>
      </c>
      <c r="D35" t="inlineStr">
        <is>
          <t>22666</t>
        </is>
      </c>
      <c r="E35" t="inlineStr">
        <is>
          <t>Lakeshore Management Inc (v0000666)</t>
        </is>
      </c>
      <c r="F35" t="inlineStr">
        <is>
          <t>Window sign holders</t>
        </is>
      </c>
      <c r="H35" s="5" t="n">
        <v>19.99</v>
      </c>
      <c r="K35" t="n">
        <v>-1</v>
      </c>
    </row>
    <row r="36">
      <c r="A36" t="inlineStr">
        <is>
          <t>Bay City</t>
        </is>
      </c>
      <c r="B36" s="4" t="n">
        <v>46112</v>
      </c>
      <c r="C36" t="inlineStr">
        <is>
          <t>K-544969</t>
        </is>
      </c>
      <c r="D36" t="inlineStr">
        <is>
          <t>22666</t>
        </is>
      </c>
      <c r="E36" t="inlineStr">
        <is>
          <t>Lakeshore Management Inc (v0000666)</t>
        </is>
      </c>
      <c r="F36" t="inlineStr">
        <is>
          <t>Window sign holders</t>
        </is>
      </c>
      <c r="H36" s="5" t="n">
        <v>45.6</v>
      </c>
      <c r="K36" t="n">
        <v>-1</v>
      </c>
    </row>
    <row r="37">
      <c r="A37" t="inlineStr">
        <is>
          <t>Bay City</t>
        </is>
      </c>
      <c r="B37" s="4" t="n">
        <v>46112</v>
      </c>
      <c r="C37" t="inlineStr">
        <is>
          <t>K-544969</t>
        </is>
      </c>
      <c r="D37" t="inlineStr">
        <is>
          <t>22666</t>
        </is>
      </c>
      <c r="E37" t="inlineStr">
        <is>
          <t>Lakeshore Management Inc (v0000666)</t>
        </is>
      </c>
      <c r="F37" t="inlineStr">
        <is>
          <t>Diesel Fuel for tractors</t>
        </is>
      </c>
      <c r="H37" s="5" t="n">
        <v>34.47</v>
      </c>
      <c r="K37" t="n">
        <v>-1</v>
      </c>
    </row>
    <row r="38">
      <c r="A38" t="inlineStr">
        <is>
          <t>Bay City</t>
        </is>
      </c>
      <c r="B38" s="4" t="n">
        <v>46112</v>
      </c>
      <c r="C38" t="inlineStr">
        <is>
          <t>K-544969</t>
        </is>
      </c>
      <c r="D38" t="inlineStr">
        <is>
          <t>22666</t>
        </is>
      </c>
      <c r="E38" t="inlineStr">
        <is>
          <t>Lakeshore Management Inc (v0000666)</t>
        </is>
      </c>
      <c r="F38" t="inlineStr">
        <is>
          <t>Diesel Fuel for tractors</t>
        </is>
      </c>
      <c r="H38" s="5" t="n">
        <v>34.95</v>
      </c>
      <c r="K38" t="n">
        <v>-1</v>
      </c>
    </row>
    <row r="39">
      <c r="A39" t="inlineStr">
        <is>
          <t>Bay City</t>
        </is>
      </c>
      <c r="B39" s="4" t="n">
        <v>46112</v>
      </c>
      <c r="C39" t="inlineStr">
        <is>
          <t>K-544969</t>
        </is>
      </c>
      <c r="D39" t="inlineStr">
        <is>
          <t>22666</t>
        </is>
      </c>
      <c r="E39" t="inlineStr">
        <is>
          <t>Lakeshore Management Inc (v0000666)</t>
        </is>
      </c>
      <c r="F39" t="inlineStr">
        <is>
          <t>Drinkssnacks for the office</t>
        </is>
      </c>
      <c r="H39" s="5" t="n">
        <v>64.44</v>
      </c>
      <c r="K39" t="n">
        <v>-1</v>
      </c>
    </row>
    <row r="40">
      <c r="A40" t="inlineStr">
        <is>
          <t>Bay City</t>
        </is>
      </c>
      <c r="B40" s="4" t="n">
        <v>46112</v>
      </c>
      <c r="C40" t="inlineStr">
        <is>
          <t>K-544969</t>
        </is>
      </c>
      <c r="D40" t="inlineStr">
        <is>
          <t>22666</t>
        </is>
      </c>
      <c r="E40" t="inlineStr">
        <is>
          <t>Lakeshore Management Inc (v0000666)</t>
        </is>
      </c>
      <c r="F40" t="inlineStr">
        <is>
          <t>Purchase water due to frozen water pipes in office</t>
        </is>
      </c>
      <c r="H40" s="5" t="n">
        <v>13.95</v>
      </c>
      <c r="K40" t="n">
        <v>-1</v>
      </c>
    </row>
    <row r="41">
      <c r="A41" t="inlineStr">
        <is>
          <t>Bay City</t>
        </is>
      </c>
      <c r="B41" s="4" t="n">
        <v>46112</v>
      </c>
      <c r="C41" t="inlineStr">
        <is>
          <t>K-544969</t>
        </is>
      </c>
      <c r="D41" t="inlineStr">
        <is>
          <t>22666</t>
        </is>
      </c>
      <c r="E41" t="inlineStr">
        <is>
          <t>Lakeshore Management Inc (v0000666)</t>
        </is>
      </c>
      <c r="F41" t="inlineStr">
        <is>
          <t>Mailed rental increase certified mail</t>
        </is>
      </c>
      <c r="H41" s="5" t="n">
        <v>5.3</v>
      </c>
      <c r="K41" t="n">
        <v>-1</v>
      </c>
    </row>
    <row r="42">
      <c r="A42" t="inlineStr">
        <is>
          <t>Bay City</t>
        </is>
      </c>
      <c r="B42" s="4" t="n">
        <v>46112</v>
      </c>
      <c r="C42" t="inlineStr">
        <is>
          <t>K-544969</t>
        </is>
      </c>
      <c r="D42" t="inlineStr">
        <is>
          <t>22666</t>
        </is>
      </c>
      <c r="E42" t="inlineStr">
        <is>
          <t>Lakeshore Management Inc (v0000666)</t>
        </is>
      </c>
      <c r="F42" t="inlineStr">
        <is>
          <t>Mailed violation letters</t>
        </is>
      </c>
      <c r="H42" s="5" t="n">
        <v>2.4</v>
      </c>
      <c r="K42" t="n">
        <v>-1</v>
      </c>
    </row>
    <row r="43">
      <c r="A43" t="inlineStr">
        <is>
          <t>Bay City</t>
        </is>
      </c>
      <c r="B43" s="4" t="n">
        <v>46112</v>
      </c>
      <c r="C43" t="inlineStr">
        <is>
          <t>K-544969</t>
        </is>
      </c>
      <c r="D43" t="inlineStr">
        <is>
          <t>22666</t>
        </is>
      </c>
      <c r="E43" t="inlineStr">
        <is>
          <t>Lakeshore Management Inc (v0000666)</t>
        </is>
      </c>
      <c r="F43" t="inlineStr">
        <is>
          <t>Mailed Resident Application</t>
        </is>
      </c>
      <c r="H43" s="5" t="n">
        <v>2.72</v>
      </c>
      <c r="K43" t="n">
        <v>-1</v>
      </c>
    </row>
    <row r="44">
      <c r="A44" t="inlineStr">
        <is>
          <t>Bay City</t>
        </is>
      </c>
      <c r="B44" s="4" t="n">
        <v>46112</v>
      </c>
      <c r="C44" t="inlineStr">
        <is>
          <t>K-544969</t>
        </is>
      </c>
      <c r="D44" t="inlineStr">
        <is>
          <t>22666</t>
        </is>
      </c>
      <c r="E44" t="inlineStr">
        <is>
          <t>Lakeshore Management Inc (v0000666)</t>
        </is>
      </c>
      <c r="F44" t="inlineStr">
        <is>
          <t>QBR lunch</t>
        </is>
      </c>
      <c r="H44" s="5" t="n">
        <v>49.97</v>
      </c>
      <c r="K44" t="n">
        <v>-1</v>
      </c>
    </row>
    <row r="45">
      <c r="A45" t="inlineStr">
        <is>
          <t>Bay City</t>
        </is>
      </c>
      <c r="B45" s="4" t="n">
        <v>46112</v>
      </c>
      <c r="C45" t="inlineStr">
        <is>
          <t>K-544969</t>
        </is>
      </c>
      <c r="D45" t="inlineStr">
        <is>
          <t>22666</t>
        </is>
      </c>
      <c r="E45" t="inlineStr">
        <is>
          <t>Lakeshore Management Inc (v0000666)</t>
        </is>
      </c>
      <c r="F45" t="inlineStr">
        <is>
          <t>Gift Card for Resident Raffle</t>
        </is>
      </c>
      <c r="H45" s="5" t="n">
        <v>50</v>
      </c>
      <c r="K45" t="n">
        <v>-1</v>
      </c>
    </row>
    <row r="46">
      <c r="A46" t="inlineStr">
        <is>
          <t>Bay City</t>
        </is>
      </c>
      <c r="B46" s="4" t="n">
        <v>46112</v>
      </c>
      <c r="C46" t="inlineStr">
        <is>
          <t>K-544969</t>
        </is>
      </c>
      <c r="D46" t="inlineStr">
        <is>
          <t>22666</t>
        </is>
      </c>
      <c r="E46" t="inlineStr">
        <is>
          <t>Lakeshore Management Inc (v0000666)</t>
        </is>
      </c>
      <c r="F46" t="inlineStr">
        <is>
          <t>Remove and dispose of debris from the Community</t>
        </is>
      </c>
      <c r="H46" s="5" t="n">
        <v>7.5</v>
      </c>
      <c r="K46" t="n">
        <v>-1</v>
      </c>
    </row>
    <row r="47">
      <c r="A47" t="inlineStr">
        <is>
          <t>Bay City</t>
        </is>
      </c>
      <c r="B47" s="4" t="n">
        <v>46112</v>
      </c>
      <c r="C47" t="inlineStr">
        <is>
          <t>K-544969</t>
        </is>
      </c>
      <c r="D47" t="inlineStr">
        <is>
          <t>22666</t>
        </is>
      </c>
      <c r="E47" t="inlineStr">
        <is>
          <t>Lakeshore Management Inc (v0000666)</t>
        </is>
      </c>
      <c r="F47" t="inlineStr">
        <is>
          <t>Remove and dispose of debris from the Community</t>
        </is>
      </c>
      <c r="H47" s="5" t="n">
        <v>7.5</v>
      </c>
      <c r="K47" t="n">
        <v>-1</v>
      </c>
    </row>
    <row r="48">
      <c r="A48" t="inlineStr">
        <is>
          <t>Bay City</t>
        </is>
      </c>
      <c r="B48" s="4" t="n">
        <v>46112</v>
      </c>
      <c r="C48" t="inlineStr">
        <is>
          <t>K-544969</t>
        </is>
      </c>
      <c r="D48" t="inlineStr">
        <is>
          <t>22666</t>
        </is>
      </c>
      <c r="E48" t="inlineStr">
        <is>
          <t>Lakeshore Management Inc (v0000666)</t>
        </is>
      </c>
      <c r="F48" t="inlineStr">
        <is>
          <t>Remove and dispose of debris from the Community</t>
        </is>
      </c>
      <c r="H48" s="5" t="n">
        <v>7.5</v>
      </c>
      <c r="K48" t="n">
        <v>-1</v>
      </c>
    </row>
    <row r="49">
      <c r="A49" t="inlineStr">
        <is>
          <t>Bay City</t>
        </is>
      </c>
      <c r="B49" s="4" t="n">
        <v>46112</v>
      </c>
      <c r="C49" t="inlineStr">
        <is>
          <t>K-544969</t>
        </is>
      </c>
      <c r="D49" t="inlineStr">
        <is>
          <t>22666</t>
        </is>
      </c>
      <c r="E49" t="inlineStr">
        <is>
          <t>Lakeshore Management Inc (v0000666)</t>
        </is>
      </c>
      <c r="F49" t="inlineStr">
        <is>
          <t>Remove and dispose of debris from the Community</t>
        </is>
      </c>
      <c r="H49" s="5" t="n">
        <v>8</v>
      </c>
      <c r="K49" t="n">
        <v>-1</v>
      </c>
    </row>
    <row r="50">
      <c r="A50" t="inlineStr">
        <is>
          <t>Bay City</t>
        </is>
      </c>
      <c r="B50" s="4" t="n">
        <v>46112</v>
      </c>
      <c r="C50" t="inlineStr">
        <is>
          <t>K-544969</t>
        </is>
      </c>
      <c r="D50" t="inlineStr">
        <is>
          <t>22666</t>
        </is>
      </c>
      <c r="E50" t="inlineStr">
        <is>
          <t>Lakeshore Management Inc (v0000666)</t>
        </is>
      </c>
      <c r="F50" t="inlineStr">
        <is>
          <t>Remove and dispose of debris from the Community</t>
        </is>
      </c>
      <c r="H50" s="5" t="n">
        <v>8</v>
      </c>
      <c r="K50" t="n">
        <v>-1</v>
      </c>
    </row>
    <row r="51">
      <c r="A51" t="inlineStr">
        <is>
          <t>Bay City</t>
        </is>
      </c>
      <c r="B51" s="4" t="n">
        <v>46112</v>
      </c>
      <c r="C51" t="inlineStr">
        <is>
          <t>K-544969</t>
        </is>
      </c>
      <c r="D51" t="inlineStr">
        <is>
          <t>22666</t>
        </is>
      </c>
      <c r="E51" t="inlineStr">
        <is>
          <t>Lakeshore Management Inc (v0000666)</t>
        </is>
      </c>
      <c r="F51" t="inlineStr">
        <is>
          <t>Propane gas</t>
        </is>
      </c>
      <c r="H51" s="5" t="n">
        <v>20</v>
      </c>
      <c r="K51" t="n">
        <v>-1</v>
      </c>
    </row>
    <row r="52">
      <c r="A52" t="inlineStr">
        <is>
          <t>Bay City</t>
        </is>
      </c>
      <c r="B52" s="4" t="n">
        <v>46112</v>
      </c>
      <c r="C52" t="inlineStr">
        <is>
          <t>K-544969</t>
        </is>
      </c>
      <c r="D52" t="inlineStr">
        <is>
          <t>22666</t>
        </is>
      </c>
      <c r="E52" t="inlineStr">
        <is>
          <t>Lakeshore Management Inc (v0000666)</t>
        </is>
      </c>
      <c r="F52" t="inlineStr">
        <is>
          <t>Car wash for maintenance truck</t>
        </is>
      </c>
      <c r="H52" s="5" t="n">
        <v>10</v>
      </c>
      <c r="K52" t="n">
        <v>-1</v>
      </c>
    </row>
    <row r="53">
      <c r="A53" t="inlineStr">
        <is>
          <t>Bay City</t>
        </is>
      </c>
      <c r="B53" s="4" t="n">
        <v>46112</v>
      </c>
      <c r="C53" t="inlineStr">
        <is>
          <t>K-544969</t>
        </is>
      </c>
      <c r="D53" t="inlineStr">
        <is>
          <t>22666</t>
        </is>
      </c>
      <c r="E53" t="inlineStr">
        <is>
          <t>Lakeshore Management Inc (v0000666)</t>
        </is>
      </c>
      <c r="F53" t="inlineStr">
        <is>
          <t>Hydrolic fluid for the Tractor</t>
        </is>
      </c>
      <c r="H53" s="5" t="n">
        <v>22.99</v>
      </c>
      <c r="K53" t="n">
        <v>-1</v>
      </c>
    </row>
    <row r="54">
      <c r="A54" t="inlineStr">
        <is>
          <t>Bay City</t>
        </is>
      </c>
      <c r="B54" s="4" t="n">
        <v>46112</v>
      </c>
      <c r="C54" t="inlineStr">
        <is>
          <t>K-544969</t>
        </is>
      </c>
      <c r="D54" t="inlineStr">
        <is>
          <t>22666</t>
        </is>
      </c>
      <c r="E54" t="inlineStr">
        <is>
          <t>Lakeshore Management Inc (v0000666)</t>
        </is>
      </c>
      <c r="F54" t="inlineStr">
        <is>
          <t>Blade saw for eqpt</t>
        </is>
      </c>
      <c r="H54" s="5" t="n">
        <v>45.98</v>
      </c>
      <c r="K54" t="n">
        <v>-1</v>
      </c>
    </row>
    <row r="55">
      <c r="A55" t="inlineStr">
        <is>
          <t>Bay City</t>
        </is>
      </c>
      <c r="B55" s="4" t="n">
        <v>46112</v>
      </c>
      <c r="C55" t="inlineStr">
        <is>
          <t>K-544969</t>
        </is>
      </c>
      <c r="D55" t="inlineStr">
        <is>
          <t>22666</t>
        </is>
      </c>
      <c r="E55" t="inlineStr">
        <is>
          <t>Lakeshore Management Inc (v0000666)</t>
        </is>
      </c>
      <c r="F55" t="inlineStr">
        <is>
          <t>equipment maintenance supplies</t>
        </is>
      </c>
      <c r="H55" s="5" t="n">
        <v>157.03</v>
      </c>
      <c r="K55" t="n">
        <v>-1</v>
      </c>
    </row>
    <row r="56">
      <c r="A56" t="inlineStr">
        <is>
          <t>Bay City</t>
        </is>
      </c>
      <c r="B56" s="4" t="n">
        <v>46112</v>
      </c>
      <c r="C56" t="inlineStr">
        <is>
          <t>K-544969</t>
        </is>
      </c>
      <c r="D56" t="inlineStr">
        <is>
          <t>22666</t>
        </is>
      </c>
      <c r="E56" t="inlineStr">
        <is>
          <t>Lakeshore Management Inc (v0000666)</t>
        </is>
      </c>
      <c r="F56" t="inlineStr">
        <is>
          <t>Folding sawhorse</t>
        </is>
      </c>
      <c r="H56" s="5" t="n">
        <v>74.98</v>
      </c>
      <c r="K56" t="n">
        <v>-1</v>
      </c>
    </row>
    <row r="57">
      <c r="A57" t="inlineStr">
        <is>
          <t>Bay City</t>
        </is>
      </c>
      <c r="B57" s="4" t="n">
        <v>46112</v>
      </c>
      <c r="C57" t="inlineStr">
        <is>
          <t>K-544969</t>
        </is>
      </c>
      <c r="D57" t="inlineStr">
        <is>
          <t>22666</t>
        </is>
      </c>
      <c r="E57" t="inlineStr">
        <is>
          <t>Lakeshore Management Inc (v0000666)</t>
        </is>
      </c>
      <c r="F57" t="inlineStr">
        <is>
          <t>Circular saw blades for dock work</t>
        </is>
      </c>
      <c r="H57" s="5" t="n">
        <v>12.99</v>
      </c>
      <c r="K57" t="n">
        <v>-1</v>
      </c>
    </row>
    <row r="58">
      <c r="A58" t="inlineStr">
        <is>
          <t>Bay City</t>
        </is>
      </c>
      <c r="B58" s="4" t="n">
        <v>46112</v>
      </c>
      <c r="C58" t="inlineStr">
        <is>
          <t>K-544969</t>
        </is>
      </c>
      <c r="D58" t="inlineStr">
        <is>
          <t>22666</t>
        </is>
      </c>
      <c r="E58" t="inlineStr">
        <is>
          <t>Lakeshore Management Inc (v0000666)</t>
        </is>
      </c>
      <c r="F58" t="inlineStr">
        <is>
          <t>Treated lumber for new mailboxes</t>
        </is>
      </c>
      <c r="H58" s="5" t="n">
        <v>155.73</v>
      </c>
      <c r="K58" t="n">
        <v>-1</v>
      </c>
    </row>
    <row r="59">
      <c r="A59" t="inlineStr">
        <is>
          <t>Bay City</t>
        </is>
      </c>
      <c r="B59" s="4" t="n">
        <v>46112</v>
      </c>
      <c r="C59" t="inlineStr">
        <is>
          <t>K-544969</t>
        </is>
      </c>
      <c r="D59" t="inlineStr">
        <is>
          <t>22666</t>
        </is>
      </c>
      <c r="E59" t="inlineStr">
        <is>
          <t>Lakeshore Management Inc (v0000666)</t>
        </is>
      </c>
      <c r="F59" t="inlineStr">
        <is>
          <t>For mailbox installation</t>
        </is>
      </c>
      <c r="H59" s="5" t="n">
        <v>16.47</v>
      </c>
      <c r="K59" t="n">
        <v>-1</v>
      </c>
    </row>
    <row r="60">
      <c r="A60" t="inlineStr">
        <is>
          <t>Bay City</t>
        </is>
      </c>
      <c r="B60" s="4" t="n">
        <v>46112</v>
      </c>
      <c r="C60" t="inlineStr">
        <is>
          <t>K-544969</t>
        </is>
      </c>
      <c r="D60" t="inlineStr">
        <is>
          <t>22666</t>
        </is>
      </c>
      <c r="E60" t="inlineStr">
        <is>
          <t>Lakeshore Management Inc (v0000666)</t>
        </is>
      </c>
      <c r="F60" t="inlineStr">
        <is>
          <t>Crush and run gravel for maintenance equipment area</t>
        </is>
      </c>
      <c r="H60" s="5" t="n">
        <v>138.16</v>
      </c>
      <c r="K60" t="n">
        <v>-1</v>
      </c>
    </row>
    <row r="61">
      <c r="A61" t="inlineStr">
        <is>
          <t>Bay City</t>
        </is>
      </c>
      <c r="B61" s="4" t="n">
        <v>46112</v>
      </c>
      <c r="C61" t="inlineStr">
        <is>
          <t>K-544969</t>
        </is>
      </c>
      <c r="D61" t="inlineStr">
        <is>
          <t>22666</t>
        </is>
      </c>
      <c r="E61" t="inlineStr">
        <is>
          <t>Lakeshore Management Inc (v0000666)</t>
        </is>
      </c>
      <c r="F61" t="inlineStr">
        <is>
          <t>Stone for maintenance equipment area</t>
        </is>
      </c>
      <c r="H61" s="5" t="n">
        <v>162.93</v>
      </c>
      <c r="K61" t="n">
        <v>-1</v>
      </c>
    </row>
    <row r="62">
      <c r="A62" t="inlineStr">
        <is>
          <t>Bay City</t>
        </is>
      </c>
      <c r="B62" s="4" t="n">
        <v>46112</v>
      </c>
      <c r="C62" t="inlineStr">
        <is>
          <t>K-544969</t>
        </is>
      </c>
      <c r="D62" t="inlineStr">
        <is>
          <t>22666</t>
        </is>
      </c>
      <c r="E62" t="inlineStr">
        <is>
          <t>Lakeshore Management Inc (v0000666)</t>
        </is>
      </c>
      <c r="F62" t="inlineStr">
        <is>
          <t>Stone for maintenance equipment area</t>
        </is>
      </c>
      <c r="H62" s="5" t="n">
        <v>154.64</v>
      </c>
      <c r="K62" t="n">
        <v>-1</v>
      </c>
    </row>
    <row r="63">
      <c r="A63" t="inlineStr">
        <is>
          <t>Bay City</t>
        </is>
      </c>
      <c r="B63" s="4" t="n">
        <v>46112</v>
      </c>
      <c r="C63" t="inlineStr">
        <is>
          <t>K-544969</t>
        </is>
      </c>
      <c r="D63" t="inlineStr">
        <is>
          <t>22666</t>
        </is>
      </c>
      <c r="E63" t="inlineStr">
        <is>
          <t>Lakeshore Management Inc (v0000666)</t>
        </is>
      </c>
      <c r="F63" t="inlineStr">
        <is>
          <t>Treated lumber for new mailboxes</t>
        </is>
      </c>
      <c r="H63" s="5" t="n">
        <v>98.39</v>
      </c>
      <c r="K63" t="n">
        <v>-1</v>
      </c>
    </row>
    <row r="64">
      <c r="A64" t="inlineStr">
        <is>
          <t>Bay City</t>
        </is>
      </c>
      <c r="B64" s="4" t="n">
        <v>46112</v>
      </c>
      <c r="C64" t="inlineStr">
        <is>
          <t>K-544969</t>
        </is>
      </c>
      <c r="D64" t="inlineStr">
        <is>
          <t>22666</t>
        </is>
      </c>
      <c r="E64" t="inlineStr">
        <is>
          <t>Lakeshore Management Inc (v0000666)</t>
        </is>
      </c>
      <c r="F64" t="inlineStr">
        <is>
          <t>Treated lumber for new mailboxes</t>
        </is>
      </c>
      <c r="H64" s="5" t="n">
        <v>124.74</v>
      </c>
      <c r="K64" t="n">
        <v>-1</v>
      </c>
    </row>
    <row r="65">
      <c r="A65" t="inlineStr">
        <is>
          <t>Bay City</t>
        </is>
      </c>
      <c r="B65" s="4" t="n">
        <v>46112</v>
      </c>
      <c r="C65" t="inlineStr">
        <is>
          <t>K-544969</t>
        </is>
      </c>
      <c r="D65" t="inlineStr">
        <is>
          <t>22666</t>
        </is>
      </c>
      <c r="E65" t="inlineStr">
        <is>
          <t>Lakeshore Management Inc (v0000666)</t>
        </is>
      </c>
      <c r="F65" t="inlineStr">
        <is>
          <t>gas for vehicle</t>
        </is>
      </c>
      <c r="H65" s="5" t="n">
        <v>71.78</v>
      </c>
      <c r="K65" t="n">
        <v>-1</v>
      </c>
    </row>
    <row r="66">
      <c r="A66" t="inlineStr">
        <is>
          <t>Bay City</t>
        </is>
      </c>
      <c r="B66" s="4" t="n">
        <v>46112</v>
      </c>
      <c r="C66" t="inlineStr">
        <is>
          <t>K-544969</t>
        </is>
      </c>
      <c r="D66" t="inlineStr">
        <is>
          <t>22666</t>
        </is>
      </c>
      <c r="E66" t="inlineStr">
        <is>
          <t>Lakeshore Management Inc (v0000666)</t>
        </is>
      </c>
      <c r="F66" t="inlineStr">
        <is>
          <t>gas for vehicle</t>
        </is>
      </c>
      <c r="H66" s="5" t="n">
        <v>69.59</v>
      </c>
      <c r="K66" t="n">
        <v>-1</v>
      </c>
    </row>
    <row r="67">
      <c r="A67" t="inlineStr">
        <is>
          <t>Bay City</t>
        </is>
      </c>
      <c r="B67" s="4" t="n">
        <v>46112</v>
      </c>
      <c r="C67" t="inlineStr">
        <is>
          <t>K-544969</t>
        </is>
      </c>
      <c r="D67" t="inlineStr">
        <is>
          <t>22666</t>
        </is>
      </c>
      <c r="E67" t="inlineStr">
        <is>
          <t>Lakeshore Management Inc (v0000666)</t>
        </is>
      </c>
      <c r="F67" t="inlineStr">
        <is>
          <t>gas for vehicle</t>
        </is>
      </c>
      <c r="H67" s="5" t="n">
        <v>74.63</v>
      </c>
      <c r="K67" t="n">
        <v>-1</v>
      </c>
    </row>
    <row r="68">
      <c r="A68" t="inlineStr">
        <is>
          <t>Bay City</t>
        </is>
      </c>
      <c r="B68" s="4" t="n">
        <v>46112</v>
      </c>
      <c r="C68" t="inlineStr">
        <is>
          <t>K-544969</t>
        </is>
      </c>
      <c r="D68" t="inlineStr">
        <is>
          <t>22666</t>
        </is>
      </c>
      <c r="E68" t="inlineStr">
        <is>
          <t>Lakeshore Management Inc (v0000666)</t>
        </is>
      </c>
      <c r="F68" t="inlineStr">
        <is>
          <t>gas for vehicle</t>
        </is>
      </c>
      <c r="H68" s="5" t="n">
        <v>52.5</v>
      </c>
      <c r="K68" t="n">
        <v>-1</v>
      </c>
    </row>
    <row r="69">
      <c r="A69" t="inlineStr">
        <is>
          <t>Bay City</t>
        </is>
      </c>
      <c r="B69" s="4" t="n">
        <v>46112</v>
      </c>
      <c r="C69" t="inlineStr">
        <is>
          <t>K-544969</t>
        </is>
      </c>
      <c r="D69" t="inlineStr">
        <is>
          <t>22666</t>
        </is>
      </c>
      <c r="E69" t="inlineStr">
        <is>
          <t>Lakeshore Management Inc (v0000666)</t>
        </is>
      </c>
      <c r="F69" t="inlineStr">
        <is>
          <t>gas for vehicle</t>
        </is>
      </c>
      <c r="H69" s="5" t="n">
        <v>52.58</v>
      </c>
      <c r="K69" t="n">
        <v>-1</v>
      </c>
    </row>
    <row r="70">
      <c r="A70" t="inlineStr">
        <is>
          <t>Bay City</t>
        </is>
      </c>
      <c r="B70" s="4" t="n">
        <v>46112</v>
      </c>
      <c r="C70" t="inlineStr">
        <is>
          <t>K-544969</t>
        </is>
      </c>
      <c r="D70" t="inlineStr">
        <is>
          <t>22666</t>
        </is>
      </c>
      <c r="E70" t="inlineStr">
        <is>
          <t>Lakeshore Management Inc (v0000666)</t>
        </is>
      </c>
      <c r="F70" t="inlineStr">
        <is>
          <t>diesel fuel</t>
        </is>
      </c>
      <c r="H70" s="5" t="n">
        <v>15.15</v>
      </c>
      <c r="K70" t="n">
        <v>-1</v>
      </c>
    </row>
    <row r="71">
      <c r="A71" t="inlineStr">
        <is>
          <t>Bay City</t>
        </is>
      </c>
      <c r="B71" s="4" t="n">
        <v>46112</v>
      </c>
      <c r="C71" t="inlineStr">
        <is>
          <t>K-544969</t>
        </is>
      </c>
      <c r="D71" t="inlineStr">
        <is>
          <t>22666</t>
        </is>
      </c>
      <c r="E71" t="inlineStr">
        <is>
          <t>Lakeshore Management Inc (v0000666)</t>
        </is>
      </c>
      <c r="F71" t="inlineStr">
        <is>
          <t>Nextiva VoIP Feb</t>
        </is>
      </c>
      <c r="H71" s="5" t="n">
        <v>20</v>
      </c>
      <c r="K71" t="n">
        <v>-1</v>
      </c>
    </row>
    <row r="72">
      <c r="A72" t="inlineStr">
        <is>
          <t>Bay City</t>
        </is>
      </c>
      <c r="B72" s="4" t="n">
        <v>46112</v>
      </c>
      <c r="C72" t="inlineStr">
        <is>
          <t>K-544969</t>
        </is>
      </c>
      <c r="D72" t="inlineStr">
        <is>
          <t>22666</t>
        </is>
      </c>
      <c r="E72" t="inlineStr">
        <is>
          <t>Lakeshore Management Inc (v0000666)</t>
        </is>
      </c>
      <c r="F72" t="inlineStr">
        <is>
          <t>AMBS Call Center Feb</t>
        </is>
      </c>
      <c r="H72" s="5" t="n">
        <v>17.83</v>
      </c>
      <c r="K72" t="n">
        <v>-1</v>
      </c>
    </row>
    <row r="73">
      <c r="A73" t="inlineStr">
        <is>
          <t>Bay City</t>
        </is>
      </c>
      <c r="B73" s="4" t="n">
        <v>46112</v>
      </c>
      <c r="C73" t="inlineStr">
        <is>
          <t>K-544969</t>
        </is>
      </c>
      <c r="D73" t="inlineStr">
        <is>
          <t>22666</t>
        </is>
      </c>
      <c r="E73" t="inlineStr">
        <is>
          <t>Lakeshore Management Inc (v0000666)</t>
        </is>
      </c>
      <c r="F73" t="inlineStr">
        <is>
          <t>1st Qrt snowstorm site vistes</t>
        </is>
      </c>
      <c r="H73" s="5" t="n">
        <v>163.94</v>
      </c>
      <c r="K73" t="n">
        <v>-1</v>
      </c>
    </row>
    <row r="74">
      <c r="A74" t="inlineStr">
        <is>
          <t>Bay City</t>
        </is>
      </c>
      <c r="B74" s="4" t="n">
        <v>46112</v>
      </c>
      <c r="C74" t="inlineStr">
        <is>
          <t>K-544969</t>
        </is>
      </c>
      <c r="D74" t="inlineStr">
        <is>
          <t>22666</t>
        </is>
      </c>
      <c r="E74" t="inlineStr">
        <is>
          <t>Lakeshore Management Inc (v0000666)</t>
        </is>
      </c>
      <c r="F74" t="inlineStr">
        <is>
          <t>1st Qrt snowstorm site vistes</t>
        </is>
      </c>
      <c r="H74" s="5" t="n">
        <v>2</v>
      </c>
      <c r="K74" t="n">
        <v>-1</v>
      </c>
    </row>
    <row r="75">
      <c r="A75" t="inlineStr">
        <is>
          <t>Bay City</t>
        </is>
      </c>
      <c r="B75" s="4" t="n">
        <v>46112</v>
      </c>
      <c r="C75" t="inlineStr">
        <is>
          <t>K-544969</t>
        </is>
      </c>
      <c r="D75" t="inlineStr">
        <is>
          <t>22666</t>
        </is>
      </c>
      <c r="E75" t="inlineStr">
        <is>
          <t>Lakeshore Management Inc (v0000666)</t>
        </is>
      </c>
      <c r="F75" t="inlineStr">
        <is>
          <t>Mail Increase NoticesLeases</t>
        </is>
      </c>
      <c r="H75" s="5" t="n">
        <v>11.48</v>
      </c>
      <c r="K75" t="n">
        <v>-1</v>
      </c>
    </row>
    <row r="76">
      <c r="A76" t="inlineStr">
        <is>
          <t>Bay City</t>
        </is>
      </c>
      <c r="B76" s="4" t="n">
        <v>46112</v>
      </c>
      <c r="C76" t="inlineStr">
        <is>
          <t>K-544969</t>
        </is>
      </c>
      <c r="D76" t="inlineStr">
        <is>
          <t>22666</t>
        </is>
      </c>
      <c r="E76" t="inlineStr">
        <is>
          <t>Lakeshore Management Inc (v0000666)</t>
        </is>
      </c>
      <c r="F76" t="inlineStr">
        <is>
          <t>Mail Increase NoticesLeases</t>
        </is>
      </c>
      <c r="H76" s="5" t="n">
        <v>15.66</v>
      </c>
      <c r="K76" t="n">
        <v>-1</v>
      </c>
    </row>
    <row r="77">
      <c r="A77" t="inlineStr">
        <is>
          <t>Bay City</t>
        </is>
      </c>
      <c r="B77" s="4" t="n">
        <v>46112</v>
      </c>
      <c r="C77" t="inlineStr">
        <is>
          <t>K-544969</t>
        </is>
      </c>
      <c r="D77" t="inlineStr">
        <is>
          <t>22666</t>
        </is>
      </c>
      <c r="E77" t="inlineStr">
        <is>
          <t>Lakeshore Management Inc (v0000666)</t>
        </is>
      </c>
      <c r="F77" t="inlineStr">
        <is>
          <t>Mail Increase NoticesLeases</t>
        </is>
      </c>
      <c r="H77" s="5" t="n">
        <v>7.83</v>
      </c>
      <c r="K77" t="n">
        <v>-1</v>
      </c>
    </row>
    <row r="78">
      <c r="A78" t="inlineStr">
        <is>
          <t>Bay City</t>
        </is>
      </c>
      <c r="B78" s="4" t="n">
        <v>46112</v>
      </c>
      <c r="C78" t="inlineStr">
        <is>
          <t>K-544969</t>
        </is>
      </c>
      <c r="D78" t="inlineStr">
        <is>
          <t>22666</t>
        </is>
      </c>
      <c r="E78" t="inlineStr">
        <is>
          <t>Lakeshore Management Inc (v0000666)</t>
        </is>
      </c>
      <c r="F78" t="inlineStr">
        <is>
          <t>Mail Increase NoticesLeases</t>
        </is>
      </c>
      <c r="H78" s="5" t="n">
        <v>11.48</v>
      </c>
      <c r="K78" t="n">
        <v>-1</v>
      </c>
    </row>
    <row r="79">
      <c r="A79" t="inlineStr">
        <is>
          <t>Bay City</t>
        </is>
      </c>
      <c r="B79" s="4" t="n">
        <v>46112</v>
      </c>
      <c r="C79" t="inlineStr">
        <is>
          <t>K-544969</t>
        </is>
      </c>
      <c r="D79" t="inlineStr">
        <is>
          <t>22666</t>
        </is>
      </c>
      <c r="E79" t="inlineStr">
        <is>
          <t>Lakeshore Management Inc (v0000666)</t>
        </is>
      </c>
      <c r="F79" t="inlineStr">
        <is>
          <t>lunch site visit</t>
        </is>
      </c>
      <c r="H79" s="5" t="n">
        <v>13.69</v>
      </c>
      <c r="K79" t="n">
        <v>-1</v>
      </c>
    </row>
    <row r="80">
      <c r="A80" t="inlineStr">
        <is>
          <t>Bay City</t>
        </is>
      </c>
      <c r="B80" s="4" t="n">
        <v>46112</v>
      </c>
      <c r="C80" t="inlineStr">
        <is>
          <t>K-544969</t>
        </is>
      </c>
      <c r="D80" t="inlineStr">
        <is>
          <t>22666</t>
        </is>
      </c>
      <c r="E80" t="inlineStr">
        <is>
          <t>Lakeshore Management Inc (v0000666)</t>
        </is>
      </c>
      <c r="F80" t="inlineStr">
        <is>
          <t>Breakfast</t>
        </is>
      </c>
      <c r="H80" s="5" t="n">
        <v>12.55</v>
      </c>
      <c r="K80" t="n">
        <v>-1</v>
      </c>
    </row>
    <row r="81">
      <c r="A81" t="inlineStr">
        <is>
          <t>Bay City</t>
        </is>
      </c>
      <c r="B81" s="4" t="n">
        <v>46112</v>
      </c>
      <c r="C81" t="inlineStr">
        <is>
          <t>K-544969</t>
        </is>
      </c>
      <c r="D81" t="inlineStr">
        <is>
          <t>22666</t>
        </is>
      </c>
      <c r="E81" t="inlineStr">
        <is>
          <t>Lakeshore Management Inc (v0000666)</t>
        </is>
      </c>
      <c r="F81" t="inlineStr">
        <is>
          <t>lunchdinner during property visit for new homes</t>
        </is>
      </c>
      <c r="H81" s="5" t="n">
        <v>30.57</v>
      </c>
      <c r="K81" t="n">
        <v>-1</v>
      </c>
    </row>
    <row r="82">
      <c r="A82" t="inlineStr">
        <is>
          <t>Bay City</t>
        </is>
      </c>
      <c r="B82" s="4" t="n">
        <v>46112</v>
      </c>
      <c r="C82" t="inlineStr">
        <is>
          <t>K-544969</t>
        </is>
      </c>
      <c r="D82" t="inlineStr">
        <is>
          <t>22666</t>
        </is>
      </c>
      <c r="E82" t="inlineStr">
        <is>
          <t>Lakeshore Management Inc (v0000666)</t>
        </is>
      </c>
      <c r="F82" t="inlineStr">
        <is>
          <t>lunch during property visit for new homes</t>
        </is>
      </c>
      <c r="H82" s="5" t="n">
        <v>13.73</v>
      </c>
      <c r="K82" t="n">
        <v>-1</v>
      </c>
    </row>
    <row r="83">
      <c r="A83" t="inlineStr">
        <is>
          <t>Bay City</t>
        </is>
      </c>
      <c r="B83" s="4" t="n">
        <v>46112</v>
      </c>
      <c r="C83" t="inlineStr">
        <is>
          <t>K-544969</t>
        </is>
      </c>
      <c r="D83" t="inlineStr">
        <is>
          <t>22666</t>
        </is>
      </c>
      <c r="E83" t="inlineStr">
        <is>
          <t>Lakeshore Management Inc (v0000666)</t>
        </is>
      </c>
      <c r="F83" t="inlineStr">
        <is>
          <t>lunch during property visit for new homes</t>
        </is>
      </c>
      <c r="H83" s="5" t="n">
        <v>14.97</v>
      </c>
      <c r="K83" t="n">
        <v>-1</v>
      </c>
    </row>
    <row r="84">
      <c r="A84" t="inlineStr">
        <is>
          <t>Bay City</t>
        </is>
      </c>
      <c r="B84" s="4" t="n">
        <v>46112</v>
      </c>
      <c r="C84" t="inlineStr">
        <is>
          <t>K-544969</t>
        </is>
      </c>
      <c r="D84" t="inlineStr">
        <is>
          <t>22666</t>
        </is>
      </c>
      <c r="E84" t="inlineStr">
        <is>
          <t>Lakeshore Management Inc (v0000666)</t>
        </is>
      </c>
      <c r="F84" t="inlineStr">
        <is>
          <t>stakes to mark new electric pedestal placement</t>
        </is>
      </c>
      <c r="H84" s="5" t="n">
        <v>6.36</v>
      </c>
      <c r="K84" t="n">
        <v>-1</v>
      </c>
    </row>
    <row r="85">
      <c r="A85" t="inlineStr">
        <is>
          <t>Bay City</t>
        </is>
      </c>
      <c r="B85" s="4" t="n">
        <v>46112</v>
      </c>
      <c r="C85" t="inlineStr">
        <is>
          <t>K-544969</t>
        </is>
      </c>
      <c r="D85" t="inlineStr">
        <is>
          <t>22666</t>
        </is>
      </c>
      <c r="E85" t="inlineStr">
        <is>
          <t>Lakeshore Management Inc (v0000666)</t>
        </is>
      </c>
      <c r="F85" t="inlineStr">
        <is>
          <t>Staging inventory home towels pillows comforter glass ware vase</t>
        </is>
      </c>
      <c r="H85" s="5" t="n">
        <v>59.25</v>
      </c>
      <c r="K85" t="n">
        <v>-1</v>
      </c>
    </row>
    <row r="86">
      <c r="A86" t="inlineStr">
        <is>
          <t>Bay City</t>
        </is>
      </c>
      <c r="B86" s="4" t="n">
        <v>46112</v>
      </c>
      <c r="C86" t="inlineStr">
        <is>
          <t>K-544969</t>
        </is>
      </c>
      <c r="D86" t="inlineStr">
        <is>
          <t>22666</t>
        </is>
      </c>
      <c r="E86" t="inlineStr">
        <is>
          <t>Lakeshore Management Inc (v0000666)</t>
        </is>
      </c>
      <c r="F86" t="inlineStr">
        <is>
          <t>Center Card regional allocation</t>
        </is>
      </c>
      <c r="H86" s="5" t="n">
        <v>13.53</v>
      </c>
      <c r="K86" t="n">
        <v>-1</v>
      </c>
    </row>
    <row r="87">
      <c r="A87" t="inlineStr">
        <is>
          <t>Bay City</t>
        </is>
      </c>
      <c r="B87" s="4" t="n">
        <v>46112</v>
      </c>
      <c r="C87" t="inlineStr">
        <is>
          <t>K-544969</t>
        </is>
      </c>
      <c r="D87" t="inlineStr">
        <is>
          <t>22666</t>
        </is>
      </c>
      <c r="E87" t="inlineStr">
        <is>
          <t>Lakeshore Management Inc (v0000666)</t>
        </is>
      </c>
      <c r="F87" t="inlineStr">
        <is>
          <t>Center Card regional allocation</t>
        </is>
      </c>
      <c r="H87" s="5" t="n">
        <v>97.3</v>
      </c>
      <c r="K87" t="n">
        <v>-1</v>
      </c>
    </row>
    <row r="88">
      <c r="A88" t="inlineStr">
        <is>
          <t>Bay City</t>
        </is>
      </c>
      <c r="B88" s="4" t="n">
        <v>46112</v>
      </c>
      <c r="C88" t="inlineStr">
        <is>
          <t>J-359031</t>
        </is>
      </c>
      <c r="D88" t="inlineStr">
        <is>
          <t>03/2026 Mortgages 120-164</t>
        </is>
      </c>
      <c r="E88" t="inlineStr">
        <is>
          <t>03/2026 Mortgages 120-164</t>
        </is>
      </c>
      <c r="F88" t="inlineStr">
        <is>
          <t>Bay City mtg pymt</t>
        </is>
      </c>
      <c r="H88" s="5" t="n">
        <v>151798.66</v>
      </c>
      <c r="J88" s="4" t="n">
        <v>46118</v>
      </c>
      <c r="K88" t="n">
        <v>-3</v>
      </c>
    </row>
    <row r="89">
      <c r="A89" t="inlineStr">
        <is>
          <t>Bay City</t>
        </is>
      </c>
      <c r="B89" s="4" t="n">
        <v>46112</v>
      </c>
      <c r="C89" t="inlineStr">
        <is>
          <t>J-359031</t>
        </is>
      </c>
      <c r="D89" t="inlineStr">
        <is>
          <t>03/2026 Mortgages 120-164</t>
        </is>
      </c>
      <c r="E89" t="inlineStr">
        <is>
          <t>03/2026 Mortgages 120-164</t>
        </is>
      </c>
      <c r="F89" t="inlineStr">
        <is>
          <t>Bay City mtg pymt</t>
        </is>
      </c>
      <c r="H89" s="5" t="n">
        <v>240.83</v>
      </c>
      <c r="J89" s="4" t="n">
        <v>46118</v>
      </c>
      <c r="K89" t="n">
        <v>-3</v>
      </c>
    </row>
    <row r="90">
      <c r="A90" t="inlineStr">
        <is>
          <t>Bay City</t>
        </is>
      </c>
      <c r="B90" s="4" t="n">
        <v>46112</v>
      </c>
      <c r="C90" t="inlineStr">
        <is>
          <t>J-360719</t>
        </is>
      </c>
      <c r="D90" t="inlineStr">
        <is>
          <t>Park Mgmt Fees Mar 2026</t>
        </is>
      </c>
      <c r="E90" t="inlineStr">
        <is>
          <t>Park Mgmt Fees Mar 2026 :Reversed by J-360866</t>
        </is>
      </c>
      <c r="F90" t="inlineStr">
        <is>
          <t>Park Mgmt Fees Mar 2026 :Reversed by J-360866</t>
        </is>
      </c>
      <c r="H90" s="5" t="n">
        <v>12356.33</v>
      </c>
      <c r="K90" t="n">
        <v>-1</v>
      </c>
    </row>
    <row r="91">
      <c r="A91" t="inlineStr">
        <is>
          <t>Bay City</t>
        </is>
      </c>
      <c r="B91" s="4" t="n">
        <v>46113</v>
      </c>
      <c r="C91" t="inlineStr">
        <is>
          <t>K-545525</t>
        </is>
      </c>
      <c r="D91" t="inlineStr">
        <is>
          <t>22667</t>
        </is>
      </c>
      <c r="E91" t="inlineStr">
        <is>
          <t>Lakeshore Management Inc (v0000666)</t>
        </is>
      </c>
      <c r="F91" t="inlineStr">
        <is>
          <t>WC 11-2025 to 11-2026</t>
        </is>
      </c>
      <c r="H91" s="5" t="n">
        <v>639.52</v>
      </c>
      <c r="I91" s="5" t="n">
        <v>343954.85</v>
      </c>
      <c r="K91" t="n">
        <v>-1</v>
      </c>
    </row>
    <row r="92">
      <c r="A92" t="inlineStr">
        <is>
          <t>Bay City</t>
        </is>
      </c>
      <c r="B92" s="4" t="n">
        <v>46113</v>
      </c>
      <c r="C92" t="inlineStr">
        <is>
          <t>K-545651</t>
        </is>
      </c>
      <c r="D92" t="inlineStr">
        <is>
          <t>22668</t>
        </is>
      </c>
      <c r="E92" t="inlineStr">
        <is>
          <t>Lakeshore Management Inc (v0000666)</t>
        </is>
      </c>
      <c r="F92" t="inlineStr">
        <is>
          <t>WC 11-2024 Audit</t>
        </is>
      </c>
      <c r="H92" s="5" t="n">
        <v>241.74</v>
      </c>
      <c r="I92" s="5" t="n">
        <v>343713.11</v>
      </c>
      <c r="J92" s="4" t="n">
        <v>46113</v>
      </c>
      <c r="K92" t="n">
        <v>-2</v>
      </c>
    </row>
    <row r="93">
      <c r="A93" t="inlineStr">
        <is>
          <t>Bay City</t>
        </is>
      </c>
      <c r="B93" s="4" t="n">
        <v>46113</v>
      </c>
      <c r="C93" t="inlineStr">
        <is>
          <t>K-545782</t>
        </is>
      </c>
      <c r="D93" t="inlineStr">
        <is>
          <t>1801</t>
        </is>
      </c>
      <c r="E93" t="inlineStr">
        <is>
          <t>LSE (v0000665)</t>
        </is>
      </c>
      <c r="F93" t="inlineStr">
        <is>
          <t>DEPT 15310 ppe 03/28/26</t>
        </is>
      </c>
      <c r="H93" s="5" t="n">
        <v>3115.2</v>
      </c>
      <c r="I93" s="5" t="n">
        <v>340597.91</v>
      </c>
      <c r="J93" s="4" t="n">
        <v>46113</v>
      </c>
      <c r="K93" t="n">
        <v>-2</v>
      </c>
    </row>
    <row r="94">
      <c r="A94" t="inlineStr">
        <is>
          <t>Bay City</t>
        </is>
      </c>
      <c r="B94" s="4" t="n">
        <v>46113</v>
      </c>
      <c r="C94" t="inlineStr">
        <is>
          <t>K-545782</t>
        </is>
      </c>
      <c r="D94" t="inlineStr">
        <is>
          <t>1801</t>
        </is>
      </c>
      <c r="E94" t="inlineStr">
        <is>
          <t>LSE (v0000665)</t>
        </is>
      </c>
      <c r="F94" t="inlineStr">
        <is>
          <t>DEPT 15310 ppe 03/28/26</t>
        </is>
      </c>
      <c r="H94" s="5" t="n">
        <v>4429</v>
      </c>
      <c r="I94" s="5" t="n">
        <v>336168.91</v>
      </c>
      <c r="J94" s="4" t="n">
        <v>46113</v>
      </c>
      <c r="K94" t="n">
        <v>-2</v>
      </c>
    </row>
    <row r="95">
      <c r="A95" t="inlineStr">
        <is>
          <t>Bay City</t>
        </is>
      </c>
      <c r="B95" s="4" t="n">
        <v>46113</v>
      </c>
      <c r="C95" t="inlineStr">
        <is>
          <t>K-545782</t>
        </is>
      </c>
      <c r="D95" t="inlineStr">
        <is>
          <t>1801</t>
        </is>
      </c>
      <c r="E95" t="inlineStr">
        <is>
          <t>LSE (v0000665)</t>
        </is>
      </c>
      <c r="F95" t="inlineStr">
        <is>
          <t>DEPT 15310 ppe 03/28/26</t>
        </is>
      </c>
      <c r="H95" s="5" t="n">
        <v>612.38</v>
      </c>
      <c r="I95" s="5" t="n">
        <v>335556.53</v>
      </c>
      <c r="J95" s="4" t="n">
        <v>46113</v>
      </c>
      <c r="K95" t="n">
        <v>-2</v>
      </c>
    </row>
    <row r="96">
      <c r="A96" t="inlineStr">
        <is>
          <t>Bay City</t>
        </is>
      </c>
      <c r="B96" s="4" t="n">
        <v>46113</v>
      </c>
      <c r="C96" t="inlineStr">
        <is>
          <t>K-545782</t>
        </is>
      </c>
      <c r="D96" t="inlineStr">
        <is>
          <t>1801</t>
        </is>
      </c>
      <c r="E96" t="inlineStr">
        <is>
          <t>LSE (v0000665)</t>
        </is>
      </c>
      <c r="F96" t="inlineStr">
        <is>
          <t>DEPT 15310 ppe 03/28/26</t>
        </is>
      </c>
      <c r="H96" s="5" t="n">
        <v>64.22</v>
      </c>
      <c r="I96" s="5" t="n">
        <v>335492.31</v>
      </c>
      <c r="J96" s="4" t="n">
        <v>46113</v>
      </c>
      <c r="K96" t="n">
        <v>-2</v>
      </c>
    </row>
    <row r="97">
      <c r="A97" t="inlineStr">
        <is>
          <t>Bay City</t>
        </is>
      </c>
      <c r="B97" s="4" t="n">
        <v>46113</v>
      </c>
      <c r="C97" t="inlineStr">
        <is>
          <t>K-545782</t>
        </is>
      </c>
      <c r="D97" t="inlineStr">
        <is>
          <t>1801</t>
        </is>
      </c>
      <c r="E97" t="inlineStr">
        <is>
          <t>LSE (v0000665)</t>
        </is>
      </c>
      <c r="F97" t="inlineStr">
        <is>
          <t>DEPT 15310 ppe 03/28/26</t>
        </is>
      </c>
      <c r="G97" s="5" t="n">
        <v>313.28</v>
      </c>
      <c r="I97" s="5" t="n">
        <v>335805.59</v>
      </c>
      <c r="J97" s="4" t="n">
        <v>46113</v>
      </c>
      <c r="K97" t="n">
        <v>-2</v>
      </c>
    </row>
    <row r="98">
      <c r="A98" t="inlineStr">
        <is>
          <t>Bay City</t>
        </is>
      </c>
      <c r="B98" s="4" t="n">
        <v>46113</v>
      </c>
      <c r="C98" t="inlineStr">
        <is>
          <t>K-545782</t>
        </is>
      </c>
      <c r="D98" t="inlineStr">
        <is>
          <t>1801</t>
        </is>
      </c>
      <c r="E98" t="inlineStr">
        <is>
          <t>LSE (v0000665)</t>
        </is>
      </c>
      <c r="F98" t="inlineStr">
        <is>
          <t>DEPT 15310 ppe 03/28/26</t>
        </is>
      </c>
      <c r="G98" s="5" t="n">
        <v>19.45</v>
      </c>
      <c r="I98" s="5" t="n">
        <v>335825.04</v>
      </c>
      <c r="J98" s="4" t="n">
        <v>46113</v>
      </c>
      <c r="K98" t="n">
        <v>-2</v>
      </c>
    </row>
    <row r="99">
      <c r="A99" t="inlineStr">
        <is>
          <t>Bay City</t>
        </is>
      </c>
      <c r="B99" s="4" t="n">
        <v>46113</v>
      </c>
      <c r="C99" t="inlineStr">
        <is>
          <t>K-545782</t>
        </is>
      </c>
      <c r="D99" t="inlineStr">
        <is>
          <t>1801</t>
        </is>
      </c>
      <c r="E99" t="inlineStr">
        <is>
          <t>LSE (v0000665)</t>
        </is>
      </c>
      <c r="F99" t="inlineStr">
        <is>
          <t>DEPT 15310 ppe 03/28/26</t>
        </is>
      </c>
      <c r="G99" s="5" t="n">
        <v>45.44</v>
      </c>
      <c r="I99" s="5" t="n">
        <v>335870.48</v>
      </c>
      <c r="J99" s="4" t="n">
        <v>46113</v>
      </c>
      <c r="K99" t="n">
        <v>-2</v>
      </c>
    </row>
    <row r="100">
      <c r="A100" t="inlineStr">
        <is>
          <t>Bay City</t>
        </is>
      </c>
      <c r="B100" s="4" t="n">
        <v>46113</v>
      </c>
      <c r="C100" t="inlineStr">
        <is>
          <t>K-545782</t>
        </is>
      </c>
      <c r="D100" t="inlineStr">
        <is>
          <t>1801</t>
        </is>
      </c>
      <c r="E100" t="inlineStr">
        <is>
          <t>LSE (v0000665)</t>
        </is>
      </c>
      <c r="F100" t="inlineStr">
        <is>
          <t>DEPT 15310 ppe 03/28/26</t>
        </is>
      </c>
      <c r="G100" s="5" t="n">
        <v>12.73</v>
      </c>
      <c r="I100" s="5" t="n">
        <v>335883.21</v>
      </c>
      <c r="J100" s="4" t="n">
        <v>46113</v>
      </c>
      <c r="K100" t="n">
        <v>-2</v>
      </c>
    </row>
    <row r="101">
      <c r="A101" t="inlineStr">
        <is>
          <t>Bay City</t>
        </is>
      </c>
      <c r="B101" s="4" t="n">
        <v>46113</v>
      </c>
      <c r="C101" t="inlineStr">
        <is>
          <t>K-545782</t>
        </is>
      </c>
      <c r="D101" t="inlineStr">
        <is>
          <t>1801</t>
        </is>
      </c>
      <c r="E101" t="inlineStr">
        <is>
          <t>LSE (v0000665)</t>
        </is>
      </c>
      <c r="F101" t="inlineStr">
        <is>
          <t>DEPT 15340 ppe 03/28/26</t>
        </is>
      </c>
      <c r="H101" s="5" t="n">
        <v>431.6</v>
      </c>
      <c r="I101" s="5" t="n">
        <v>335451.61</v>
      </c>
      <c r="J101" s="4" t="n">
        <v>46113</v>
      </c>
      <c r="K101" t="n">
        <v>-2</v>
      </c>
    </row>
    <row r="102">
      <c r="A102" t="inlineStr">
        <is>
          <t>Bay City</t>
        </is>
      </c>
      <c r="B102" s="4" t="n">
        <v>46113</v>
      </c>
      <c r="C102" t="inlineStr">
        <is>
          <t>K-545782</t>
        </is>
      </c>
      <c r="D102" t="inlineStr">
        <is>
          <t>1801</t>
        </is>
      </c>
      <c r="E102" t="inlineStr">
        <is>
          <t>LSE (v0000665)</t>
        </is>
      </c>
      <c r="F102" t="inlineStr">
        <is>
          <t>DEPT 15340 ppe 03/28/26</t>
        </is>
      </c>
      <c r="H102" s="5" t="n">
        <v>163.92</v>
      </c>
      <c r="I102" s="5" t="n">
        <v>335287.69</v>
      </c>
      <c r="J102" s="4" t="n">
        <v>46113</v>
      </c>
      <c r="K102" t="n">
        <v>-2</v>
      </c>
    </row>
    <row r="103">
      <c r="A103" t="inlineStr">
        <is>
          <t>Bay City</t>
        </is>
      </c>
      <c r="B103" s="4" t="n">
        <v>46113</v>
      </c>
      <c r="C103" t="inlineStr">
        <is>
          <t>K-545782</t>
        </is>
      </c>
      <c r="D103" t="inlineStr">
        <is>
          <t>1801</t>
        </is>
      </c>
      <c r="E103" t="inlineStr">
        <is>
          <t>LSE (v0000665)</t>
        </is>
      </c>
      <c r="F103" t="inlineStr">
        <is>
          <t>DEPT 15340 ppe 03/28/26</t>
        </is>
      </c>
      <c r="H103" s="5" t="n">
        <v>67.25</v>
      </c>
      <c r="I103" s="5" t="n">
        <v>335220.44</v>
      </c>
      <c r="J103" s="4" t="n">
        <v>46113</v>
      </c>
      <c r="K103" t="n">
        <v>-2</v>
      </c>
    </row>
    <row r="104">
      <c r="A104" t="inlineStr">
        <is>
          <t>Bay City</t>
        </is>
      </c>
      <c r="B104" s="4" t="n">
        <v>46113</v>
      </c>
      <c r="C104" t="inlineStr">
        <is>
          <t>K-545782</t>
        </is>
      </c>
      <c r="D104" t="inlineStr">
        <is>
          <t>1801</t>
        </is>
      </c>
      <c r="E104" t="inlineStr">
        <is>
          <t>LSE (v0000665)</t>
        </is>
      </c>
      <c r="F104" t="inlineStr">
        <is>
          <t>DEPT 15340 ppe 03/28/26</t>
        </is>
      </c>
      <c r="H104" s="5" t="n">
        <v>4.92</v>
      </c>
      <c r="I104" s="5" t="n">
        <v>335215.52</v>
      </c>
      <c r="J104" s="4" t="n">
        <v>46113</v>
      </c>
      <c r="K104" t="n">
        <v>-2</v>
      </c>
    </row>
    <row r="105">
      <c r="A105" t="inlineStr">
        <is>
          <t>Bay City</t>
        </is>
      </c>
      <c r="B105" s="4" t="n">
        <v>46113</v>
      </c>
      <c r="C105" t="inlineStr">
        <is>
          <t>K-545782</t>
        </is>
      </c>
      <c r="D105" t="inlineStr">
        <is>
          <t>1801</t>
        </is>
      </c>
      <c r="E105" t="inlineStr">
        <is>
          <t>LSE (v0000665)</t>
        </is>
      </c>
      <c r="F105" t="inlineStr">
        <is>
          <t>DEPT 15340 ppe 03/28/26</t>
        </is>
      </c>
      <c r="G105" s="5" t="n">
        <v>46.08</v>
      </c>
      <c r="I105" s="5" t="n">
        <v>335261.6</v>
      </c>
      <c r="J105" s="4" t="n">
        <v>46113</v>
      </c>
      <c r="K105" t="n">
        <v>-2</v>
      </c>
    </row>
    <row r="106">
      <c r="A106" t="inlineStr">
        <is>
          <t>Bay City</t>
        </is>
      </c>
      <c r="B106" s="4" t="n">
        <v>46113</v>
      </c>
      <c r="C106" t="inlineStr">
        <is>
          <t>K-545782</t>
        </is>
      </c>
      <c r="D106" t="inlineStr">
        <is>
          <t>1801</t>
        </is>
      </c>
      <c r="E106" t="inlineStr">
        <is>
          <t>LSE (v0000665)</t>
        </is>
      </c>
      <c r="F106" t="inlineStr">
        <is>
          <t>DEPT 15340 ppe 03/28/26</t>
        </is>
      </c>
      <c r="G106" s="5" t="n">
        <v>1.14</v>
      </c>
      <c r="I106" s="5" t="n">
        <v>335262.74</v>
      </c>
      <c r="J106" s="4" t="n">
        <v>46113</v>
      </c>
      <c r="K106" t="n">
        <v>-2</v>
      </c>
    </row>
    <row r="107">
      <c r="A107" t="inlineStr">
        <is>
          <t>Bay City</t>
        </is>
      </c>
      <c r="B107" s="4" t="n">
        <v>46113</v>
      </c>
      <c r="C107" t="inlineStr">
        <is>
          <t>K-545782</t>
        </is>
      </c>
      <c r="D107" t="inlineStr">
        <is>
          <t>1801</t>
        </is>
      </c>
      <c r="E107" t="inlineStr">
        <is>
          <t>LSE (v0000665)</t>
        </is>
      </c>
      <c r="F107" t="inlineStr">
        <is>
          <t>DEPT 15340 ppe 03/28/26</t>
        </is>
      </c>
      <c r="G107" s="5" t="n">
        <v>0.72</v>
      </c>
      <c r="I107" s="5" t="n">
        <v>335263.46</v>
      </c>
      <c r="J107" s="4" t="n">
        <v>46113</v>
      </c>
      <c r="K107" t="n">
        <v>-2</v>
      </c>
    </row>
    <row r="108">
      <c r="A108" t="inlineStr">
        <is>
          <t>Bay City</t>
        </is>
      </c>
      <c r="B108" s="4" t="n">
        <v>46113</v>
      </c>
      <c r="C108" t="inlineStr">
        <is>
          <t>K-545782</t>
        </is>
      </c>
      <c r="D108" t="inlineStr">
        <is>
          <t>1801</t>
        </is>
      </c>
      <c r="E108" t="inlineStr">
        <is>
          <t>LSE (v0000665)</t>
        </is>
      </c>
      <c r="F108" t="inlineStr">
        <is>
          <t>DEPT 15340 ppe 03/28/26</t>
        </is>
      </c>
      <c r="G108" s="5" t="n">
        <v>0.23</v>
      </c>
      <c r="I108" s="5" t="n">
        <v>335263.69</v>
      </c>
      <c r="J108" s="4" t="n">
        <v>46113</v>
      </c>
      <c r="K108" t="n">
        <v>-2</v>
      </c>
    </row>
    <row r="109">
      <c r="A109" t="inlineStr">
        <is>
          <t>Bay City</t>
        </is>
      </c>
      <c r="B109" s="4" t="n">
        <v>46113</v>
      </c>
      <c r="C109" t="inlineStr">
        <is>
          <t>K-545782</t>
        </is>
      </c>
      <c r="D109" t="inlineStr">
        <is>
          <t>1801</t>
        </is>
      </c>
      <c r="E109" t="inlineStr">
        <is>
          <t>LSE (v0000665)</t>
        </is>
      </c>
      <c r="F109" t="inlineStr">
        <is>
          <t>DEPT 35100 ppe 03/28/26</t>
        </is>
      </c>
      <c r="H109" s="5" t="n">
        <v>2115.37</v>
      </c>
      <c r="I109" s="5" t="n">
        <v>333148.32</v>
      </c>
      <c r="J109" s="4" t="n">
        <v>46113</v>
      </c>
      <c r="K109" t="n">
        <v>-2</v>
      </c>
    </row>
    <row r="110">
      <c r="A110" t="inlineStr">
        <is>
          <t>Bay City</t>
        </is>
      </c>
      <c r="B110" s="4" t="n">
        <v>46113</v>
      </c>
      <c r="C110" t="inlineStr">
        <is>
          <t>K-545782</t>
        </is>
      </c>
      <c r="D110" t="inlineStr">
        <is>
          <t>1801</t>
        </is>
      </c>
      <c r="E110" t="inlineStr">
        <is>
          <t>LSE (v0000665)</t>
        </is>
      </c>
      <c r="F110" t="inlineStr">
        <is>
          <t>DEPT 35100 ppe 03/28/26</t>
        </is>
      </c>
      <c r="H110" s="5" t="n">
        <v>199.9</v>
      </c>
      <c r="I110" s="5" t="n">
        <v>332948.42</v>
      </c>
      <c r="J110" s="4" t="n">
        <v>46113</v>
      </c>
      <c r="K110" t="n">
        <v>-2</v>
      </c>
    </row>
    <row r="111">
      <c r="A111" t="inlineStr">
        <is>
          <t>Bay City</t>
        </is>
      </c>
      <c r="B111" s="4" t="n">
        <v>46113</v>
      </c>
      <c r="C111" t="inlineStr">
        <is>
          <t>K-545782</t>
        </is>
      </c>
      <c r="D111" t="inlineStr">
        <is>
          <t>1801</t>
        </is>
      </c>
      <c r="E111" t="inlineStr">
        <is>
          <t>LSE (v0000665)</t>
        </is>
      </c>
      <c r="F111" t="inlineStr">
        <is>
          <t>DEPT 35200 ppe 03/28/26</t>
        </is>
      </c>
      <c r="H111" s="5" t="n">
        <v>135.9</v>
      </c>
      <c r="I111" s="5" t="n">
        <v>332812.52</v>
      </c>
      <c r="J111" s="4" t="n">
        <v>46113</v>
      </c>
      <c r="K111" t="n">
        <v>-2</v>
      </c>
    </row>
    <row r="112">
      <c r="A112" t="inlineStr">
        <is>
          <t>Bay City</t>
        </is>
      </c>
      <c r="B112" s="4" t="n">
        <v>46113</v>
      </c>
      <c r="C112" t="inlineStr">
        <is>
          <t>K-545782</t>
        </is>
      </c>
      <c r="D112" t="inlineStr">
        <is>
          <t>1801</t>
        </is>
      </c>
      <c r="E112" t="inlineStr">
        <is>
          <t>LSE (v0000665)</t>
        </is>
      </c>
      <c r="F112" t="inlineStr">
        <is>
          <t>DEPT 35200 ppe 03/28/26</t>
        </is>
      </c>
      <c r="H112" s="5" t="n">
        <v>25.27</v>
      </c>
      <c r="I112" s="5" t="n">
        <v>332787.25</v>
      </c>
      <c r="J112" s="4" t="n">
        <v>46113</v>
      </c>
      <c r="K112" t="n">
        <v>-2</v>
      </c>
    </row>
    <row r="113">
      <c r="A113" t="inlineStr">
        <is>
          <t>Bay City</t>
        </is>
      </c>
      <c r="B113" s="4" t="n">
        <v>46113</v>
      </c>
      <c r="C113" t="inlineStr">
        <is>
          <t>K-545782</t>
        </is>
      </c>
      <c r="D113" t="inlineStr">
        <is>
          <t>1801</t>
        </is>
      </c>
      <c r="E113" t="inlineStr">
        <is>
          <t>LSE (v0000665)</t>
        </is>
      </c>
      <c r="F113" t="inlineStr">
        <is>
          <t>DEPT 35200 ppe 03/28/26</t>
        </is>
      </c>
      <c r="H113" s="5" t="n">
        <v>1.93</v>
      </c>
      <c r="I113" s="5" t="n">
        <v>332785.32</v>
      </c>
      <c r="J113" s="4" t="n">
        <v>46113</v>
      </c>
      <c r="K113" t="n">
        <v>-2</v>
      </c>
    </row>
    <row r="114">
      <c r="A114" t="inlineStr">
        <is>
          <t>Bay City</t>
        </is>
      </c>
      <c r="B114" s="4" t="n">
        <v>46113</v>
      </c>
      <c r="C114" t="inlineStr">
        <is>
          <t>K-545782</t>
        </is>
      </c>
      <c r="D114" t="inlineStr">
        <is>
          <t>1801</t>
        </is>
      </c>
      <c r="E114" t="inlineStr">
        <is>
          <t>LSE (v0000665)</t>
        </is>
      </c>
      <c r="F114" t="inlineStr">
        <is>
          <t>DEPT 35200 ppe 03/28/26</t>
        </is>
      </c>
      <c r="G114" s="5" t="n">
        <v>0.05</v>
      </c>
      <c r="I114" s="5" t="n">
        <v>332785.37</v>
      </c>
      <c r="J114" s="4" t="n">
        <v>46113</v>
      </c>
      <c r="K114" t="n">
        <v>-2</v>
      </c>
    </row>
    <row r="115">
      <c r="A115" t="inlineStr">
        <is>
          <t>Bay City</t>
        </is>
      </c>
      <c r="B115" s="4" t="n">
        <v>46113</v>
      </c>
      <c r="C115" t="inlineStr">
        <is>
          <t>K-545782</t>
        </is>
      </c>
      <c r="D115" t="inlineStr">
        <is>
          <t>1801</t>
        </is>
      </c>
      <c r="E115" t="inlineStr">
        <is>
          <t>LSE (v0000665)</t>
        </is>
      </c>
      <c r="F115" t="inlineStr">
        <is>
          <t>DEPT 35200 ppe 03/28/26</t>
        </is>
      </c>
      <c r="G115" s="5" t="n">
        <v>0.12</v>
      </c>
      <c r="I115" s="5" t="n">
        <v>332785.49</v>
      </c>
      <c r="J115" s="4" t="n">
        <v>46113</v>
      </c>
      <c r="K115" t="n">
        <v>-2</v>
      </c>
    </row>
    <row r="116">
      <c r="A116" t="inlineStr">
        <is>
          <t>Bay City</t>
        </is>
      </c>
      <c r="B116" s="4" t="n">
        <v>46113</v>
      </c>
      <c r="C116" t="inlineStr">
        <is>
          <t>K-545782</t>
        </is>
      </c>
      <c r="D116" t="inlineStr">
        <is>
          <t>1801</t>
        </is>
      </c>
      <c r="E116" t="inlineStr">
        <is>
          <t>LSE (v0000665)</t>
        </is>
      </c>
      <c r="F116" t="inlineStr">
        <is>
          <t>DEPT 35200 ppe 03/28/26</t>
        </is>
      </c>
      <c r="G116" s="5" t="n">
        <v>0.04</v>
      </c>
      <c r="I116" s="5" t="n">
        <v>332785.53</v>
      </c>
      <c r="J116" s="4" t="n">
        <v>46113</v>
      </c>
      <c r="K116" t="n">
        <v>-2</v>
      </c>
    </row>
    <row r="117">
      <c r="A117" t="inlineStr">
        <is>
          <t>Bay City</t>
        </is>
      </c>
      <c r="B117" s="4" t="n">
        <v>46113</v>
      </c>
      <c r="C117" t="inlineStr">
        <is>
          <t>K-545907</t>
        </is>
      </c>
      <c r="D117" t="inlineStr">
        <is>
          <t>1802</t>
        </is>
      </c>
      <c r="E117" t="inlineStr">
        <is>
          <t>LSE (v0000665)</t>
        </is>
      </c>
      <c r="F117" t="inlineStr">
        <is>
          <t>APR26 Health  Dental</t>
        </is>
      </c>
      <c r="H117" s="5" t="n">
        <v>2609.77</v>
      </c>
      <c r="I117" s="5" t="n">
        <v>330175.76</v>
      </c>
      <c r="J117" s="4" t="n">
        <v>46113</v>
      </c>
      <c r="K117" t="n">
        <v>-2</v>
      </c>
    </row>
    <row r="118">
      <c r="A118" t="inlineStr">
        <is>
          <t>Bay City</t>
        </is>
      </c>
      <c r="B118" s="4" t="n">
        <v>46113</v>
      </c>
      <c r="C118" t="inlineStr">
        <is>
          <t>K-545907</t>
        </is>
      </c>
      <c r="D118" t="inlineStr">
        <is>
          <t>1802</t>
        </is>
      </c>
      <c r="E118" t="inlineStr">
        <is>
          <t>LSE (v0000665)</t>
        </is>
      </c>
      <c r="F118" t="inlineStr">
        <is>
          <t>APR26 Life STD &amp; OTH</t>
        </is>
      </c>
      <c r="H118" s="5" t="n">
        <v>71.29000000000001</v>
      </c>
      <c r="I118" s="5" t="n">
        <v>330104.47</v>
      </c>
      <c r="J118" s="4" t="n">
        <v>46113</v>
      </c>
      <c r="K118" t="n">
        <v>-2</v>
      </c>
    </row>
    <row r="119">
      <c r="A119" t="inlineStr">
        <is>
          <t>Bay City</t>
        </is>
      </c>
      <c r="B119" s="4" t="n">
        <v>46113</v>
      </c>
      <c r="C119" t="inlineStr">
        <is>
          <t>K-545907</t>
        </is>
      </c>
      <c r="D119" t="inlineStr">
        <is>
          <t>1802</t>
        </is>
      </c>
      <c r="E119" t="inlineStr">
        <is>
          <t>LSE (v0000665)</t>
        </is>
      </c>
      <c r="F119" t="inlineStr">
        <is>
          <t>APR26 Vision</t>
        </is>
      </c>
      <c r="H119" s="5" t="n">
        <v>23.41</v>
      </c>
      <c r="I119" s="5" t="n">
        <v>330081.06</v>
      </c>
      <c r="J119" s="4" t="n">
        <v>46113</v>
      </c>
      <c r="K119" t="n">
        <v>-2</v>
      </c>
    </row>
    <row r="120">
      <c r="A120" t="inlineStr">
        <is>
          <t>Bay City</t>
        </is>
      </c>
      <c r="B120" s="4" t="n">
        <v>46113</v>
      </c>
      <c r="C120" t="inlineStr">
        <is>
          <t>J-359045</t>
        </is>
      </c>
      <c r="D120" t="inlineStr">
        <is>
          <t>:Reversal of J-359040</t>
        </is>
      </c>
      <c r="E120" t="inlineStr">
        <is>
          <t>:Reversal of J-359040</t>
        </is>
      </c>
      <c r="F120" t="inlineStr">
        <is>
          <t>Accrue (161) Casa Verde MAR 2026 swap PB</t>
        </is>
      </c>
      <c r="H120" s="5" t="n">
        <v>49435.06</v>
      </c>
      <c r="I120" s="5" t="n">
        <v>280646</v>
      </c>
      <c r="K120" t="n">
        <v>-1</v>
      </c>
    </row>
    <row r="121">
      <c r="A121" t="inlineStr">
        <is>
          <t>Bay City</t>
        </is>
      </c>
      <c r="B121" s="4" t="n">
        <v>46113</v>
      </c>
      <c r="C121" t="inlineStr">
        <is>
          <t>J-360442</t>
        </is>
      </c>
      <c r="D121" t="inlineStr">
        <is>
          <t>Daily Deposit</t>
        </is>
      </c>
      <c r="E121" t="inlineStr">
        <is>
          <t>04/01/2026 Daily Deposit</t>
        </is>
      </c>
      <c r="F121" t="inlineStr">
        <is>
          <t>CKS 04/01/2026 Batch 6ff686b6-3bcd-4fc7-8d4d-aa03a42139b7</t>
        </is>
      </c>
      <c r="G121" s="5" t="n">
        <v>7133.84</v>
      </c>
      <c r="I121" s="5" t="n">
        <v>287779.84</v>
      </c>
      <c r="J121" s="4" t="n">
        <v>46114</v>
      </c>
      <c r="K121" t="n">
        <v>2</v>
      </c>
    </row>
    <row r="122">
      <c r="A122" t="inlineStr">
        <is>
          <t>Bay City</t>
        </is>
      </c>
      <c r="B122" s="4" t="n">
        <v>46113</v>
      </c>
      <c r="C122" t="inlineStr">
        <is>
          <t>J-360442</t>
        </is>
      </c>
      <c r="D122" t="inlineStr">
        <is>
          <t>Daily Deposit</t>
        </is>
      </c>
      <c r="E122" t="inlineStr">
        <is>
          <t>04/01/2026 Daily Deposit</t>
        </is>
      </c>
      <c r="F122" t="inlineStr">
        <is>
          <t>CKS 04/01/2026 Batch 9afeaca1-1bbd-4686-a965-71ae2c79625f</t>
        </is>
      </c>
      <c r="G122" s="5" t="n">
        <v>1926.03</v>
      </c>
      <c r="I122" s="5" t="n">
        <v>289705.87</v>
      </c>
      <c r="J122" s="4" t="n">
        <v>46114</v>
      </c>
      <c r="K122" t="n">
        <v>2</v>
      </c>
    </row>
    <row r="123">
      <c r="A123" t="inlineStr">
        <is>
          <t>Bay City</t>
        </is>
      </c>
      <c r="B123" s="4" t="n">
        <v>46113</v>
      </c>
      <c r="C123" t="inlineStr">
        <is>
          <t>J-360442</t>
        </is>
      </c>
      <c r="D123" t="inlineStr">
        <is>
          <t>Daily Deposit</t>
        </is>
      </c>
      <c r="E123" t="inlineStr">
        <is>
          <t>04/01/2026 Daily Deposit</t>
        </is>
      </c>
      <c r="F123" t="inlineStr">
        <is>
          <t>CKS 04/01/2026 Batch eb7316b0-ef8b-4a2f-a0dc-9478a85aad1c</t>
        </is>
      </c>
      <c r="G123" s="5" t="n">
        <v>13727.69</v>
      </c>
      <c r="I123" s="5" t="n">
        <v>303433.56</v>
      </c>
      <c r="J123" s="4" t="n">
        <v>46114</v>
      </c>
      <c r="K123" t="n">
        <v>2</v>
      </c>
    </row>
    <row r="124">
      <c r="A124" t="inlineStr">
        <is>
          <t>Bay City</t>
        </is>
      </c>
      <c r="B124" s="4" t="n">
        <v>46113</v>
      </c>
      <c r="C124" t="inlineStr">
        <is>
          <t>J-360442</t>
        </is>
      </c>
      <c r="D124" t="inlineStr">
        <is>
          <t>Daily Deposit</t>
        </is>
      </c>
      <c r="E124" t="inlineStr">
        <is>
          <t>04/01/2026 Daily Deposit</t>
        </is>
      </c>
      <c r="F124" t="inlineStr">
        <is>
          <t>EFT Deposit 04/01/2026</t>
        </is>
      </c>
      <c r="G124" s="5" t="n">
        <v>7940.57</v>
      </c>
      <c r="I124" s="5" t="n">
        <v>311374.13</v>
      </c>
      <c r="J124" s="4" t="n">
        <v>46114</v>
      </c>
      <c r="K124" t="n">
        <v>2</v>
      </c>
    </row>
    <row r="125">
      <c r="A125" t="inlineStr">
        <is>
          <t>Bay City</t>
        </is>
      </c>
      <c r="B125" s="4" t="n">
        <v>46113</v>
      </c>
      <c r="C125" t="inlineStr">
        <is>
          <t>J-360442</t>
        </is>
      </c>
      <c r="D125" t="inlineStr">
        <is>
          <t>Daily Deposit</t>
        </is>
      </c>
      <c r="E125" t="inlineStr">
        <is>
          <t>04/01/2026 Daily Deposit</t>
        </is>
      </c>
      <c r="F125" t="inlineStr">
        <is>
          <t>RP : ACH Deposit 03/31/2026</t>
        </is>
      </c>
      <c r="G125" s="5" t="n">
        <v>14019.3</v>
      </c>
      <c r="I125" s="5" t="n">
        <v>325393.43</v>
      </c>
      <c r="J125" s="4" t="n">
        <v>46113</v>
      </c>
      <c r="K125" t="n">
        <v>2</v>
      </c>
    </row>
    <row r="126">
      <c r="A126" t="inlineStr">
        <is>
          <t>Bay City</t>
        </is>
      </c>
      <c r="B126" s="4" t="n">
        <v>46113</v>
      </c>
      <c r="C126" t="inlineStr">
        <is>
          <t>J-360442</t>
        </is>
      </c>
      <c r="D126" t="inlineStr">
        <is>
          <t>Daily Deposit</t>
        </is>
      </c>
      <c r="E126" t="inlineStr">
        <is>
          <t>04/01/2026 Daily Deposit</t>
        </is>
      </c>
      <c r="F126" t="inlineStr">
        <is>
          <t>RP : CC Deposit 04/01/2026</t>
        </is>
      </c>
      <c r="G126" s="5" t="n">
        <v>3698.18</v>
      </c>
      <c r="I126" s="5" t="n">
        <v>329091.61</v>
      </c>
      <c r="K126" t="n">
        <v>1</v>
      </c>
    </row>
    <row r="127">
      <c r="A127" t="inlineStr">
        <is>
          <t>Bay City</t>
        </is>
      </c>
      <c r="B127" s="4" t="n">
        <v>46113</v>
      </c>
      <c r="C127" t="inlineStr">
        <is>
          <t>J-360866</t>
        </is>
      </c>
      <c r="D127" t="inlineStr">
        <is>
          <t>:Reversal of J-360719</t>
        </is>
      </c>
      <c r="E127" t="inlineStr">
        <is>
          <t>:Reversal of J-360719</t>
        </is>
      </c>
      <c r="F127" t="inlineStr">
        <is>
          <t>:Reversal of J-360719</t>
        </is>
      </c>
      <c r="G127" s="5" t="n">
        <v>12356.33</v>
      </c>
      <c r="I127" s="5" t="n">
        <v>341447.94</v>
      </c>
      <c r="K127" t="n">
        <v>1</v>
      </c>
    </row>
    <row r="128">
      <c r="A128" t="inlineStr">
        <is>
          <t>Bay City</t>
        </is>
      </c>
      <c r="B128" s="4" t="n">
        <v>46113</v>
      </c>
      <c r="C128" t="inlineStr">
        <is>
          <t>J-364412</t>
        </is>
      </c>
      <c r="D128" t="inlineStr">
        <is>
          <t>Sweep Interest Payment - April'26</t>
        </is>
      </c>
      <c r="E128" t="inlineStr">
        <is>
          <t>Sweep Interest Payment - April'26</t>
        </is>
      </c>
      <c r="F128" t="inlineStr">
        <is>
          <t>Sweep Interest Payment - April'26</t>
        </is>
      </c>
      <c r="G128" s="5" t="n">
        <v>611.17</v>
      </c>
      <c r="I128" s="5" t="n">
        <v>342059.11</v>
      </c>
      <c r="J128" s="4" t="n">
        <v>46113</v>
      </c>
      <c r="K128" t="n">
        <v>2</v>
      </c>
    </row>
    <row r="129">
      <c r="A129" t="inlineStr">
        <is>
          <t>Bay City</t>
        </is>
      </c>
      <c r="B129" s="4" t="n">
        <v>46114</v>
      </c>
      <c r="C129" t="inlineStr">
        <is>
          <t>K-546195</t>
        </is>
      </c>
      <c r="D129" t="inlineStr">
        <is>
          <t>22669</t>
        </is>
      </c>
      <c r="E129" t="inlineStr">
        <is>
          <t>Lakeshore Management Inc (v0000666)</t>
        </is>
      </c>
      <c r="F129" t="inlineStr">
        <is>
          <t>MOBILE MEDICAL DEVICES 2026</t>
        </is>
      </c>
      <c r="H129" s="5" t="n">
        <v>887.76</v>
      </c>
      <c r="I129" s="5" t="n">
        <v>341171.35</v>
      </c>
      <c r="K129" t="n">
        <v>-1</v>
      </c>
    </row>
    <row r="130">
      <c r="A130" t="inlineStr">
        <is>
          <t>Bay City</t>
        </is>
      </c>
      <c r="B130" s="4" t="n">
        <v>46114</v>
      </c>
      <c r="C130" t="inlineStr">
        <is>
          <t>K-546261</t>
        </is>
      </c>
      <c r="D130" t="inlineStr">
        <is>
          <t>1803</t>
        </is>
      </c>
      <c r="E130" t="inlineStr">
        <is>
          <t>Long Neck Water Company, LLC (v0007698)</t>
        </is>
      </c>
      <c r="F130" t="inlineStr">
        <is>
          <t>02/27/2026-03/26/2026-Water-003996-L3996-BC S. CANAL ST LAGOON</t>
        </is>
      </c>
      <c r="H130" s="5" t="n">
        <v>13.5</v>
      </c>
      <c r="I130" s="5" t="n">
        <v>341157.85</v>
      </c>
      <c r="J130" s="4" t="n">
        <v>46121</v>
      </c>
      <c r="K130" t="n">
        <v>-2</v>
      </c>
    </row>
    <row r="131">
      <c r="A131" t="inlineStr">
        <is>
          <t>Bay City</t>
        </is>
      </c>
      <c r="B131" s="4" t="n">
        <v>46114</v>
      </c>
      <c r="C131" t="inlineStr">
        <is>
          <t>K-546387</t>
        </is>
      </c>
      <c r="D131" t="inlineStr">
        <is>
          <t>1804</t>
        </is>
      </c>
      <c r="E131" t="inlineStr">
        <is>
          <t>Yes Energy Management, Inc. (v0002908)</t>
        </is>
      </c>
      <c r="F131" t="inlineStr">
        <is>
          <t>Utility Invoice Processing (UEM) 02/01/2026 - 02/28/2026 Inv# 1394704</t>
        </is>
      </c>
      <c r="H131" s="5" t="n">
        <v>59.5</v>
      </c>
      <c r="I131" s="5" t="n">
        <v>341098.35</v>
      </c>
      <c r="J131" s="4" t="n">
        <v>46122</v>
      </c>
      <c r="K131" t="n">
        <v>-2</v>
      </c>
    </row>
    <row r="132">
      <c r="A132" t="inlineStr">
        <is>
          <t>Bay City</t>
        </is>
      </c>
      <c r="B132" s="4" t="n">
        <v>46114</v>
      </c>
      <c r="C132" t="inlineStr">
        <is>
          <t>K-546552</t>
        </is>
      </c>
      <c r="D132" t="inlineStr">
        <is>
          <t>22670</t>
        </is>
      </c>
      <c r="E132" t="inlineStr">
        <is>
          <t>LAKESHORE MANAGEMENT (v0004320)</t>
        </is>
      </c>
      <c r="F132" t="inlineStr">
        <is>
          <t>Management Fees</t>
        </is>
      </c>
      <c r="H132" s="5" t="n">
        <v>12356.33</v>
      </c>
      <c r="I132" s="5" t="n">
        <v>328742.02</v>
      </c>
      <c r="K132" t="n">
        <v>-1</v>
      </c>
    </row>
    <row r="133">
      <c r="A133" t="inlineStr">
        <is>
          <t>Bay City</t>
        </is>
      </c>
      <c r="B133" s="4" t="n">
        <v>46114</v>
      </c>
      <c r="C133" t="inlineStr">
        <is>
          <t>J-359373</t>
        </is>
      </c>
      <c r="D133" t="inlineStr">
        <is>
          <t>Record 04.02.26 Deposit Casa Verde SWAP PB- 075</t>
        </is>
      </c>
      <c r="E133" t="inlineStr">
        <is>
          <t>03-26 SWAP/PB Casa Verde -Deposit</t>
        </is>
      </c>
      <c r="F133" t="inlineStr">
        <is>
          <t>Record 04.02.26 Deposit Casa Verde  SWAP PB-161</t>
        </is>
      </c>
      <c r="G133" s="5" t="n">
        <v>49435.06</v>
      </c>
      <c r="I133" s="5" t="n">
        <v>378177.08</v>
      </c>
      <c r="J133" s="4" t="n">
        <v>46114</v>
      </c>
      <c r="K133" t="n">
        <v>2</v>
      </c>
    </row>
    <row r="134">
      <c r="A134" t="inlineStr">
        <is>
          <t>Bay City</t>
        </is>
      </c>
      <c r="B134" s="4" t="n">
        <v>46114</v>
      </c>
      <c r="C134" t="inlineStr">
        <is>
          <t>J-360572</t>
        </is>
      </c>
      <c r="E134" t="inlineStr">
        <is>
          <t>Casa Verdi Portfolio CapEX Fill Draw Funds</t>
        </is>
      </c>
      <c r="F134" t="inlineStr">
        <is>
          <t>Tsfr Cap/Ex Fill Draw Funds to Master B</t>
        </is>
      </c>
      <c r="H134" s="5" t="n">
        <v>38554.1</v>
      </c>
      <c r="I134" s="5" t="n">
        <v>339622.98</v>
      </c>
      <c r="J134" s="4" t="n">
        <v>46114</v>
      </c>
      <c r="K134" t="n">
        <v>-2</v>
      </c>
    </row>
    <row r="135">
      <c r="A135" t="inlineStr">
        <is>
          <t>Bay City</t>
        </is>
      </c>
      <c r="B135" s="4" t="n">
        <v>46114</v>
      </c>
      <c r="C135" t="inlineStr">
        <is>
          <t>J-360572</t>
        </is>
      </c>
      <c r="E135" t="inlineStr">
        <is>
          <t>Casa Verdi Portfolio CapEX Fill Draw Funds</t>
        </is>
      </c>
      <c r="F135" t="inlineStr">
        <is>
          <t>Tsfr Cap/Ex Fill Draw Funds to LS Lend B for Paydown</t>
        </is>
      </c>
      <c r="H135" s="5" t="n">
        <v>37328</v>
      </c>
      <c r="I135" s="5" t="n">
        <v>302294.98</v>
      </c>
      <c r="J135" s="4" t="n">
        <v>46114</v>
      </c>
      <c r="K135" t="n">
        <v>-2</v>
      </c>
    </row>
    <row r="136">
      <c r="A136" t="inlineStr">
        <is>
          <t>Bay City</t>
        </is>
      </c>
      <c r="B136" s="4" t="n">
        <v>46114</v>
      </c>
      <c r="C136" t="inlineStr">
        <is>
          <t>J-361715</t>
        </is>
      </c>
      <c r="D136" t="inlineStr">
        <is>
          <t>Daily Deposit</t>
        </is>
      </c>
      <c r="E136" t="inlineStr">
        <is>
          <t>04/02/2026 Daily Deposit</t>
        </is>
      </c>
      <c r="F136" t="inlineStr">
        <is>
          <t>CKS 04/02/2026 Batch 286c3671-c689-40b6-948a-88be4cd69c30</t>
        </is>
      </c>
      <c r="G136" s="5" t="n">
        <v>6933.13</v>
      </c>
      <c r="I136" s="5" t="n">
        <v>309228.11</v>
      </c>
      <c r="J136" s="4" t="n">
        <v>46115</v>
      </c>
      <c r="K136" t="n">
        <v>2</v>
      </c>
    </row>
    <row r="137">
      <c r="A137" t="inlineStr">
        <is>
          <t>Bay City</t>
        </is>
      </c>
      <c r="B137" s="4" t="n">
        <v>46114</v>
      </c>
      <c r="C137" t="inlineStr">
        <is>
          <t>J-361715</t>
        </is>
      </c>
      <c r="D137" t="inlineStr">
        <is>
          <t>Daily Deposit</t>
        </is>
      </c>
      <c r="E137" t="inlineStr">
        <is>
          <t>04/02/2026 Daily Deposit</t>
        </is>
      </c>
      <c r="F137" t="inlineStr">
        <is>
          <t>CKS 04/02/2026 Batch 464868cc-e24c-444e-a5a8-d7df520f04a0</t>
        </is>
      </c>
      <c r="G137" s="5" t="n">
        <v>5281.42</v>
      </c>
      <c r="I137" s="5" t="n">
        <v>314509.53</v>
      </c>
      <c r="J137" s="4" t="n">
        <v>46115</v>
      </c>
      <c r="K137" t="n">
        <v>2</v>
      </c>
    </row>
    <row r="138">
      <c r="A138" t="inlineStr">
        <is>
          <t>Bay City</t>
        </is>
      </c>
      <c r="B138" s="4" t="n">
        <v>46114</v>
      </c>
      <c r="C138" t="inlineStr">
        <is>
          <t>J-361715</t>
        </is>
      </c>
      <c r="D138" t="inlineStr">
        <is>
          <t>Daily Deposit</t>
        </is>
      </c>
      <c r="E138" t="inlineStr">
        <is>
          <t>04/02/2026 Daily Deposit</t>
        </is>
      </c>
      <c r="F138" t="inlineStr">
        <is>
          <t>CKS 04/02/2026 Batch 4b481626-162a-474f-884e-dbd6b5cb7b84</t>
        </is>
      </c>
      <c r="G138" s="5" t="n">
        <v>10543.26</v>
      </c>
      <c r="I138" s="5" t="n">
        <v>325052.79</v>
      </c>
      <c r="J138" s="4" t="n">
        <v>46115</v>
      </c>
      <c r="K138" t="n">
        <v>2</v>
      </c>
    </row>
    <row r="139">
      <c r="A139" t="inlineStr">
        <is>
          <t>Bay City</t>
        </is>
      </c>
      <c r="B139" s="4" t="n">
        <v>46114</v>
      </c>
      <c r="C139" t="inlineStr">
        <is>
          <t>J-361715</t>
        </is>
      </c>
      <c r="D139" t="inlineStr">
        <is>
          <t>Daily Deposit</t>
        </is>
      </c>
      <c r="E139" t="inlineStr">
        <is>
          <t>04/02/2026 Daily Deposit</t>
        </is>
      </c>
      <c r="F139" t="inlineStr">
        <is>
          <t>RP : ACH Deposit 03/31/2026</t>
        </is>
      </c>
      <c r="G139" s="5" t="n">
        <v>2124.99</v>
      </c>
      <c r="I139" s="5" t="n">
        <v>327177.78</v>
      </c>
      <c r="J139" s="4" t="n">
        <v>46114</v>
      </c>
      <c r="K139" t="n">
        <v>2</v>
      </c>
    </row>
    <row r="140">
      <c r="A140" t="inlineStr">
        <is>
          <t>Bay City</t>
        </is>
      </c>
      <c r="B140" s="4" t="n">
        <v>46114</v>
      </c>
      <c r="C140" t="inlineStr">
        <is>
          <t>J-361715</t>
        </is>
      </c>
      <c r="D140" t="inlineStr">
        <is>
          <t>Daily Deposit</t>
        </is>
      </c>
      <c r="E140" t="inlineStr">
        <is>
          <t>04/02/2026 Daily Deposit</t>
        </is>
      </c>
      <c r="F140" t="inlineStr">
        <is>
          <t>RP : ACH Deposit 04/01/2026</t>
        </is>
      </c>
      <c r="G140" s="5" t="n">
        <v>12715.47</v>
      </c>
      <c r="I140" s="5" t="n">
        <v>339893.25</v>
      </c>
      <c r="J140" s="4" t="n">
        <v>46114</v>
      </c>
      <c r="K140" t="n">
        <v>2</v>
      </c>
    </row>
    <row r="141">
      <c r="A141" t="inlineStr">
        <is>
          <t>Bay City</t>
        </is>
      </c>
      <c r="B141" s="4" t="n">
        <v>46114</v>
      </c>
      <c r="C141" t="inlineStr">
        <is>
          <t>J-361715</t>
        </is>
      </c>
      <c r="D141" t="inlineStr">
        <is>
          <t>Daily Deposit</t>
        </is>
      </c>
      <c r="E141" t="inlineStr">
        <is>
          <t>04/02/2026 Daily Deposit</t>
        </is>
      </c>
      <c r="F141" t="inlineStr">
        <is>
          <t>RP : CC Deposit 04/02/2026</t>
        </is>
      </c>
      <c r="G141" s="5" t="n">
        <v>1850</v>
      </c>
      <c r="I141" s="5" t="n">
        <v>341743.25</v>
      </c>
      <c r="J141" s="4" t="n">
        <v>46135</v>
      </c>
      <c r="K141" t="n">
        <v>2</v>
      </c>
    </row>
    <row r="142">
      <c r="A142" t="inlineStr">
        <is>
          <t>Bay City</t>
        </is>
      </c>
      <c r="B142" s="4" t="n">
        <v>46115</v>
      </c>
      <c r="C142" t="inlineStr">
        <is>
          <t>K-546654</t>
        </is>
      </c>
      <c r="D142" t="inlineStr">
        <is>
          <t>1805</t>
        </is>
      </c>
      <c r="E142" t="inlineStr">
        <is>
          <t>Sussex County (v0007778)</t>
        </is>
      </c>
      <c r="F142" t="inlineStr">
        <is>
          <t>04/01/2026-06/30/2026-Sewer-08-02-034-162A-Sewer 2-Bay City Lot 162a</t>
        </is>
      </c>
      <c r="H142" s="5" t="n">
        <v>88</v>
      </c>
      <c r="I142" s="5" t="n">
        <v>341655.25</v>
      </c>
      <c r="J142" s="4" t="n">
        <v>46127</v>
      </c>
      <c r="K142" t="n">
        <v>-2</v>
      </c>
    </row>
    <row r="143">
      <c r="A143" t="inlineStr">
        <is>
          <t>Bay City</t>
        </is>
      </c>
      <c r="B143" s="4" t="n">
        <v>46115</v>
      </c>
      <c r="C143" t="inlineStr">
        <is>
          <t>K-546654</t>
        </is>
      </c>
      <c r="D143" t="inlineStr">
        <is>
          <t>1805</t>
        </is>
      </c>
      <c r="E143" t="inlineStr">
        <is>
          <t>Sussex County (v0007778)</t>
        </is>
      </c>
      <c r="F143" t="inlineStr">
        <is>
          <t>04/01/2026-06/30/2026-Sewer-08-02-034-182-Sewer 1-Bay City Lot 182</t>
        </is>
      </c>
      <c r="H143" s="5" t="n">
        <v>88</v>
      </c>
      <c r="I143" s="5" t="n">
        <v>341567.25</v>
      </c>
      <c r="J143" s="4" t="n">
        <v>46127</v>
      </c>
      <c r="K143" t="n">
        <v>-2</v>
      </c>
    </row>
    <row r="144">
      <c r="A144" t="inlineStr">
        <is>
          <t>Bay City</t>
        </is>
      </c>
      <c r="B144" s="4" t="n">
        <v>46115</v>
      </c>
      <c r="C144" t="inlineStr">
        <is>
          <t>K-546654</t>
        </is>
      </c>
      <c r="D144" t="inlineStr">
        <is>
          <t>1805</t>
        </is>
      </c>
      <c r="E144" t="inlineStr">
        <is>
          <t>Sussex County (v0007778)</t>
        </is>
      </c>
      <c r="F144" t="inlineStr">
        <is>
          <t>04/01/2026-06/30/2026-Sewer-08-02-034-161-Sewer 12-Bay City Lot 161</t>
        </is>
      </c>
      <c r="H144" s="5" t="n">
        <v>88</v>
      </c>
      <c r="I144" s="5" t="n">
        <v>341479.25</v>
      </c>
      <c r="J144" s="4" t="n">
        <v>46127</v>
      </c>
      <c r="K144" t="n">
        <v>-2</v>
      </c>
    </row>
    <row r="145">
      <c r="A145" t="inlineStr">
        <is>
          <t>Bay City</t>
        </is>
      </c>
      <c r="B145" s="4" t="n">
        <v>46115</v>
      </c>
      <c r="C145" t="inlineStr">
        <is>
          <t>K-546654</t>
        </is>
      </c>
      <c r="D145" t="inlineStr">
        <is>
          <t>1805</t>
        </is>
      </c>
      <c r="E145" t="inlineStr">
        <is>
          <t>Sussex County (v0007778)</t>
        </is>
      </c>
      <c r="F145" t="inlineStr">
        <is>
          <t>04/01/2026-06/30/2026-Sewer-08-02-034-29-Sewer 4-Bay City Lot 29</t>
        </is>
      </c>
      <c r="H145" s="5" t="n">
        <v>88</v>
      </c>
      <c r="I145" s="5" t="n">
        <v>341391.25</v>
      </c>
      <c r="J145" s="4" t="n">
        <v>46127</v>
      </c>
      <c r="K145" t="n">
        <v>-2</v>
      </c>
    </row>
    <row r="146">
      <c r="A146" t="inlineStr">
        <is>
          <t>Bay City</t>
        </is>
      </c>
      <c r="B146" s="4" t="n">
        <v>46115</v>
      </c>
      <c r="C146" t="inlineStr">
        <is>
          <t>K-546654</t>
        </is>
      </c>
      <c r="D146" t="inlineStr">
        <is>
          <t>1805</t>
        </is>
      </c>
      <c r="E146" t="inlineStr">
        <is>
          <t>Sussex County (v0007778)</t>
        </is>
      </c>
      <c r="F146" t="inlineStr">
        <is>
          <t>04/01/2026-06/30/2026-Sewer-08-02-034-44-Sewer 10-Bay City Lot 44</t>
        </is>
      </c>
      <c r="H146" s="5" t="n">
        <v>88</v>
      </c>
      <c r="I146" s="5" t="n">
        <v>341303.25</v>
      </c>
      <c r="J146" s="4" t="n">
        <v>46127</v>
      </c>
      <c r="K146" t="n">
        <v>-2</v>
      </c>
    </row>
    <row r="147">
      <c r="A147" t="inlineStr">
        <is>
          <t>Bay City</t>
        </is>
      </c>
      <c r="B147" s="4" t="n">
        <v>46115</v>
      </c>
      <c r="C147" t="inlineStr">
        <is>
          <t>K-546654</t>
        </is>
      </c>
      <c r="D147" t="inlineStr">
        <is>
          <t>1805</t>
        </is>
      </c>
      <c r="E147" t="inlineStr">
        <is>
          <t>Sussex County (v0007778)</t>
        </is>
      </c>
      <c r="F147" t="inlineStr">
        <is>
          <t>04/01/2026-06/30/2026-Sewer-08-02-034-D20-Sewer 8-Bay City Lot d20</t>
        </is>
      </c>
      <c r="H147" s="5" t="n">
        <v>88</v>
      </c>
      <c r="I147" s="5" t="n">
        <v>341215.25</v>
      </c>
      <c r="J147" s="4" t="n">
        <v>46127</v>
      </c>
      <c r="K147" t="n">
        <v>-2</v>
      </c>
    </row>
    <row r="148">
      <c r="A148" t="inlineStr">
        <is>
          <t>Bay City</t>
        </is>
      </c>
      <c r="B148" s="4" t="n">
        <v>46115</v>
      </c>
      <c r="C148" t="inlineStr">
        <is>
          <t>K-546654</t>
        </is>
      </c>
      <c r="D148" t="inlineStr">
        <is>
          <t>1805</t>
        </is>
      </c>
      <c r="E148" t="inlineStr">
        <is>
          <t>Sussex County (v0007778)</t>
        </is>
      </c>
      <c r="F148" t="inlineStr">
        <is>
          <t>04/01/2026-06/30/2026-Sewer-08-02-034-28-Sewer 5-Bay City Lot 28</t>
        </is>
      </c>
      <c r="H148" s="5" t="n">
        <v>88</v>
      </c>
      <c r="I148" s="5" t="n">
        <v>341127.25</v>
      </c>
      <c r="J148" s="4" t="n">
        <v>46127</v>
      </c>
      <c r="K148" t="n">
        <v>-2</v>
      </c>
    </row>
    <row r="149">
      <c r="A149" t="inlineStr">
        <is>
          <t>Bay City</t>
        </is>
      </c>
      <c r="B149" s="4" t="n">
        <v>46115</v>
      </c>
      <c r="C149" t="inlineStr">
        <is>
          <t>K-546654</t>
        </is>
      </c>
      <c r="D149" t="inlineStr">
        <is>
          <t>1805</t>
        </is>
      </c>
      <c r="E149" t="inlineStr">
        <is>
          <t>Sussex County (v0007778)</t>
        </is>
      </c>
      <c r="F149" t="inlineStr">
        <is>
          <t>04/01/2026-06/30/2026-Sewer-08-02-034-217-Sewer 9-Bay City Lot 217</t>
        </is>
      </c>
      <c r="H149" s="5" t="n">
        <v>88</v>
      </c>
      <c r="I149" s="5" t="n">
        <v>341039.25</v>
      </c>
      <c r="J149" s="4" t="n">
        <v>46127</v>
      </c>
      <c r="K149" t="n">
        <v>-2</v>
      </c>
    </row>
    <row r="150">
      <c r="A150" t="inlineStr">
        <is>
          <t>Bay City</t>
        </is>
      </c>
      <c r="B150" s="4" t="n">
        <v>46115</v>
      </c>
      <c r="C150" t="inlineStr">
        <is>
          <t>K-546654</t>
        </is>
      </c>
      <c r="D150" t="inlineStr">
        <is>
          <t>1805</t>
        </is>
      </c>
      <c r="E150" t="inlineStr">
        <is>
          <t>Sussex County (v0007778)</t>
        </is>
      </c>
      <c r="F150" t="inlineStr">
        <is>
          <t>04/01/2026-06/30/2026-Sewer-08-02-034-25-Sewer 7-Bay City Lot 25</t>
        </is>
      </c>
      <c r="H150" s="5" t="n">
        <v>88</v>
      </c>
      <c r="I150" s="5" t="n">
        <v>340951.25</v>
      </c>
      <c r="J150" s="4" t="n">
        <v>46127</v>
      </c>
      <c r="K150" t="n">
        <v>-2</v>
      </c>
    </row>
    <row r="151">
      <c r="A151" t="inlineStr">
        <is>
          <t>Bay City</t>
        </is>
      </c>
      <c r="B151" s="4" t="n">
        <v>46115</v>
      </c>
      <c r="C151" t="inlineStr">
        <is>
          <t>K-546654</t>
        </is>
      </c>
      <c r="D151" t="inlineStr">
        <is>
          <t>1805</t>
        </is>
      </c>
      <c r="E151" t="inlineStr">
        <is>
          <t>Sussex County (v0007778)</t>
        </is>
      </c>
      <c r="F151" t="inlineStr">
        <is>
          <t>04/01/2026-06/30/2026-Sewer-08-02-034-152-SEWER 1-BAY CITY LOT 152</t>
        </is>
      </c>
      <c r="H151" s="5" t="n">
        <v>88</v>
      </c>
      <c r="I151" s="5" t="n">
        <v>340863.25</v>
      </c>
      <c r="J151" s="4" t="n">
        <v>46127</v>
      </c>
      <c r="K151" t="n">
        <v>-2</v>
      </c>
    </row>
    <row r="152">
      <c r="A152" t="inlineStr">
        <is>
          <t>Bay City</t>
        </is>
      </c>
      <c r="B152" s="4" t="n">
        <v>46115</v>
      </c>
      <c r="C152" t="inlineStr">
        <is>
          <t>K-546849</t>
        </is>
      </c>
      <c r="D152" t="inlineStr">
        <is>
          <t>22671</t>
        </is>
      </c>
      <c r="E152" t="inlineStr">
        <is>
          <t>Lakeshore Management Inc (v0000666)</t>
        </is>
      </c>
      <c r="F152" t="inlineStr">
        <is>
          <t>PB FOR RESULT TECH INV # 2507</t>
        </is>
      </c>
      <c r="H152" s="5" t="n">
        <v>27.48</v>
      </c>
      <c r="I152" s="5" t="n">
        <v>340835.77</v>
      </c>
      <c r="J152" s="4" t="n">
        <v>46118</v>
      </c>
      <c r="K152" t="n">
        <v>-2</v>
      </c>
    </row>
    <row r="153">
      <c r="A153" t="inlineStr">
        <is>
          <t>Bay City</t>
        </is>
      </c>
      <c r="B153" s="4" t="n">
        <v>46115</v>
      </c>
      <c r="C153" t="inlineStr">
        <is>
          <t>J-363825</t>
        </is>
      </c>
      <c r="D153" t="inlineStr">
        <is>
          <t>Daily Deposit</t>
        </is>
      </c>
      <c r="E153" t="inlineStr">
        <is>
          <t>04/03/2026 Daily Deposit</t>
        </is>
      </c>
      <c r="F153" t="inlineStr">
        <is>
          <t>CKS 04/03/2026 Batch 4252d405-9d74-4c80-9314-66654f29619f</t>
        </is>
      </c>
      <c r="G153" s="5" t="n">
        <v>1926</v>
      </c>
      <c r="I153" s="5" t="n">
        <v>342761.77</v>
      </c>
      <c r="J153" s="4" t="n">
        <v>46118</v>
      </c>
      <c r="K153" t="n">
        <v>2</v>
      </c>
    </row>
    <row r="154">
      <c r="A154" t="inlineStr">
        <is>
          <t>Bay City</t>
        </is>
      </c>
      <c r="B154" s="4" t="n">
        <v>46115</v>
      </c>
      <c r="C154" t="inlineStr">
        <is>
          <t>J-363825</t>
        </is>
      </c>
      <c r="D154" t="inlineStr">
        <is>
          <t>Daily Deposit</t>
        </is>
      </c>
      <c r="E154" t="inlineStr">
        <is>
          <t>04/03/2026 Daily Deposit</t>
        </is>
      </c>
      <c r="F154" t="inlineStr">
        <is>
          <t>CKS 04/03/2026 Batch 8c603b90-61f1-4c7d-aeef-e349c3affbca</t>
        </is>
      </c>
      <c r="G154" s="5" t="n">
        <v>3780</v>
      </c>
      <c r="I154" s="5" t="n">
        <v>346541.77</v>
      </c>
      <c r="J154" s="4" t="n">
        <v>46118</v>
      </c>
      <c r="K154" t="n">
        <v>2</v>
      </c>
    </row>
    <row r="155">
      <c r="A155" t="inlineStr">
        <is>
          <t>Bay City</t>
        </is>
      </c>
      <c r="B155" s="4" t="n">
        <v>46115</v>
      </c>
      <c r="C155" t="inlineStr">
        <is>
          <t>J-363825</t>
        </is>
      </c>
      <c r="D155" t="inlineStr">
        <is>
          <t>Daily Deposit</t>
        </is>
      </c>
      <c r="E155" t="inlineStr">
        <is>
          <t>04/03/2026 Daily Deposit</t>
        </is>
      </c>
      <c r="F155" t="inlineStr">
        <is>
          <t>CKS 04/03/2026 Batch f73eccfe-fe3b-4c5c-b54d-c2aad4ef9a75</t>
        </is>
      </c>
      <c r="G155" s="5" t="n">
        <v>7911.51</v>
      </c>
      <c r="I155" s="5" t="n">
        <v>354453.28</v>
      </c>
      <c r="J155" s="4" t="n">
        <v>46118</v>
      </c>
      <c r="K155" t="n">
        <v>2</v>
      </c>
    </row>
    <row r="156">
      <c r="A156" t="inlineStr">
        <is>
          <t>Bay City</t>
        </is>
      </c>
      <c r="B156" s="4" t="n">
        <v>46115</v>
      </c>
      <c r="C156" t="inlineStr">
        <is>
          <t>J-363825</t>
        </is>
      </c>
      <c r="D156" t="inlineStr">
        <is>
          <t>Daily Deposit</t>
        </is>
      </c>
      <c r="E156" t="inlineStr">
        <is>
          <t>04/03/2026 Daily Deposit</t>
        </is>
      </c>
      <c r="F156" t="inlineStr">
        <is>
          <t>RP : ACH Deposit 04/02/2026</t>
        </is>
      </c>
      <c r="G156" s="5" t="n">
        <v>4989.2</v>
      </c>
      <c r="I156" s="5" t="n">
        <v>359442.48</v>
      </c>
      <c r="J156" s="4" t="n">
        <v>46115</v>
      </c>
      <c r="K156" t="n">
        <v>2</v>
      </c>
    </row>
    <row r="157">
      <c r="A157" t="inlineStr">
        <is>
          <t>Bay City</t>
        </is>
      </c>
      <c r="B157" s="4" t="n">
        <v>46117</v>
      </c>
      <c r="C157" t="inlineStr">
        <is>
          <t>J-363828</t>
        </is>
      </c>
      <c r="D157" t="inlineStr">
        <is>
          <t>Daily Deposit</t>
        </is>
      </c>
      <c r="E157" t="inlineStr">
        <is>
          <t>04/05/2026 Daily Deposit</t>
        </is>
      </c>
      <c r="F157" t="inlineStr">
        <is>
          <t>EFT Deposit 04/05/2026</t>
        </is>
      </c>
      <c r="G157" s="5" t="n">
        <v>20872.65</v>
      </c>
      <c r="I157" s="5" t="n">
        <v>380315.13</v>
      </c>
      <c r="J157" s="4" t="n">
        <v>46119</v>
      </c>
      <c r="K157" t="n">
        <v>2</v>
      </c>
    </row>
    <row r="158">
      <c r="A158" t="inlineStr">
        <is>
          <t>Bay City</t>
        </is>
      </c>
      <c r="B158" s="4" t="n">
        <v>46118</v>
      </c>
      <c r="C158" t="inlineStr">
        <is>
          <t>K-547068</t>
        </is>
      </c>
      <c r="D158" t="inlineStr">
        <is>
          <t>1806</t>
        </is>
      </c>
      <c r="E158" t="inlineStr">
        <is>
          <t>Blue Hen Dispose all Inc (v0007697)</t>
        </is>
      </c>
      <c r="F158" t="inlineStr">
        <is>
          <t>03/01/2026-03/31/2026-Trash-12760-TRASH 1-34677 LONG NECK RD</t>
        </is>
      </c>
      <c r="H158" s="5" t="n">
        <v>5395</v>
      </c>
      <c r="I158" s="5" t="n">
        <v>374920.13</v>
      </c>
      <c r="J158" s="4" t="n">
        <v>46125</v>
      </c>
      <c r="K158" t="n">
        <v>-2</v>
      </c>
    </row>
    <row r="159">
      <c r="A159" t="inlineStr">
        <is>
          <t>Bay City</t>
        </is>
      </c>
      <c r="B159" s="4" t="n">
        <v>46118</v>
      </c>
      <c r="C159" t="inlineStr">
        <is>
          <t>K-547069</t>
        </is>
      </c>
      <c r="D159" t="inlineStr">
        <is>
          <t>1807</t>
        </is>
      </c>
      <c r="E159" t="inlineStr">
        <is>
          <t>Long Neck Water Company, LLC (v0007698)</t>
        </is>
      </c>
      <c r="F159" t="inlineStr">
        <is>
          <t>02/26/2026-03/26/2026-Water-003998-L3998-BC BAYVIEW DR LAGOON</t>
        </is>
      </c>
      <c r="H159" s="5" t="n">
        <v>13.5</v>
      </c>
      <c r="I159" s="5" t="n">
        <v>374906.63</v>
      </c>
      <c r="J159" s="4" t="n">
        <v>46125</v>
      </c>
      <c r="K159" t="n">
        <v>-2</v>
      </c>
    </row>
    <row r="160">
      <c r="A160" t="inlineStr">
        <is>
          <t>Bay City</t>
        </is>
      </c>
      <c r="B160" s="4" t="n">
        <v>46118</v>
      </c>
      <c r="C160" t="inlineStr">
        <is>
          <t>K-547070</t>
        </is>
      </c>
      <c r="D160" t="inlineStr">
        <is>
          <t>1808</t>
        </is>
      </c>
      <c r="E160" t="inlineStr">
        <is>
          <t>Sussex County (v0007778)</t>
        </is>
      </c>
      <c r="F160" t="inlineStr">
        <is>
          <t>04/01/2026-06/30/2026-Sewer-08-02-034-130-Sewer 11-Bay City Lot 130</t>
        </is>
      </c>
      <c r="H160" s="5" t="n">
        <v>88</v>
      </c>
      <c r="I160" s="5" t="n">
        <v>374818.63</v>
      </c>
      <c r="J160" s="4" t="n">
        <v>46129</v>
      </c>
      <c r="K160" t="n">
        <v>-2</v>
      </c>
    </row>
    <row r="161">
      <c r="A161" t="inlineStr">
        <is>
          <t>Bay City</t>
        </is>
      </c>
      <c r="B161" s="4" t="n">
        <v>46118</v>
      </c>
      <c r="C161" t="inlineStr">
        <is>
          <t>K-547070</t>
        </is>
      </c>
      <c r="D161" t="inlineStr">
        <is>
          <t>1808</t>
        </is>
      </c>
      <c r="E161" t="inlineStr">
        <is>
          <t>Sussex County (v0007778)</t>
        </is>
      </c>
      <c r="F161" t="inlineStr">
        <is>
          <t>04/01/2026-06/30/2026-Sewer-08-02-034-223-Sewer 3-Bay City Lot 223</t>
        </is>
      </c>
      <c r="H161" s="5" t="n">
        <v>88</v>
      </c>
      <c r="I161" s="5" t="n">
        <v>374730.63</v>
      </c>
      <c r="J161" s="4" t="n">
        <v>46129</v>
      </c>
      <c r="K161" t="n">
        <v>-2</v>
      </c>
    </row>
    <row r="162">
      <c r="A162" t="inlineStr">
        <is>
          <t>Bay City</t>
        </is>
      </c>
      <c r="B162" s="4" t="n">
        <v>46118</v>
      </c>
      <c r="C162" t="inlineStr">
        <is>
          <t>K-547070</t>
        </is>
      </c>
      <c r="D162" t="inlineStr">
        <is>
          <t>1808</t>
        </is>
      </c>
      <c r="E162" t="inlineStr">
        <is>
          <t>Sussex County (v0007778)</t>
        </is>
      </c>
      <c r="F162" t="inlineStr">
        <is>
          <t>04/01/2026-06/30/2026-Sewer-08-02-034-104-Sewer 15-Bay City Lot 104</t>
        </is>
      </c>
      <c r="H162" s="5" t="n">
        <v>88</v>
      </c>
      <c r="I162" s="5" t="n">
        <v>374642.63</v>
      </c>
      <c r="J162" s="4" t="n">
        <v>46129</v>
      </c>
      <c r="K162" t="n">
        <v>-2</v>
      </c>
    </row>
    <row r="163">
      <c r="A163" t="inlineStr">
        <is>
          <t>Bay City</t>
        </is>
      </c>
      <c r="B163" s="4" t="n">
        <v>46118</v>
      </c>
      <c r="C163" t="inlineStr">
        <is>
          <t>K-547070</t>
        </is>
      </c>
      <c r="D163" t="inlineStr">
        <is>
          <t>1808</t>
        </is>
      </c>
      <c r="E163" t="inlineStr">
        <is>
          <t>Sussex County (v0007778)</t>
        </is>
      </c>
      <c r="F163" t="inlineStr">
        <is>
          <t>04/01/2026-06/30/2026-Sewer-08-02-034-246-Sewer 13-Bay City Lot 246</t>
        </is>
      </c>
      <c r="H163" s="5" t="n">
        <v>88</v>
      </c>
      <c r="I163" s="5" t="n">
        <v>374554.63</v>
      </c>
      <c r="J163" s="4" t="n">
        <v>46129</v>
      </c>
      <c r="K163" t="n">
        <v>-2</v>
      </c>
    </row>
    <row r="164">
      <c r="A164" t="inlineStr">
        <is>
          <t>Bay City</t>
        </is>
      </c>
      <c r="B164" s="4" t="n">
        <v>46118</v>
      </c>
      <c r="C164" t="inlineStr">
        <is>
          <t>K-547070</t>
        </is>
      </c>
      <c r="D164" t="inlineStr">
        <is>
          <t>1808</t>
        </is>
      </c>
      <c r="E164" t="inlineStr">
        <is>
          <t>Sussex County (v0007778)</t>
        </is>
      </c>
      <c r="F164" t="inlineStr">
        <is>
          <t>04/01/2026-06/30/2026-Sewer-08-02-034-144C-SEWER 144-35587 BAYVIEW DRIVE BAY CITY LOT 144C</t>
        </is>
      </c>
      <c r="H164" s="5" t="n">
        <v>88</v>
      </c>
      <c r="I164" s="5" t="n">
        <v>374466.63</v>
      </c>
      <c r="J164" s="4" t="n">
        <v>46129</v>
      </c>
      <c r="K164" t="n">
        <v>-2</v>
      </c>
    </row>
    <row r="165">
      <c r="A165" t="inlineStr">
        <is>
          <t>Bay City</t>
        </is>
      </c>
      <c r="B165" s="4" t="n">
        <v>46118</v>
      </c>
      <c r="C165" t="inlineStr">
        <is>
          <t>K-547070</t>
        </is>
      </c>
      <c r="D165" t="inlineStr">
        <is>
          <t>1808</t>
        </is>
      </c>
      <c r="E165" t="inlineStr">
        <is>
          <t>Sussex County (v0007778)</t>
        </is>
      </c>
      <c r="F165" t="inlineStr">
        <is>
          <t>04/01/2026-06/30/2026-Sewer-08-02-034-102-Sewer 14-Bay City Lot 102</t>
        </is>
      </c>
      <c r="H165" s="5" t="n">
        <v>88</v>
      </c>
      <c r="I165" s="5" t="n">
        <v>374378.63</v>
      </c>
      <c r="J165" s="4" t="n">
        <v>46129</v>
      </c>
      <c r="K165" t="n">
        <v>-2</v>
      </c>
    </row>
    <row r="166">
      <c r="A166" t="inlineStr">
        <is>
          <t>Bay City</t>
        </is>
      </c>
      <c r="B166" s="4" t="n">
        <v>46118</v>
      </c>
      <c r="C166" t="inlineStr">
        <is>
          <t>K-547070</t>
        </is>
      </c>
      <c r="D166" t="inlineStr">
        <is>
          <t>1808</t>
        </is>
      </c>
      <c r="E166" t="inlineStr">
        <is>
          <t>Sussex County (v0007778)</t>
        </is>
      </c>
      <c r="F166" t="inlineStr">
        <is>
          <t>04/01/2026-06/30/2026-Sewer-08-02-034-159-Sewer 159-Bay City LOT 159</t>
        </is>
      </c>
      <c r="H166" s="5" t="n">
        <v>88</v>
      </c>
      <c r="I166" s="5" t="n">
        <v>374290.63</v>
      </c>
      <c r="J166" s="4" t="n">
        <v>46129</v>
      </c>
      <c r="K166" t="n">
        <v>-2</v>
      </c>
    </row>
    <row r="167">
      <c r="A167" t="inlineStr">
        <is>
          <t>Bay City</t>
        </is>
      </c>
      <c r="B167" s="4" t="n">
        <v>46118</v>
      </c>
      <c r="C167" t="inlineStr">
        <is>
          <t>K-547070</t>
        </is>
      </c>
      <c r="D167" t="inlineStr">
        <is>
          <t>1808</t>
        </is>
      </c>
      <c r="E167" t="inlineStr">
        <is>
          <t>Sussex County (v0007778)</t>
        </is>
      </c>
      <c r="F167" t="inlineStr">
        <is>
          <t>04/01/2026-06/30/2026-Sewer-08-02-034-178-Sewer 6-Bay City Lot 178</t>
        </is>
      </c>
      <c r="H167" s="5" t="n">
        <v>88</v>
      </c>
      <c r="I167" s="5" t="n">
        <v>374202.63</v>
      </c>
      <c r="J167" s="4" t="n">
        <v>46129</v>
      </c>
      <c r="K167" t="n">
        <v>-2</v>
      </c>
    </row>
    <row r="168">
      <c r="A168" t="inlineStr">
        <is>
          <t>Bay City</t>
        </is>
      </c>
      <c r="B168" s="4" t="n">
        <v>46118</v>
      </c>
      <c r="C168" t="inlineStr">
        <is>
          <t>K-547070</t>
        </is>
      </c>
      <c r="D168" t="inlineStr">
        <is>
          <t>1808</t>
        </is>
      </c>
      <c r="E168" t="inlineStr">
        <is>
          <t>Sussex County (v0007778)</t>
        </is>
      </c>
      <c r="F168" t="inlineStr">
        <is>
          <t>04/01/2026-06/30/2026-Sewer-08-02-034-D23-SEWER 23-35380 FIFTH ST BAY CITY LOT D23</t>
        </is>
      </c>
      <c r="H168" s="5" t="n">
        <v>88</v>
      </c>
      <c r="I168" s="5" t="n">
        <v>374114.63</v>
      </c>
      <c r="J168" s="4" t="n">
        <v>46129</v>
      </c>
      <c r="K168" t="n">
        <v>-2</v>
      </c>
    </row>
    <row r="169">
      <c r="A169" t="inlineStr">
        <is>
          <t>Bay City</t>
        </is>
      </c>
      <c r="B169" s="4" t="n">
        <v>46118</v>
      </c>
      <c r="C169" t="inlineStr">
        <is>
          <t>K-547070</t>
        </is>
      </c>
      <c r="D169" t="inlineStr">
        <is>
          <t>1808</t>
        </is>
      </c>
      <c r="E169" t="inlineStr">
        <is>
          <t>Sussex County (v0007778)</t>
        </is>
      </c>
      <c r="F169" t="inlineStr">
        <is>
          <t>04/01/2026-06/30/2026-Sewer-08-02-034-E4-SEWER 34-35233 FIFTH ST BAY CITY LOT E4</t>
        </is>
      </c>
      <c r="H169" s="5" t="n">
        <v>88</v>
      </c>
      <c r="I169" s="5" t="n">
        <v>374026.63</v>
      </c>
      <c r="J169" s="4" t="n">
        <v>46129</v>
      </c>
      <c r="K169" t="n">
        <v>-2</v>
      </c>
    </row>
    <row r="170">
      <c r="A170" t="inlineStr">
        <is>
          <t>Bay City</t>
        </is>
      </c>
      <c r="B170" s="4" t="n">
        <v>46118</v>
      </c>
      <c r="C170" t="inlineStr">
        <is>
          <t>K-547235</t>
        </is>
      </c>
      <c r="D170" t="inlineStr">
        <is>
          <t>22672</t>
        </is>
      </c>
      <c r="E170" t="inlineStr">
        <is>
          <t>Lakeshore Management Inc (v0000666)</t>
        </is>
      </c>
      <c r="F170" t="inlineStr">
        <is>
          <t>T-Mobile Invoices Through 3.31.26</t>
        </is>
      </c>
      <c r="H170" s="5" t="n">
        <v>142.46</v>
      </c>
      <c r="I170" s="5" t="n">
        <v>373884.17</v>
      </c>
      <c r="J170" s="4" t="n">
        <v>46119</v>
      </c>
      <c r="K170" t="n">
        <v>-2</v>
      </c>
    </row>
    <row r="171">
      <c r="A171" t="inlineStr">
        <is>
          <t>Bay City</t>
        </is>
      </c>
      <c r="B171" s="4" t="n">
        <v>46118</v>
      </c>
      <c r="C171" t="inlineStr">
        <is>
          <t>K-547351</t>
        </is>
      </c>
      <c r="D171" t="inlineStr">
        <is>
          <t>22673</t>
        </is>
      </c>
      <c r="E171" t="inlineStr">
        <is>
          <t>Lakeshore Management Inc (v0000666)</t>
        </is>
      </c>
      <c r="F171" t="inlineStr">
        <is>
          <t>PB FOR ORIGEN FINANCIAL SERVICES INV # 03-26 LAKE</t>
        </is>
      </c>
      <c r="H171" s="5" t="n">
        <v>275.79</v>
      </c>
      <c r="I171" s="5" t="n">
        <v>373608.38</v>
      </c>
      <c r="J171" s="4" t="n">
        <v>46119</v>
      </c>
      <c r="K171" t="n">
        <v>-2</v>
      </c>
    </row>
    <row r="172">
      <c r="A172" t="inlineStr">
        <is>
          <t>Bay City</t>
        </is>
      </c>
      <c r="B172" s="4" t="n">
        <v>46118</v>
      </c>
      <c r="C172" t="inlineStr">
        <is>
          <t>K-547477</t>
        </is>
      </c>
      <c r="D172" t="inlineStr">
        <is>
          <t>22674</t>
        </is>
      </c>
      <c r="E172" t="inlineStr">
        <is>
          <t>Lakeshore Management Inc (v0000666)</t>
        </is>
      </c>
      <c r="F172" t="inlineStr">
        <is>
          <t>PB YARDI INVOICE # 5208130 MAY 2026</t>
        </is>
      </c>
      <c r="H172" s="5" t="n">
        <v>119.95</v>
      </c>
      <c r="I172" s="5" t="n">
        <v>373488.43</v>
      </c>
      <c r="J172" s="4" t="n">
        <v>46119</v>
      </c>
      <c r="K172" t="n">
        <v>-2</v>
      </c>
    </row>
    <row r="173">
      <c r="A173" t="inlineStr">
        <is>
          <t>Bay City</t>
        </is>
      </c>
      <c r="B173" s="4" t="n">
        <v>46118</v>
      </c>
      <c r="C173" t="inlineStr">
        <is>
          <t>K-547506</t>
        </is>
      </c>
      <c r="D173" t="inlineStr">
        <is>
          <t>22675</t>
        </is>
      </c>
      <c r="E173" t="inlineStr">
        <is>
          <t>Eco Care Landscaping (v0011545)</t>
        </is>
      </c>
      <c r="F173" t="inlineStr">
        <is>
          <t>CX-LOT# 246 CONCRETE DRIVEWAY AND GRADING</t>
        </is>
      </c>
      <c r="H173" s="5" t="n">
        <v>5000</v>
      </c>
      <c r="I173" s="5" t="n">
        <v>368488.43</v>
      </c>
      <c r="J173" s="4" t="n">
        <v>46120</v>
      </c>
      <c r="K173" t="n">
        <v>-2</v>
      </c>
    </row>
    <row r="174">
      <c r="A174" t="inlineStr">
        <is>
          <t>Bay City</t>
        </is>
      </c>
      <c r="B174" s="4" t="n">
        <v>46118</v>
      </c>
      <c r="C174" t="inlineStr">
        <is>
          <t>J-363946</t>
        </is>
      </c>
      <c r="D174" t="inlineStr">
        <is>
          <t>Daily Deposit</t>
        </is>
      </c>
      <c r="E174" t="inlineStr">
        <is>
          <t>04/06/2026 Daily Deposit</t>
        </is>
      </c>
      <c r="F174" t="inlineStr">
        <is>
          <t>CKS 04/06/2026 Batch 03e993b8-edbf-4ef3-b9e9-978dc2058088</t>
        </is>
      </c>
      <c r="G174" s="5" t="n">
        <v>11302.82</v>
      </c>
      <c r="I174" s="5" t="n">
        <v>379791.25</v>
      </c>
      <c r="J174" s="4" t="n">
        <v>46119</v>
      </c>
      <c r="K174" t="n">
        <v>2</v>
      </c>
    </row>
    <row r="175">
      <c r="A175" t="inlineStr">
        <is>
          <t>Bay City</t>
        </is>
      </c>
      <c r="B175" s="4" t="n">
        <v>46118</v>
      </c>
      <c r="C175" t="inlineStr">
        <is>
          <t>J-363946</t>
        </is>
      </c>
      <c r="D175" t="inlineStr">
        <is>
          <t>Daily Deposit</t>
        </is>
      </c>
      <c r="E175" t="inlineStr">
        <is>
          <t>04/06/2026 Daily Deposit</t>
        </is>
      </c>
      <c r="F175" t="inlineStr">
        <is>
          <t>CKS 04/06/2026 Batch c9d31c52-d090-41f8-b6db-6d5cdf374347</t>
        </is>
      </c>
      <c r="G175" s="5" t="n">
        <v>14041.76</v>
      </c>
      <c r="I175" s="5" t="n">
        <v>393833.01</v>
      </c>
      <c r="J175" s="4" t="n">
        <v>46119</v>
      </c>
      <c r="K175" t="n">
        <v>2</v>
      </c>
    </row>
    <row r="176">
      <c r="A176" t="inlineStr">
        <is>
          <t>Bay City</t>
        </is>
      </c>
      <c r="B176" s="4" t="n">
        <v>46118</v>
      </c>
      <c r="C176" t="inlineStr">
        <is>
          <t>J-363946</t>
        </is>
      </c>
      <c r="D176" t="inlineStr">
        <is>
          <t>Daily Deposit</t>
        </is>
      </c>
      <c r="E176" t="inlineStr">
        <is>
          <t>04/06/2026 Daily Deposit</t>
        </is>
      </c>
      <c r="F176" t="inlineStr">
        <is>
          <t>RP : ACH Deposit 04/02/2026</t>
        </is>
      </c>
      <c r="G176" s="5" t="n">
        <v>837.28</v>
      </c>
      <c r="I176" s="5" t="n">
        <v>394670.29</v>
      </c>
      <c r="J176" s="4" t="n">
        <v>46118</v>
      </c>
      <c r="K176" t="n">
        <v>2</v>
      </c>
    </row>
    <row r="177">
      <c r="A177" t="inlineStr">
        <is>
          <t>Bay City</t>
        </is>
      </c>
      <c r="B177" s="4" t="n">
        <v>46118</v>
      </c>
      <c r="C177" t="inlineStr">
        <is>
          <t>J-363946</t>
        </is>
      </c>
      <c r="D177" t="inlineStr">
        <is>
          <t>Daily Deposit</t>
        </is>
      </c>
      <c r="E177" t="inlineStr">
        <is>
          <t>04/06/2026 Daily Deposit</t>
        </is>
      </c>
      <c r="F177" t="inlineStr">
        <is>
          <t>RP : ACH Deposit 04/03/2026</t>
        </is>
      </c>
      <c r="G177" s="5" t="n">
        <v>2210.69</v>
      </c>
      <c r="I177" s="5" t="n">
        <v>396880.98</v>
      </c>
      <c r="J177" s="4" t="n">
        <v>46118</v>
      </c>
      <c r="K177" t="n">
        <v>2</v>
      </c>
    </row>
    <row r="178">
      <c r="A178" t="inlineStr">
        <is>
          <t>Bay City</t>
        </is>
      </c>
      <c r="B178" s="4" t="n">
        <v>46118</v>
      </c>
      <c r="C178" t="inlineStr">
        <is>
          <t>J-363946</t>
        </is>
      </c>
      <c r="D178" t="inlineStr">
        <is>
          <t>Daily Deposit</t>
        </is>
      </c>
      <c r="E178" t="inlineStr">
        <is>
          <t>04/06/2026 Daily Deposit</t>
        </is>
      </c>
      <c r="F178" t="inlineStr">
        <is>
          <t>RP : CC Deposit 04/06/2026</t>
        </is>
      </c>
      <c r="G178" s="5" t="n">
        <v>906.25</v>
      </c>
      <c r="I178" s="5" t="n">
        <v>397787.23</v>
      </c>
      <c r="J178" s="4" t="n">
        <v>46119</v>
      </c>
      <c r="K178" t="n">
        <v>2</v>
      </c>
    </row>
    <row r="179">
      <c r="A179" t="inlineStr">
        <is>
          <t>Bay City</t>
        </is>
      </c>
      <c r="B179" s="4" t="n">
        <v>46119</v>
      </c>
      <c r="C179" t="inlineStr">
        <is>
          <t>K-547661</t>
        </is>
      </c>
      <c r="D179" t="inlineStr">
        <is>
          <t>1809</t>
        </is>
      </c>
      <c r="E179" t="inlineStr">
        <is>
          <t>Sussex County (v0007778)</t>
        </is>
      </c>
      <c r="F179" t="inlineStr">
        <is>
          <t>04/01/2026-06/30/2026-Sewer-08-02-034-140-Sewer 140-25964 S Cedar St Bay City LOT 140</t>
        </is>
      </c>
      <c r="H179" s="5" t="n">
        <v>88</v>
      </c>
      <c r="I179" s="5" t="n">
        <v>397699.23</v>
      </c>
      <c r="J179" s="4" t="n">
        <v>46129</v>
      </c>
      <c r="K179" t="n">
        <v>-2</v>
      </c>
    </row>
    <row r="180">
      <c r="A180" t="inlineStr">
        <is>
          <t>Bay City</t>
        </is>
      </c>
      <c r="B180" s="4" t="n">
        <v>46119</v>
      </c>
      <c r="C180" t="inlineStr">
        <is>
          <t>K-547661</t>
        </is>
      </c>
      <c r="D180" t="inlineStr">
        <is>
          <t>1809</t>
        </is>
      </c>
      <c r="E180" t="inlineStr">
        <is>
          <t>Sussex County (v0007778)</t>
        </is>
      </c>
      <c r="F180" t="inlineStr">
        <is>
          <t>04/01/2026-06/30/2026-Sewer-08-02-034-E7-SEWER 16-35257 5TH ST BAY CITY LOT E7</t>
        </is>
      </c>
      <c r="H180" s="5" t="n">
        <v>88</v>
      </c>
      <c r="I180" s="5" t="n">
        <v>397611.23</v>
      </c>
      <c r="J180" s="4" t="n">
        <v>46129</v>
      </c>
      <c r="K180" t="n">
        <v>-2</v>
      </c>
    </row>
    <row r="181">
      <c r="A181" t="inlineStr">
        <is>
          <t>Bay City</t>
        </is>
      </c>
      <c r="B181" s="4" t="n">
        <v>46119</v>
      </c>
      <c r="C181" t="inlineStr">
        <is>
          <t>J-364162</t>
        </is>
      </c>
      <c r="D181" t="inlineStr">
        <is>
          <t>Daily Deposit</t>
        </is>
      </c>
      <c r="E181" t="inlineStr">
        <is>
          <t>04/07/2026 Daily Deposit</t>
        </is>
      </c>
      <c r="F181" t="inlineStr">
        <is>
          <t>CKS 04/07/2026 Batch 3bc77181-dcdd-4aea-9e9d-894c9b44e683</t>
        </is>
      </c>
      <c r="G181" s="5" t="n">
        <v>702.4</v>
      </c>
      <c r="I181" s="5" t="n">
        <v>398313.63</v>
      </c>
      <c r="J181" s="4" t="n">
        <v>46120</v>
      </c>
      <c r="K181" t="n">
        <v>2</v>
      </c>
    </row>
    <row r="182">
      <c r="A182" t="inlineStr">
        <is>
          <t>Bay City</t>
        </is>
      </c>
      <c r="B182" s="4" t="n">
        <v>46119</v>
      </c>
      <c r="C182" t="inlineStr">
        <is>
          <t>J-364162</t>
        </is>
      </c>
      <c r="D182" t="inlineStr">
        <is>
          <t>Daily Deposit</t>
        </is>
      </c>
      <c r="E182" t="inlineStr">
        <is>
          <t>04/07/2026 Daily Deposit</t>
        </is>
      </c>
      <c r="F182" t="inlineStr">
        <is>
          <t>CKS 04/07/2026 Batch 535b3e58-0500-4627-910a-779e03b98ea6</t>
        </is>
      </c>
      <c r="G182" s="5" t="n">
        <v>3665.65</v>
      </c>
      <c r="I182" s="5" t="n">
        <v>401979.28</v>
      </c>
      <c r="J182" s="4" t="n">
        <v>46120</v>
      </c>
      <c r="K182" t="n">
        <v>2</v>
      </c>
    </row>
    <row r="183">
      <c r="A183" t="inlineStr">
        <is>
          <t>Bay City</t>
        </is>
      </c>
      <c r="B183" s="4" t="n">
        <v>46119</v>
      </c>
      <c r="C183" t="inlineStr">
        <is>
          <t>J-364162</t>
        </is>
      </c>
      <c r="D183" t="inlineStr">
        <is>
          <t>Daily Deposit</t>
        </is>
      </c>
      <c r="E183" t="inlineStr">
        <is>
          <t>04/07/2026 Daily Deposit</t>
        </is>
      </c>
      <c r="F183" t="inlineStr">
        <is>
          <t>RP : ACH Deposit 04/03/2026</t>
        </is>
      </c>
      <c r="G183" s="5" t="n">
        <v>691.6</v>
      </c>
      <c r="I183" s="5" t="n">
        <v>402670.88</v>
      </c>
      <c r="J183" s="4" t="n">
        <v>46119</v>
      </c>
      <c r="K183" t="n">
        <v>2</v>
      </c>
    </row>
    <row r="184">
      <c r="A184" t="inlineStr">
        <is>
          <t>Bay City</t>
        </is>
      </c>
      <c r="B184" s="4" t="n">
        <v>46119</v>
      </c>
      <c r="C184" t="inlineStr">
        <is>
          <t>J-364162</t>
        </is>
      </c>
      <c r="D184" t="inlineStr">
        <is>
          <t>Daily Deposit</t>
        </is>
      </c>
      <c r="E184" t="inlineStr">
        <is>
          <t>04/07/2026 Daily Deposit</t>
        </is>
      </c>
      <c r="F184" t="inlineStr">
        <is>
          <t>RP : ACH Deposit 04/04/2026</t>
        </is>
      </c>
      <c r="G184" s="5" t="n">
        <v>2392.81</v>
      </c>
      <c r="I184" s="5" t="n">
        <v>405063.69</v>
      </c>
      <c r="J184" s="4" t="n">
        <v>46119</v>
      </c>
      <c r="K184" t="n">
        <v>2</v>
      </c>
    </row>
    <row r="185">
      <c r="A185" t="inlineStr">
        <is>
          <t>Bay City</t>
        </is>
      </c>
      <c r="B185" s="4" t="n">
        <v>46119</v>
      </c>
      <c r="C185" t="inlineStr">
        <is>
          <t>J-364162</t>
        </is>
      </c>
      <c r="D185" t="inlineStr">
        <is>
          <t>Daily Deposit</t>
        </is>
      </c>
      <c r="E185" t="inlineStr">
        <is>
          <t>04/07/2026 Daily Deposit</t>
        </is>
      </c>
      <c r="F185" t="inlineStr">
        <is>
          <t>RP : ACH Deposit 04/05/2026</t>
        </is>
      </c>
      <c r="G185" s="5" t="n">
        <v>33964.82</v>
      </c>
      <c r="I185" s="5" t="n">
        <v>439028.51</v>
      </c>
      <c r="J185" s="4" t="n">
        <v>46119</v>
      </c>
      <c r="K185" t="n">
        <v>2</v>
      </c>
    </row>
    <row r="186">
      <c r="A186" t="inlineStr">
        <is>
          <t>Bay City</t>
        </is>
      </c>
      <c r="B186" s="4" t="n">
        <v>46119</v>
      </c>
      <c r="C186" t="inlineStr">
        <is>
          <t>J-364162</t>
        </is>
      </c>
      <c r="D186" t="inlineStr">
        <is>
          <t>Daily Deposit</t>
        </is>
      </c>
      <c r="E186" t="inlineStr">
        <is>
          <t>04/07/2026 Daily Deposit</t>
        </is>
      </c>
      <c r="F186" t="inlineStr">
        <is>
          <t>RP : ACH Deposit 04/06/2026</t>
        </is>
      </c>
      <c r="G186" s="5" t="n">
        <v>4800.87</v>
      </c>
      <c r="I186" s="5" t="n">
        <v>443829.38</v>
      </c>
      <c r="J186" s="4" t="n">
        <v>46119</v>
      </c>
      <c r="K186" t="n">
        <v>2</v>
      </c>
    </row>
    <row r="187">
      <c r="A187" t="inlineStr">
        <is>
          <t>Bay City</t>
        </is>
      </c>
      <c r="B187" s="4" t="n">
        <v>46119</v>
      </c>
      <c r="C187" t="inlineStr">
        <is>
          <t>J-364162</t>
        </is>
      </c>
      <c r="D187" t="inlineStr">
        <is>
          <t>Daily Deposit</t>
        </is>
      </c>
      <c r="E187" t="inlineStr">
        <is>
          <t>04/07/2026 Daily Deposit</t>
        </is>
      </c>
      <c r="F187" t="inlineStr">
        <is>
          <t>RP : CC Deposit 04/07/2026</t>
        </is>
      </c>
      <c r="G187" s="5" t="n">
        <v>1850</v>
      </c>
      <c r="I187" s="5" t="n">
        <v>445679.38</v>
      </c>
      <c r="J187" s="4" t="n">
        <v>46125</v>
      </c>
      <c r="K187" t="n">
        <v>2</v>
      </c>
    </row>
    <row r="188">
      <c r="A188" t="inlineStr">
        <is>
          <t>Bay City</t>
        </is>
      </c>
      <c r="B188" s="4" t="n">
        <v>46120</v>
      </c>
      <c r="C188" t="inlineStr">
        <is>
          <t>K-548277</t>
        </is>
      </c>
      <c r="D188" t="inlineStr">
        <is>
          <t>22676</t>
        </is>
      </c>
      <c r="E188" t="inlineStr">
        <is>
          <t>Lakeshore Management Inc (v0000666)</t>
        </is>
      </c>
      <c r="F188" t="inlineStr">
        <is>
          <t>PR Alloc PB Q1 2026</t>
        </is>
      </c>
      <c r="H188" s="5" t="n">
        <v>2981.98</v>
      </c>
      <c r="I188" s="5" t="n">
        <v>442697.4</v>
      </c>
      <c r="J188" s="4" t="n">
        <v>46121</v>
      </c>
      <c r="K188" t="n">
        <v>-2</v>
      </c>
    </row>
    <row r="189">
      <c r="A189" t="inlineStr">
        <is>
          <t>Bay City</t>
        </is>
      </c>
      <c r="B189" s="4" t="n">
        <v>46120</v>
      </c>
      <c r="C189" t="inlineStr">
        <is>
          <t>K-548277</t>
        </is>
      </c>
      <c r="D189" t="inlineStr">
        <is>
          <t>22676</t>
        </is>
      </c>
      <c r="E189" t="inlineStr">
        <is>
          <t>Lakeshore Management Inc (v0000666)</t>
        </is>
      </c>
      <c r="F189" t="inlineStr">
        <is>
          <t>GKSIL Alloc PB Q1 2026</t>
        </is>
      </c>
      <c r="H189" s="5" t="n">
        <v>337.5</v>
      </c>
      <c r="I189" s="5" t="n">
        <v>442359.9</v>
      </c>
      <c r="J189" s="4" t="n">
        <v>46121</v>
      </c>
      <c r="K189" t="n">
        <v>-2</v>
      </c>
    </row>
    <row r="190">
      <c r="A190" t="inlineStr">
        <is>
          <t>Bay City</t>
        </is>
      </c>
      <c r="B190" s="4" t="n">
        <v>46120</v>
      </c>
      <c r="C190" t="inlineStr">
        <is>
          <t>K-548277</t>
        </is>
      </c>
      <c r="D190" t="inlineStr">
        <is>
          <t>22676</t>
        </is>
      </c>
      <c r="E190" t="inlineStr">
        <is>
          <t>Lakeshore Management Inc (v0000666)</t>
        </is>
      </c>
      <c r="F190" t="inlineStr">
        <is>
          <t>PC Nation Alloc PB Q1 2026</t>
        </is>
      </c>
      <c r="H190" s="5" t="n">
        <v>631.13</v>
      </c>
      <c r="I190" s="5" t="n">
        <v>441728.77</v>
      </c>
      <c r="J190" s="4" t="n">
        <v>46121</v>
      </c>
      <c r="K190" t="n">
        <v>-2</v>
      </c>
    </row>
    <row r="191">
      <c r="A191" t="inlineStr">
        <is>
          <t>Bay City</t>
        </is>
      </c>
      <c r="B191" s="4" t="n">
        <v>46120</v>
      </c>
      <c r="C191" t="inlineStr">
        <is>
          <t>K-548425</t>
        </is>
      </c>
      <c r="D191" t="inlineStr">
        <is>
          <t>22677</t>
        </is>
      </c>
      <c r="E191" t="inlineStr">
        <is>
          <t>Lakeshore Management Inc (v0000666)</t>
        </is>
      </c>
      <c r="F191" t="inlineStr">
        <is>
          <t>PB YARDI INVOICE #5219680 MARCH 2026</t>
        </is>
      </c>
      <c r="H191" s="5" t="n">
        <v>11</v>
      </c>
      <c r="I191" s="5" t="n">
        <v>441717.77</v>
      </c>
      <c r="J191" s="4" t="n">
        <v>46121</v>
      </c>
      <c r="K191" t="n">
        <v>-2</v>
      </c>
    </row>
    <row r="192">
      <c r="A192" t="inlineStr">
        <is>
          <t>Bay City</t>
        </is>
      </c>
      <c r="B192" s="4" t="n">
        <v>46120</v>
      </c>
      <c r="C192" t="inlineStr">
        <is>
          <t>J-364430</t>
        </is>
      </c>
      <c r="D192" t="inlineStr">
        <is>
          <t>Daily Deposit</t>
        </is>
      </c>
      <c r="E192" t="inlineStr">
        <is>
          <t>04/08/2026 Daily Deposit</t>
        </is>
      </c>
      <c r="F192" t="inlineStr">
        <is>
          <t>NSF EFT Deposit 04/05/2026</t>
        </is>
      </c>
      <c r="H192" s="5" t="n">
        <v>942.89</v>
      </c>
      <c r="I192" s="5" t="n">
        <v>440774.88</v>
      </c>
      <c r="J192" s="4" t="n">
        <v>46121</v>
      </c>
      <c r="K192" t="n">
        <v>-2</v>
      </c>
    </row>
    <row r="193">
      <c r="A193" t="inlineStr">
        <is>
          <t>Bay City</t>
        </is>
      </c>
      <c r="B193" s="4" t="n">
        <v>46120</v>
      </c>
      <c r="C193" t="inlineStr">
        <is>
          <t>J-364430</t>
        </is>
      </c>
      <c r="D193" t="inlineStr">
        <is>
          <t>Daily Deposit</t>
        </is>
      </c>
      <c r="E193" t="inlineStr">
        <is>
          <t>04/08/2026 Daily Deposit</t>
        </is>
      </c>
      <c r="F193" t="inlineStr">
        <is>
          <t>RP : ACH Deposit 04/06/2026</t>
        </is>
      </c>
      <c r="G193" s="5" t="n">
        <v>842.8</v>
      </c>
      <c r="I193" s="5" t="n">
        <v>441617.68</v>
      </c>
      <c r="J193" s="4" t="n">
        <v>46120</v>
      </c>
      <c r="K193" t="n">
        <v>2</v>
      </c>
    </row>
    <row r="194">
      <c r="A194" t="inlineStr">
        <is>
          <t>Bay City</t>
        </is>
      </c>
      <c r="B194" s="4" t="n">
        <v>46121</v>
      </c>
      <c r="C194" t="inlineStr">
        <is>
          <t>K-548602</t>
        </is>
      </c>
      <c r="D194" t="inlineStr">
        <is>
          <t>1810</t>
        </is>
      </c>
      <c r="E194" t="inlineStr">
        <is>
          <t>Sign It Quick (v0000981)</t>
        </is>
      </c>
      <c r="F194" t="inlineStr">
        <is>
          <t>DIGITAL PRINT ON BANNER, STANDARD HEM &amp; GROMMETS</t>
        </is>
      </c>
      <c r="H194" s="5" t="n">
        <v>264.33</v>
      </c>
      <c r="I194" s="5" t="n">
        <v>441353.35</v>
      </c>
      <c r="J194" s="4" t="n">
        <v>46132</v>
      </c>
      <c r="K194" t="n">
        <v>-2</v>
      </c>
    </row>
    <row r="195">
      <c r="A195" t="inlineStr">
        <is>
          <t>Bay City</t>
        </is>
      </c>
      <c r="B195" s="4" t="n">
        <v>46121</v>
      </c>
      <c r="C195" t="inlineStr">
        <is>
          <t>K-548602</t>
        </is>
      </c>
      <c r="D195" t="inlineStr">
        <is>
          <t>1810</t>
        </is>
      </c>
      <c r="E195" t="inlineStr">
        <is>
          <t>Sign It Quick (v0000981)</t>
        </is>
      </c>
      <c r="F195" t="inlineStr">
        <is>
          <t>14 FOOT FLAG WITH SPIKE BASE DOUBLE SIDED AND DIGITAL PRINT LAMINATED AND APPLIED TO 3 MM MAX METAL</t>
        </is>
      </c>
      <c r="H195" s="5" t="n">
        <v>1907.95</v>
      </c>
      <c r="I195" s="5" t="n">
        <v>439445.4</v>
      </c>
      <c r="J195" s="4" t="n">
        <v>46132</v>
      </c>
      <c r="K195" t="n">
        <v>-2</v>
      </c>
    </row>
    <row r="196">
      <c r="A196" t="inlineStr">
        <is>
          <t>Bay City</t>
        </is>
      </c>
      <c r="B196" s="4" t="n">
        <v>46121</v>
      </c>
      <c r="C196" t="inlineStr">
        <is>
          <t>K-548603</t>
        </is>
      </c>
      <c r="D196" t="inlineStr">
        <is>
          <t>1811</t>
        </is>
      </c>
      <c r="E196" t="inlineStr">
        <is>
          <t>Suburban Propane 1229 (v0001025)</t>
        </is>
      </c>
      <c r="F196" t="inlineStr">
        <is>
          <t>Propane Gas Lot 144C</t>
        </is>
      </c>
      <c r="H196" s="5" t="n">
        <v>275</v>
      </c>
      <c r="I196" s="5" t="n">
        <v>439170.4</v>
      </c>
      <c r="J196" s="4" t="n">
        <v>46133</v>
      </c>
      <c r="K196" t="n">
        <v>-2</v>
      </c>
    </row>
    <row r="197">
      <c r="A197" t="inlineStr">
        <is>
          <t>Bay City</t>
        </is>
      </c>
      <c r="B197" s="4" t="n">
        <v>46121</v>
      </c>
      <c r="C197" t="inlineStr">
        <is>
          <t>K-548737</t>
        </is>
      </c>
      <c r="D197" t="inlineStr">
        <is>
          <t>22678</t>
        </is>
      </c>
      <c r="E197" t="inlineStr">
        <is>
          <t>Lakeshore Management Inc (v0000666)</t>
        </is>
      </c>
      <c r="F197" t="inlineStr">
        <is>
          <t>PB FOR PAINT THE WEB INV # 1423</t>
        </is>
      </c>
      <c r="H197" s="5" t="n">
        <v>212.4</v>
      </c>
      <c r="I197" s="5" t="n">
        <v>438958</v>
      </c>
      <c r="J197" s="4" t="n">
        <v>46122</v>
      </c>
      <c r="K197" t="n">
        <v>-2</v>
      </c>
    </row>
    <row r="198">
      <c r="A198" t="inlineStr">
        <is>
          <t>Bay City</t>
        </is>
      </c>
      <c r="B198" s="4" t="n">
        <v>46121</v>
      </c>
      <c r="C198" t="inlineStr">
        <is>
          <t>K-548883</t>
        </is>
      </c>
      <c r="D198" t="inlineStr">
        <is>
          <t>22679</t>
        </is>
      </c>
      <c r="E198" t="inlineStr">
        <is>
          <t>BAY CITY MHC LLC (v0007539)</t>
        </is>
      </c>
      <c r="F198" t="inlineStr">
        <is>
          <t>PB PARKS FOR REFUND OF BROWN &amp; BROWN 2025 PREMIUM</t>
        </is>
      </c>
      <c r="H198" s="5" t="n">
        <v>878</v>
      </c>
      <c r="I198" s="5" t="n">
        <v>438080</v>
      </c>
      <c r="K198" t="n">
        <v>-1</v>
      </c>
    </row>
    <row r="199">
      <c r="A199" t="inlineStr">
        <is>
          <t>Bay City</t>
        </is>
      </c>
      <c r="B199" s="4" t="n">
        <v>46121</v>
      </c>
      <c r="C199" t="inlineStr">
        <is>
          <t>J-364560</t>
        </is>
      </c>
      <c r="D199" t="inlineStr">
        <is>
          <t>Daily Deposit</t>
        </is>
      </c>
      <c r="E199" t="inlineStr">
        <is>
          <t>04/09/2026 Daily Deposit</t>
        </is>
      </c>
      <c r="F199" t="inlineStr">
        <is>
          <t>CKS 04/09/2026 Batch 8a855265-f5b5-45ba-a10c-5d6a0102ee6c</t>
        </is>
      </c>
      <c r="G199" s="5" t="n">
        <v>50</v>
      </c>
      <c r="I199" s="5" t="n">
        <v>438130</v>
      </c>
      <c r="J199" s="4" t="n">
        <v>46122</v>
      </c>
      <c r="K199" t="n">
        <v>2</v>
      </c>
    </row>
    <row r="200">
      <c r="A200" t="inlineStr">
        <is>
          <t>Bay City</t>
        </is>
      </c>
      <c r="B200" s="4" t="n">
        <v>46121</v>
      </c>
      <c r="C200" t="inlineStr">
        <is>
          <t>J-364560</t>
        </is>
      </c>
      <c r="D200" t="inlineStr">
        <is>
          <t>Daily Deposit</t>
        </is>
      </c>
      <c r="E200" t="inlineStr">
        <is>
          <t>04/09/2026 Daily Deposit</t>
        </is>
      </c>
      <c r="F200" t="inlineStr">
        <is>
          <t>CKS 04/09/2026 Batch c5482a40-45d8-4d7a-bbc2-c91c1c7e0835</t>
        </is>
      </c>
      <c r="G200" s="5" t="n">
        <v>3750</v>
      </c>
      <c r="I200" s="5" t="n">
        <v>441880</v>
      </c>
      <c r="J200" s="4" t="n">
        <v>46122</v>
      </c>
      <c r="K200" t="n">
        <v>2</v>
      </c>
    </row>
    <row r="201">
      <c r="A201" t="inlineStr">
        <is>
          <t>Bay City</t>
        </is>
      </c>
      <c r="B201" s="4" t="n">
        <v>46122</v>
      </c>
      <c r="C201" t="inlineStr">
        <is>
          <t>J-364915</t>
        </is>
      </c>
      <c r="D201" t="inlineStr">
        <is>
          <t>Daily Deposit</t>
        </is>
      </c>
      <c r="E201" t="inlineStr">
        <is>
          <t>04/10/2026 Daily Deposit</t>
        </is>
      </c>
      <c r="F201" t="inlineStr">
        <is>
          <t>CKS 04/10/2026 Batch 074655d3-39a4-4f21-8662-6eb2b12b59c8</t>
        </is>
      </c>
      <c r="G201" s="5" t="n">
        <v>5840</v>
      </c>
      <c r="I201" s="5" t="n">
        <v>447720</v>
      </c>
      <c r="J201" s="4" t="n">
        <v>46125</v>
      </c>
      <c r="K201" t="n">
        <v>2</v>
      </c>
    </row>
    <row r="202">
      <c r="A202" t="inlineStr">
        <is>
          <t>Bay City</t>
        </is>
      </c>
      <c r="B202" s="4" t="n">
        <v>46122</v>
      </c>
      <c r="C202" t="inlineStr">
        <is>
          <t>J-364915</t>
        </is>
      </c>
      <c r="D202" t="inlineStr">
        <is>
          <t>Daily Deposit</t>
        </is>
      </c>
      <c r="E202" t="inlineStr">
        <is>
          <t>04/10/2026 Daily Deposit</t>
        </is>
      </c>
      <c r="F202" t="inlineStr">
        <is>
          <t>NSF RP : ACH Deposit 04/05/2026</t>
        </is>
      </c>
      <c r="H202" s="5" t="n">
        <v>948.88</v>
      </c>
      <c r="I202" s="5" t="n">
        <v>446771.12</v>
      </c>
      <c r="J202" s="4" t="n">
        <v>46122</v>
      </c>
      <c r="K202" t="n">
        <v>-2</v>
      </c>
    </row>
    <row r="203">
      <c r="A203" t="inlineStr">
        <is>
          <t>Bay City</t>
        </is>
      </c>
      <c r="B203" s="4" t="n">
        <v>46122</v>
      </c>
      <c r="C203" t="inlineStr">
        <is>
          <t>J-364915</t>
        </is>
      </c>
      <c r="D203" t="inlineStr">
        <is>
          <t>Daily Deposit</t>
        </is>
      </c>
      <c r="E203" t="inlineStr">
        <is>
          <t>04/10/2026 Daily Deposit</t>
        </is>
      </c>
      <c r="F203" t="inlineStr">
        <is>
          <t>RP : ACH Deposit 04/09/2026</t>
        </is>
      </c>
      <c r="G203" s="5" t="n">
        <v>3250</v>
      </c>
      <c r="I203" s="5" t="n">
        <v>450021.12</v>
      </c>
      <c r="J203" s="4" t="n">
        <v>46122</v>
      </c>
      <c r="K203" t="n">
        <v>2</v>
      </c>
    </row>
    <row r="204">
      <c r="A204" t="inlineStr">
        <is>
          <t>Bay City</t>
        </is>
      </c>
      <c r="B204" s="4" t="n">
        <v>46123</v>
      </c>
      <c r="C204" t="inlineStr">
        <is>
          <t>K-549132</t>
        </is>
      </c>
      <c r="D204" t="inlineStr">
        <is>
          <t>22679</t>
        </is>
      </c>
      <c r="E204" t="inlineStr">
        <is>
          <t>BAY CITY MHC LLC (v0007539)</t>
        </is>
      </c>
      <c r="F204" t="inlineStr">
        <is>
          <t>PB PARKS FOR REFUND OF BROWN &amp; BROWN 2025 PREMIUM</t>
        </is>
      </c>
      <c r="G204" s="5" t="n">
        <v>878</v>
      </c>
      <c r="I204" s="5" t="n">
        <v>450899.12</v>
      </c>
      <c r="J204" s="4" t="n">
        <v>46127</v>
      </c>
      <c r="K204" t="n">
        <v>2</v>
      </c>
    </row>
    <row r="205">
      <c r="A205" t="inlineStr">
        <is>
          <t>Bay City</t>
        </is>
      </c>
      <c r="B205" s="4" t="n">
        <v>46123</v>
      </c>
      <c r="C205" t="inlineStr">
        <is>
          <t>J-364916</t>
        </is>
      </c>
      <c r="D205" t="inlineStr">
        <is>
          <t>Daily Deposit</t>
        </is>
      </c>
      <c r="E205" t="inlineStr">
        <is>
          <t>04/11/2026 Daily Deposit</t>
        </is>
      </c>
      <c r="F205" t="inlineStr">
        <is>
          <t>RP : CC Deposit 04/11/2026</t>
        </is>
      </c>
      <c r="G205" s="5" t="n">
        <v>1850</v>
      </c>
      <c r="I205" s="5" t="n">
        <v>452749.12</v>
      </c>
      <c r="J205" s="4" t="n">
        <v>46120</v>
      </c>
      <c r="K205" t="n">
        <v>2</v>
      </c>
    </row>
    <row r="206">
      <c r="A206" t="inlineStr">
        <is>
          <t>Bay City</t>
        </is>
      </c>
      <c r="B206" s="4" t="n">
        <v>46125</v>
      </c>
      <c r="C206" t="inlineStr">
        <is>
          <t>K-549632</t>
        </is>
      </c>
      <c r="D206" t="inlineStr">
        <is>
          <t>22680</t>
        </is>
      </c>
      <c r="E206" t="inlineStr">
        <is>
          <t>Lakeshore Management Inc (v0000666)</t>
        </is>
      </c>
      <c r="F206" t="inlineStr">
        <is>
          <t>PB for LeadCrossing INV-000661</t>
        </is>
      </c>
      <c r="H206" s="5" t="n">
        <v>1623.58</v>
      </c>
      <c r="I206" s="5" t="n">
        <v>451125.54</v>
      </c>
      <c r="J206" s="4" t="n">
        <v>46126</v>
      </c>
      <c r="K206" t="n">
        <v>-2</v>
      </c>
    </row>
    <row r="207">
      <c r="A207" t="inlineStr">
        <is>
          <t>Bay City</t>
        </is>
      </c>
      <c r="B207" s="4" t="n">
        <v>46125</v>
      </c>
      <c r="C207" t="inlineStr">
        <is>
          <t>K-549666</t>
        </is>
      </c>
      <c r="D207" t="inlineStr">
        <is>
          <t>22681</t>
        </is>
      </c>
      <c r="E207" t="inlineStr">
        <is>
          <t>Lakeshore Management Inc (v0000666)</t>
        </is>
      </c>
      <c r="F207" t="inlineStr">
        <is>
          <t>PB for LeadCrossing INV-000660</t>
        </is>
      </c>
      <c r="H207" s="5" t="n">
        <v>202.25</v>
      </c>
      <c r="I207" s="5" t="n">
        <v>450923.29</v>
      </c>
      <c r="J207" s="4" t="n">
        <v>46126</v>
      </c>
      <c r="K207" t="n">
        <v>-2</v>
      </c>
    </row>
    <row r="208">
      <c r="A208" t="inlineStr">
        <is>
          <t>Bay City</t>
        </is>
      </c>
      <c r="B208" s="4" t="n">
        <v>46125</v>
      </c>
      <c r="C208" t="inlineStr">
        <is>
          <t>K-549781</t>
        </is>
      </c>
      <c r="D208" t="inlineStr">
        <is>
          <t>22682</t>
        </is>
      </c>
      <c r="E208" t="inlineStr">
        <is>
          <t>Lakeshore Management Inc (v0000666)</t>
        </is>
      </c>
      <c r="F208" t="inlineStr">
        <is>
          <t>PB FOR APRIL 26?ADT</t>
        </is>
      </c>
      <c r="H208" s="5" t="n">
        <v>143.74</v>
      </c>
      <c r="I208" s="5" t="n">
        <v>450779.55</v>
      </c>
      <c r="J208" s="4" t="n">
        <v>46126</v>
      </c>
      <c r="K208" t="n">
        <v>-2</v>
      </c>
    </row>
    <row r="209">
      <c r="A209" t="inlineStr">
        <is>
          <t>Bay City</t>
        </is>
      </c>
      <c r="B209" s="4" t="n">
        <v>46125</v>
      </c>
      <c r="C209" t="inlineStr">
        <is>
          <t>K-549877</t>
        </is>
      </c>
      <c r="D209" t="inlineStr">
        <is>
          <t>22683</t>
        </is>
      </c>
      <c r="E209" t="inlineStr">
        <is>
          <t>Hearn Group LLC (v0011939)</t>
        </is>
      </c>
      <c r="F209" t="inlineStr">
        <is>
          <t>CX-INSTALLED BRAND NEW PEDESTAL AND METER</t>
        </is>
      </c>
      <c r="H209" s="5" t="n">
        <v>3450</v>
      </c>
      <c r="I209" s="5" t="n">
        <v>447329.55</v>
      </c>
      <c r="J209" s="4" t="n">
        <v>46127</v>
      </c>
      <c r="K209" t="n">
        <v>-2</v>
      </c>
    </row>
    <row r="210">
      <c r="A210" t="inlineStr">
        <is>
          <t>Bay City</t>
        </is>
      </c>
      <c r="B210" s="4" t="n">
        <v>46125</v>
      </c>
      <c r="C210" t="inlineStr">
        <is>
          <t>J-364949</t>
        </is>
      </c>
      <c r="D210" t="inlineStr">
        <is>
          <t>Invty loan Int payment</t>
        </is>
      </c>
      <c r="E210" t="inlineStr">
        <is>
          <t>T/F from PARKS to LS Lend B to LSM to pay WF inventory loan interest-03/31/26</t>
        </is>
      </c>
      <c r="F210" t="inlineStr">
        <is>
          <t>T/F from PARKS to LS Lend B to LSM to pay WF inventory loan interest-03/31/26</t>
        </is>
      </c>
      <c r="H210" s="5" t="n">
        <v>89</v>
      </c>
      <c r="I210" s="5" t="n">
        <v>447240.55</v>
      </c>
      <c r="J210" s="4" t="n">
        <v>46125</v>
      </c>
      <c r="K210" t="n">
        <v>-2</v>
      </c>
    </row>
    <row r="211">
      <c r="A211" t="inlineStr">
        <is>
          <t>Bay City</t>
        </is>
      </c>
      <c r="B211" s="4" t="n">
        <v>46125</v>
      </c>
      <c r="C211" t="inlineStr">
        <is>
          <t>J-364958</t>
        </is>
      </c>
      <c r="D211" t="inlineStr">
        <is>
          <t>Daily Deposit</t>
        </is>
      </c>
      <c r="E211" t="inlineStr">
        <is>
          <t>04/13/2026 Daily Deposit</t>
        </is>
      </c>
      <c r="F211" t="inlineStr">
        <is>
          <t>CKS 04/13/2026 Batch 4763ae41-54ce-414d-8f1c-5df9a80b2ac0</t>
        </is>
      </c>
      <c r="G211" s="5" t="n">
        <v>1684.13</v>
      </c>
      <c r="I211" s="5" t="n">
        <v>448924.68</v>
      </c>
      <c r="J211" s="4" t="n">
        <v>46126</v>
      </c>
      <c r="K211" t="n">
        <v>2</v>
      </c>
    </row>
    <row r="212">
      <c r="A212" t="inlineStr">
        <is>
          <t>Bay City</t>
        </is>
      </c>
      <c r="B212" s="4" t="n">
        <v>46126</v>
      </c>
      <c r="C212" t="inlineStr">
        <is>
          <t>K-549931</t>
        </is>
      </c>
      <c r="D212" t="inlineStr">
        <is>
          <t>1812</t>
        </is>
      </c>
      <c r="E212" t="inlineStr">
        <is>
          <t>Long Neck Water Company, LLC (v0007698)</t>
        </is>
      </c>
      <c r="F212" t="inlineStr">
        <is>
          <t>01/07/2026-04/07/2026-Water-011867-Water 4-25964 S CEDAR ST BC</t>
        </is>
      </c>
      <c r="H212" s="5" t="n">
        <v>66.42</v>
      </c>
      <c r="I212" s="5" t="n">
        <v>448858.26</v>
      </c>
      <c r="J212" s="4" t="n">
        <v>46133</v>
      </c>
      <c r="K212" t="n">
        <v>-2</v>
      </c>
    </row>
    <row r="213">
      <c r="A213" t="inlineStr">
        <is>
          <t>Bay City</t>
        </is>
      </c>
      <c r="B213" s="4" t="n">
        <v>46126</v>
      </c>
      <c r="C213" t="inlineStr">
        <is>
          <t>K-549931</t>
        </is>
      </c>
      <c r="D213" t="inlineStr">
        <is>
          <t>1812</t>
        </is>
      </c>
      <c r="E213" t="inlineStr">
        <is>
          <t>Long Neck Water Company, LLC (v0007698)</t>
        </is>
      </c>
      <c r="F213" t="inlineStr">
        <is>
          <t>01/07/2026-04/07/2026-Water-011869-Water 1-25994 S Cedar St BC</t>
        </is>
      </c>
      <c r="H213" s="5" t="n">
        <v>40.5</v>
      </c>
      <c r="I213" s="5" t="n">
        <v>448817.76</v>
      </c>
      <c r="J213" s="4" t="n">
        <v>46133</v>
      </c>
      <c r="K213" t="n">
        <v>-2</v>
      </c>
    </row>
    <row r="214">
      <c r="A214" t="inlineStr">
        <is>
          <t>Bay City</t>
        </is>
      </c>
      <c r="B214" s="4" t="n">
        <v>46126</v>
      </c>
      <c r="C214" t="inlineStr">
        <is>
          <t>K-549939</t>
        </is>
      </c>
      <c r="D214" t="inlineStr">
        <is>
          <t>1813</t>
        </is>
      </c>
      <c r="E214" t="inlineStr">
        <is>
          <t>Sussex County (v0007778)</t>
        </is>
      </c>
      <c r="F214" t="inlineStr">
        <is>
          <t>04/01/2026-06/30/2026-Sewer-08-02-034-89-SEWER 1-25818 BERRY ST BAY CITY LOT 89</t>
        </is>
      </c>
      <c r="H214" s="5" t="n">
        <v>88</v>
      </c>
      <c r="I214" s="5" t="n">
        <v>448729.76</v>
      </c>
      <c r="K214" t="n">
        <v>-1</v>
      </c>
    </row>
    <row r="215">
      <c r="A215" t="inlineStr">
        <is>
          <t>Bay City</t>
        </is>
      </c>
      <c r="B215" s="4" t="n">
        <v>46126</v>
      </c>
      <c r="C215" t="inlineStr">
        <is>
          <t>K-549939</t>
        </is>
      </c>
      <c r="D215" t="inlineStr">
        <is>
          <t>1813</t>
        </is>
      </c>
      <c r="E215" t="inlineStr">
        <is>
          <t>Sussex County (v0007778)</t>
        </is>
      </c>
      <c r="F215" t="inlineStr">
        <is>
          <t>04/01/2026-06/30/2026-Sewer-08-02-034-0-SEWER 17-BAY CITY LOT 0</t>
        </is>
      </c>
      <c r="H215" s="5" t="n">
        <v>88</v>
      </c>
      <c r="I215" s="5" t="n">
        <v>448641.76</v>
      </c>
      <c r="K215" t="n">
        <v>-1</v>
      </c>
    </row>
    <row r="216">
      <c r="A216" t="inlineStr">
        <is>
          <t>Bay City</t>
        </is>
      </c>
      <c r="B216" s="4" t="n">
        <v>46126</v>
      </c>
      <c r="C216" t="inlineStr">
        <is>
          <t>K-549947</t>
        </is>
      </c>
      <c r="D216" t="inlineStr">
        <is>
          <t>1814</t>
        </is>
      </c>
      <c r="E216" t="inlineStr">
        <is>
          <t>Delaware Division of Revenue (v0007694)</t>
        </is>
      </c>
      <c r="F216" t="inlineStr">
        <is>
          <t>De MHRTF 1qtr 2026</t>
        </is>
      </c>
      <c r="H216" s="5" t="n">
        <v>1137.39</v>
      </c>
      <c r="I216" s="5" t="n">
        <v>447504.37</v>
      </c>
      <c r="J216" s="4" t="n">
        <v>46129</v>
      </c>
      <c r="K216" t="n">
        <v>-2</v>
      </c>
    </row>
    <row r="217">
      <c r="A217" t="inlineStr">
        <is>
          <t>Bay City</t>
        </is>
      </c>
      <c r="B217" s="4" t="n">
        <v>46126</v>
      </c>
      <c r="C217" t="inlineStr">
        <is>
          <t>K-549947</t>
        </is>
      </c>
      <c r="D217" t="inlineStr">
        <is>
          <t>1814</t>
        </is>
      </c>
      <c r="E217" t="inlineStr">
        <is>
          <t>Delaware Division of Revenue (v0007694)</t>
        </is>
      </c>
      <c r="F217" t="inlineStr">
        <is>
          <t>De MHRTF 1qtr 2026</t>
        </is>
      </c>
      <c r="H217" s="5" t="n">
        <v>760</v>
      </c>
      <c r="I217" s="5" t="n">
        <v>446744.37</v>
      </c>
      <c r="J217" s="4" t="n">
        <v>46129</v>
      </c>
      <c r="K217" t="n">
        <v>-2</v>
      </c>
    </row>
    <row r="218">
      <c r="A218" t="inlineStr">
        <is>
          <t>Bay City</t>
        </is>
      </c>
      <c r="B218" s="4" t="n">
        <v>46126</v>
      </c>
      <c r="C218" t="inlineStr">
        <is>
          <t>K-550099</t>
        </is>
      </c>
      <c r="D218" t="inlineStr">
        <is>
          <t>22684</t>
        </is>
      </c>
      <c r="E218" t="inlineStr">
        <is>
          <t>Lakeshore Management Inc (v0000666)</t>
        </is>
      </c>
      <c r="F218" t="inlineStr">
        <is>
          <t>PB FOR LEADCROSSING INV-000607 FINAL</t>
        </is>
      </c>
      <c r="H218" s="5" t="n">
        <v>172.46</v>
      </c>
      <c r="I218" s="5" t="n">
        <v>446571.91</v>
      </c>
      <c r="J218" s="4" t="n">
        <v>46127</v>
      </c>
      <c r="K218" t="n">
        <v>-2</v>
      </c>
    </row>
    <row r="219">
      <c r="A219" t="inlineStr">
        <is>
          <t>Bay City</t>
        </is>
      </c>
      <c r="B219" s="4" t="n">
        <v>46126</v>
      </c>
      <c r="C219" t="inlineStr">
        <is>
          <t>J-364975</t>
        </is>
      </c>
      <c r="D219" t="inlineStr">
        <is>
          <t>PB from LSM refund B&amp;B</t>
        </is>
      </c>
      <c r="E219" t="inlineStr">
        <is>
          <t>PB from LSM refund B&amp;B</t>
        </is>
      </c>
      <c r="F219" t="inlineStr">
        <is>
          <t>PB from LSM for refund of Brown &amp; Brown 2025 premium</t>
        </is>
      </c>
      <c r="G219" s="5" t="n">
        <v>878</v>
      </c>
      <c r="I219" s="5" t="n">
        <v>447449.91</v>
      </c>
      <c r="K219" t="n">
        <v>1</v>
      </c>
    </row>
    <row r="220">
      <c r="A220" t="inlineStr">
        <is>
          <t>Bay City</t>
        </is>
      </c>
      <c r="B220" s="4" t="n">
        <v>46127</v>
      </c>
      <c r="C220" t="inlineStr">
        <is>
          <t>K-550451</t>
        </is>
      </c>
      <c r="D220" t="inlineStr">
        <is>
          <t>1815</t>
        </is>
      </c>
      <c r="E220" t="inlineStr">
        <is>
          <t>LSE (v0000665)</t>
        </is>
      </c>
      <c r="F220" t="inlineStr">
        <is>
          <t>DEPT 15310 ppe 04/11/26</t>
        </is>
      </c>
      <c r="H220" s="5" t="n">
        <v>197.19</v>
      </c>
      <c r="I220" s="5" t="n">
        <v>447252.72</v>
      </c>
      <c r="J220" s="4" t="n">
        <v>46127</v>
      </c>
      <c r="K220" t="n">
        <v>-2</v>
      </c>
    </row>
    <row r="221">
      <c r="A221" t="inlineStr">
        <is>
          <t>Bay City</t>
        </is>
      </c>
      <c r="B221" s="4" t="n">
        <v>46127</v>
      </c>
      <c r="C221" t="inlineStr">
        <is>
          <t>K-550451</t>
        </is>
      </c>
      <c r="D221" t="inlineStr">
        <is>
          <t>1815</t>
        </is>
      </c>
      <c r="E221" t="inlineStr">
        <is>
          <t>LSE (v0000665)</t>
        </is>
      </c>
      <c r="F221" t="inlineStr">
        <is>
          <t>DEPT 35100 ppe 04/11/26</t>
        </is>
      </c>
      <c r="H221" s="5" t="n">
        <v>378.81</v>
      </c>
      <c r="I221" s="5" t="n">
        <v>446873.91</v>
      </c>
      <c r="J221" s="4" t="n">
        <v>46127</v>
      </c>
      <c r="K221" t="n">
        <v>-2</v>
      </c>
    </row>
    <row r="222">
      <c r="A222" t="inlineStr">
        <is>
          <t>Bay City</t>
        </is>
      </c>
      <c r="B222" s="4" t="n">
        <v>46127</v>
      </c>
      <c r="C222" t="inlineStr">
        <is>
          <t>K-550451</t>
        </is>
      </c>
      <c r="D222" t="inlineStr">
        <is>
          <t>1815</t>
        </is>
      </c>
      <c r="E222" t="inlineStr">
        <is>
          <t>LSE (v0000665)</t>
        </is>
      </c>
      <c r="F222" t="inlineStr">
        <is>
          <t>DEPT 15310 ppe 04/11/26</t>
        </is>
      </c>
      <c r="H222" s="5" t="n">
        <v>3126.2</v>
      </c>
      <c r="I222" s="5" t="n">
        <v>443747.71</v>
      </c>
      <c r="J222" s="4" t="n">
        <v>46127</v>
      </c>
      <c r="K222" t="n">
        <v>-2</v>
      </c>
    </row>
    <row r="223">
      <c r="A223" t="inlineStr">
        <is>
          <t>Bay City</t>
        </is>
      </c>
      <c r="B223" s="4" t="n">
        <v>46127</v>
      </c>
      <c r="C223" t="inlineStr">
        <is>
          <t>K-550451</t>
        </is>
      </c>
      <c r="D223" t="inlineStr">
        <is>
          <t>1815</t>
        </is>
      </c>
      <c r="E223" t="inlineStr">
        <is>
          <t>LSE (v0000665)</t>
        </is>
      </c>
      <c r="F223" t="inlineStr">
        <is>
          <t>DEPT 15340 ppe 04/11/26</t>
        </is>
      </c>
      <c r="H223" s="5" t="n">
        <v>431.6</v>
      </c>
      <c r="I223" s="5" t="n">
        <v>443316.11</v>
      </c>
      <c r="J223" s="4" t="n">
        <v>46127</v>
      </c>
      <c r="K223" t="n">
        <v>-2</v>
      </c>
    </row>
    <row r="224">
      <c r="A224" t="inlineStr">
        <is>
          <t>Bay City</t>
        </is>
      </c>
      <c r="B224" s="4" t="n">
        <v>46127</v>
      </c>
      <c r="C224" t="inlineStr">
        <is>
          <t>K-550451</t>
        </is>
      </c>
      <c r="D224" t="inlineStr">
        <is>
          <t>1815</t>
        </is>
      </c>
      <c r="E224" t="inlineStr">
        <is>
          <t>LSE (v0000665)</t>
        </is>
      </c>
      <c r="F224" t="inlineStr">
        <is>
          <t>DEPT 15310 ppe 04/11/26</t>
        </is>
      </c>
      <c r="H224" s="5" t="n">
        <v>4360</v>
      </c>
      <c r="I224" s="5" t="n">
        <v>438956.11</v>
      </c>
      <c r="J224" s="4" t="n">
        <v>46127</v>
      </c>
      <c r="K224" t="n">
        <v>-2</v>
      </c>
    </row>
    <row r="225">
      <c r="A225" t="inlineStr">
        <is>
          <t>Bay City</t>
        </is>
      </c>
      <c r="B225" s="4" t="n">
        <v>46127</v>
      </c>
      <c r="C225" t="inlineStr">
        <is>
          <t>K-550451</t>
        </is>
      </c>
      <c r="D225" t="inlineStr">
        <is>
          <t>1815</t>
        </is>
      </c>
      <c r="E225" t="inlineStr">
        <is>
          <t>LSE (v0000665)</t>
        </is>
      </c>
      <c r="F225" t="inlineStr">
        <is>
          <t>DEPT 15340 ppe 04/11/26</t>
        </is>
      </c>
      <c r="H225" s="5" t="n">
        <v>163.92</v>
      </c>
      <c r="I225" s="5" t="n">
        <v>438792.19</v>
      </c>
      <c r="J225" s="4" t="n">
        <v>46127</v>
      </c>
      <c r="K225" t="n">
        <v>-2</v>
      </c>
    </row>
    <row r="226">
      <c r="A226" t="inlineStr">
        <is>
          <t>Bay City</t>
        </is>
      </c>
      <c r="B226" s="4" t="n">
        <v>46127</v>
      </c>
      <c r="C226" t="inlineStr">
        <is>
          <t>K-550451</t>
        </is>
      </c>
      <c r="D226" t="inlineStr">
        <is>
          <t>1815</t>
        </is>
      </c>
      <c r="E226" t="inlineStr">
        <is>
          <t>LSE (v0000665)</t>
        </is>
      </c>
      <c r="F226" t="inlineStr">
        <is>
          <t>DEPT 35200 ppe 04/11/26</t>
        </is>
      </c>
      <c r="H226" s="5" t="n">
        <v>37.38</v>
      </c>
      <c r="I226" s="5" t="n">
        <v>438754.81</v>
      </c>
      <c r="J226" s="4" t="n">
        <v>46127</v>
      </c>
      <c r="K226" t="n">
        <v>-2</v>
      </c>
    </row>
    <row r="227">
      <c r="A227" t="inlineStr">
        <is>
          <t>Bay City</t>
        </is>
      </c>
      <c r="B227" s="4" t="n">
        <v>46127</v>
      </c>
      <c r="C227" t="inlineStr">
        <is>
          <t>K-550451</t>
        </is>
      </c>
      <c r="D227" t="inlineStr">
        <is>
          <t>1815</t>
        </is>
      </c>
      <c r="E227" t="inlineStr">
        <is>
          <t>LSE (v0000665)</t>
        </is>
      </c>
      <c r="F227" t="inlineStr">
        <is>
          <t>DEPT 15340 ppe 04/11/26</t>
        </is>
      </c>
      <c r="H227" s="5" t="n">
        <v>1000</v>
      </c>
      <c r="I227" s="5" t="n">
        <v>437754.81</v>
      </c>
      <c r="J227" s="4" t="n">
        <v>46127</v>
      </c>
      <c r="K227" t="n">
        <v>-2</v>
      </c>
    </row>
    <row r="228">
      <c r="A228" t="inlineStr">
        <is>
          <t>Bay City</t>
        </is>
      </c>
      <c r="B228" s="4" t="n">
        <v>46127</v>
      </c>
      <c r="C228" t="inlineStr">
        <is>
          <t>K-550451</t>
        </is>
      </c>
      <c r="D228" t="inlineStr">
        <is>
          <t>1815</t>
        </is>
      </c>
      <c r="E228" t="inlineStr">
        <is>
          <t>LSE (v0000665)</t>
        </is>
      </c>
      <c r="F228" t="inlineStr">
        <is>
          <t>DEPT 35100 ppe 04/11/26</t>
        </is>
      </c>
      <c r="H228" s="5" t="n">
        <v>2115.38</v>
      </c>
      <c r="I228" s="5" t="n">
        <v>435639.43</v>
      </c>
      <c r="J228" s="4" t="n">
        <v>46127</v>
      </c>
      <c r="K228" t="n">
        <v>-2</v>
      </c>
    </row>
    <row r="229">
      <c r="A229" t="inlineStr">
        <is>
          <t>Bay City</t>
        </is>
      </c>
      <c r="B229" s="4" t="n">
        <v>46127</v>
      </c>
      <c r="C229" t="inlineStr">
        <is>
          <t>K-550451</t>
        </is>
      </c>
      <c r="D229" t="inlineStr">
        <is>
          <t>1815</t>
        </is>
      </c>
      <c r="E229" t="inlineStr">
        <is>
          <t>LSE (v0000665)</t>
        </is>
      </c>
      <c r="F229" t="inlineStr">
        <is>
          <t>DEPT 15310 ppe 04/11/26</t>
        </is>
      </c>
      <c r="H229" s="5" t="n">
        <v>602.2</v>
      </c>
      <c r="I229" s="5" t="n">
        <v>435037.23</v>
      </c>
      <c r="J229" s="4" t="n">
        <v>46127</v>
      </c>
      <c r="K229" t="n">
        <v>-2</v>
      </c>
    </row>
    <row r="230">
      <c r="A230" t="inlineStr">
        <is>
          <t>Bay City</t>
        </is>
      </c>
      <c r="B230" s="4" t="n">
        <v>46127</v>
      </c>
      <c r="C230" t="inlineStr">
        <is>
          <t>K-550451</t>
        </is>
      </c>
      <c r="D230" t="inlineStr">
        <is>
          <t>1815</t>
        </is>
      </c>
      <c r="E230" t="inlineStr">
        <is>
          <t>LSE (v0000665)</t>
        </is>
      </c>
      <c r="F230" t="inlineStr">
        <is>
          <t>DEPT 15340 ppe 04/11/26</t>
        </is>
      </c>
      <c r="H230" s="5" t="n">
        <v>112.67</v>
      </c>
      <c r="I230" s="5" t="n">
        <v>434924.56</v>
      </c>
      <c r="J230" s="4" t="n">
        <v>46127</v>
      </c>
      <c r="K230" t="n">
        <v>-2</v>
      </c>
    </row>
    <row r="231">
      <c r="A231" t="inlineStr">
        <is>
          <t>Bay City</t>
        </is>
      </c>
      <c r="B231" s="4" t="n">
        <v>46127</v>
      </c>
      <c r="C231" t="inlineStr">
        <is>
          <t>K-550451</t>
        </is>
      </c>
      <c r="D231" t="inlineStr">
        <is>
          <t>1815</t>
        </is>
      </c>
      <c r="E231" t="inlineStr">
        <is>
          <t>LSE (v0000665)</t>
        </is>
      </c>
      <c r="F231" t="inlineStr">
        <is>
          <t>DEPT 35100 ppe 04/11/26</t>
        </is>
      </c>
      <c r="H231" s="5" t="n">
        <v>199.92</v>
      </c>
      <c r="I231" s="5" t="n">
        <v>434724.64</v>
      </c>
      <c r="J231" s="4" t="n">
        <v>46127</v>
      </c>
      <c r="K231" t="n">
        <v>-2</v>
      </c>
    </row>
    <row r="232">
      <c r="A232" t="inlineStr">
        <is>
          <t>Bay City</t>
        </is>
      </c>
      <c r="B232" s="4" t="n">
        <v>46127</v>
      </c>
      <c r="C232" t="inlineStr">
        <is>
          <t>K-550451</t>
        </is>
      </c>
      <c r="D232" t="inlineStr">
        <is>
          <t>1815</t>
        </is>
      </c>
      <c r="E232" t="inlineStr">
        <is>
          <t>LSE (v0000665)</t>
        </is>
      </c>
      <c r="F232" t="inlineStr">
        <is>
          <t>DEPT 35200 ppe 04/11/26</t>
        </is>
      </c>
      <c r="H232" s="5" t="n">
        <v>2.75</v>
      </c>
      <c r="I232" s="5" t="n">
        <v>434721.89</v>
      </c>
      <c r="J232" s="4" t="n">
        <v>46127</v>
      </c>
      <c r="K232" t="n">
        <v>-2</v>
      </c>
    </row>
    <row r="233">
      <c r="A233" t="inlineStr">
        <is>
          <t>Bay City</t>
        </is>
      </c>
      <c r="B233" s="4" t="n">
        <v>46127</v>
      </c>
      <c r="C233" t="inlineStr">
        <is>
          <t>K-550451</t>
        </is>
      </c>
      <c r="D233" t="inlineStr">
        <is>
          <t>1815</t>
        </is>
      </c>
      <c r="E233" t="inlineStr">
        <is>
          <t>LSE (v0000665)</t>
        </is>
      </c>
      <c r="F233" t="inlineStr">
        <is>
          <t>DEPT 15310 ppe 04/11/26</t>
        </is>
      </c>
      <c r="H233" s="5" t="n">
        <v>63.34</v>
      </c>
      <c r="I233" s="5" t="n">
        <v>434658.55</v>
      </c>
      <c r="J233" s="4" t="n">
        <v>46127</v>
      </c>
      <c r="K233" t="n">
        <v>-2</v>
      </c>
    </row>
    <row r="234">
      <c r="A234" t="inlineStr">
        <is>
          <t>Bay City</t>
        </is>
      </c>
      <c r="B234" s="4" t="n">
        <v>46127</v>
      </c>
      <c r="C234" t="inlineStr">
        <is>
          <t>K-550451</t>
        </is>
      </c>
      <c r="D234" t="inlineStr">
        <is>
          <t>1815</t>
        </is>
      </c>
      <c r="E234" t="inlineStr">
        <is>
          <t>LSE (v0000665)</t>
        </is>
      </c>
      <c r="F234" t="inlineStr">
        <is>
          <t>DEPT 15340 ppe 04/11/26</t>
        </is>
      </c>
      <c r="H234" s="5" t="n">
        <v>4.92</v>
      </c>
      <c r="I234" s="5" t="n">
        <v>434653.63</v>
      </c>
      <c r="J234" s="4" t="n">
        <v>46127</v>
      </c>
      <c r="K234" t="n">
        <v>-2</v>
      </c>
    </row>
    <row r="235">
      <c r="A235" t="inlineStr">
        <is>
          <t>Bay City</t>
        </is>
      </c>
      <c r="B235" s="4" t="n">
        <v>46127</v>
      </c>
      <c r="C235" t="inlineStr">
        <is>
          <t>K-550451</t>
        </is>
      </c>
      <c r="D235" t="inlineStr">
        <is>
          <t>1815</t>
        </is>
      </c>
      <c r="E235" t="inlineStr">
        <is>
          <t>LSE (v0000665)</t>
        </is>
      </c>
      <c r="F235" t="inlineStr">
        <is>
          <t>DEPT 35200 ppe 04/11/26</t>
        </is>
      </c>
      <c r="H235" s="5" t="n">
        <v>1.06</v>
      </c>
      <c r="I235" s="5" t="n">
        <v>434652.57</v>
      </c>
      <c r="J235" s="4" t="n">
        <v>46127</v>
      </c>
      <c r="K235" t="n">
        <v>-2</v>
      </c>
    </row>
    <row r="236">
      <c r="A236" t="inlineStr">
        <is>
          <t>Bay City</t>
        </is>
      </c>
      <c r="B236" s="4" t="n">
        <v>46127</v>
      </c>
      <c r="C236" t="inlineStr">
        <is>
          <t>K-550451</t>
        </is>
      </c>
      <c r="D236" t="inlineStr">
        <is>
          <t>1815</t>
        </is>
      </c>
      <c r="E236" t="inlineStr">
        <is>
          <t>LSE (v0000665)</t>
        </is>
      </c>
      <c r="F236" t="inlineStr">
        <is>
          <t>DEPT 15310 ppe 04/11/26</t>
        </is>
      </c>
      <c r="G236" s="5" t="n">
        <v>267.5</v>
      </c>
      <c r="I236" s="5" t="n">
        <v>434920.07</v>
      </c>
      <c r="J236" s="4" t="n">
        <v>46127</v>
      </c>
      <c r="K236" t="n">
        <v>-2</v>
      </c>
    </row>
    <row r="237">
      <c r="A237" t="inlineStr">
        <is>
          <t>Bay City</t>
        </is>
      </c>
      <c r="B237" s="4" t="n">
        <v>46127</v>
      </c>
      <c r="C237" t="inlineStr">
        <is>
          <t>K-550451</t>
        </is>
      </c>
      <c r="D237" t="inlineStr">
        <is>
          <t>1815</t>
        </is>
      </c>
      <c r="E237" t="inlineStr">
        <is>
          <t>LSE (v0000665)</t>
        </is>
      </c>
      <c r="F237" t="inlineStr">
        <is>
          <t>DEPT 15340 ppe 04/11/26</t>
        </is>
      </c>
      <c r="G237" s="5" t="n">
        <v>91.86</v>
      </c>
      <c r="I237" s="5" t="n">
        <v>435011.93</v>
      </c>
      <c r="J237" s="4" t="n">
        <v>46127</v>
      </c>
      <c r="K237" t="n">
        <v>-2</v>
      </c>
    </row>
    <row r="238">
      <c r="A238" t="inlineStr">
        <is>
          <t>Bay City</t>
        </is>
      </c>
      <c r="B238" s="4" t="n">
        <v>46127</v>
      </c>
      <c r="C238" t="inlineStr">
        <is>
          <t>K-550451</t>
        </is>
      </c>
      <c r="D238" t="inlineStr">
        <is>
          <t>1815</t>
        </is>
      </c>
      <c r="E238" t="inlineStr">
        <is>
          <t>LSE (v0000665)</t>
        </is>
      </c>
      <c r="F238" t="inlineStr">
        <is>
          <t>DEPT 35200 ppe 04/11/26</t>
        </is>
      </c>
      <c r="G238" s="5" t="n">
        <v>1.54</v>
      </c>
      <c r="I238" s="5" t="n">
        <v>435013.47</v>
      </c>
      <c r="J238" s="4" t="n">
        <v>46127</v>
      </c>
      <c r="K238" t="n">
        <v>-2</v>
      </c>
    </row>
    <row r="239">
      <c r="A239" t="inlineStr">
        <is>
          <t>Bay City</t>
        </is>
      </c>
      <c r="B239" s="4" t="n">
        <v>46127</v>
      </c>
      <c r="C239" t="inlineStr">
        <is>
          <t>K-550451</t>
        </is>
      </c>
      <c r="D239" t="inlineStr">
        <is>
          <t>1815</t>
        </is>
      </c>
      <c r="E239" t="inlineStr">
        <is>
          <t>LSE (v0000665)</t>
        </is>
      </c>
      <c r="F239" t="inlineStr">
        <is>
          <t>DEPT 15310 ppe 04/11/26</t>
        </is>
      </c>
      <c r="G239" s="5" t="n">
        <v>14.37</v>
      </c>
      <c r="I239" s="5" t="n">
        <v>435027.84</v>
      </c>
      <c r="J239" s="4" t="n">
        <v>46127</v>
      </c>
      <c r="K239" t="n">
        <v>-2</v>
      </c>
    </row>
    <row r="240">
      <c r="A240" t="inlineStr">
        <is>
          <t>Bay City</t>
        </is>
      </c>
      <c r="B240" s="4" t="n">
        <v>46127</v>
      </c>
      <c r="C240" t="inlineStr">
        <is>
          <t>K-550451</t>
        </is>
      </c>
      <c r="D240" t="inlineStr">
        <is>
          <t>1815</t>
        </is>
      </c>
      <c r="E240" t="inlineStr">
        <is>
          <t>LSE (v0000665)</t>
        </is>
      </c>
      <c r="F240" t="inlineStr">
        <is>
          <t>DEPT 15340 ppe 04/11/26</t>
        </is>
      </c>
      <c r="G240" s="5" t="n">
        <v>6.2</v>
      </c>
      <c r="I240" s="5" t="n">
        <v>435034.04</v>
      </c>
      <c r="J240" s="4" t="n">
        <v>46127</v>
      </c>
      <c r="K240" t="n">
        <v>-2</v>
      </c>
    </row>
    <row r="241">
      <c r="A241" t="inlineStr">
        <is>
          <t>Bay City</t>
        </is>
      </c>
      <c r="B241" s="4" t="n">
        <v>46127</v>
      </c>
      <c r="C241" t="inlineStr">
        <is>
          <t>K-550451</t>
        </is>
      </c>
      <c r="D241" t="inlineStr">
        <is>
          <t>1815</t>
        </is>
      </c>
      <c r="E241" t="inlineStr">
        <is>
          <t>LSE (v0000665)</t>
        </is>
      </c>
      <c r="F241" t="inlineStr">
        <is>
          <t>DEPT 15310 ppe 04/11/26</t>
        </is>
      </c>
      <c r="G241" s="5" t="n">
        <v>36.96</v>
      </c>
      <c r="I241" s="5" t="n">
        <v>435071</v>
      </c>
      <c r="J241" s="4" t="n">
        <v>46127</v>
      </c>
      <c r="K241" t="n">
        <v>-2</v>
      </c>
    </row>
    <row r="242">
      <c r="A242" t="inlineStr">
        <is>
          <t>Bay City</t>
        </is>
      </c>
      <c r="B242" s="4" t="n">
        <v>46127</v>
      </c>
      <c r="C242" t="inlineStr">
        <is>
          <t>K-550451</t>
        </is>
      </c>
      <c r="D242" t="inlineStr">
        <is>
          <t>1815</t>
        </is>
      </c>
      <c r="E242" t="inlineStr">
        <is>
          <t>LSE (v0000665)</t>
        </is>
      </c>
      <c r="F242" t="inlineStr">
        <is>
          <t>DEPT 15340 ppe 04/11/26</t>
        </is>
      </c>
      <c r="G242" s="5" t="n">
        <v>9.199999999999999</v>
      </c>
      <c r="I242" s="5" t="n">
        <v>435080.2</v>
      </c>
      <c r="J242" s="4" t="n">
        <v>46127</v>
      </c>
      <c r="K242" t="n">
        <v>-2</v>
      </c>
    </row>
    <row r="243">
      <c r="A243" t="inlineStr">
        <is>
          <t>Bay City</t>
        </is>
      </c>
      <c r="B243" s="4" t="n">
        <v>46127</v>
      </c>
      <c r="C243" t="inlineStr">
        <is>
          <t>K-550451</t>
        </is>
      </c>
      <c r="D243" t="inlineStr">
        <is>
          <t>1815</t>
        </is>
      </c>
      <c r="E243" t="inlineStr">
        <is>
          <t>LSE (v0000665)</t>
        </is>
      </c>
      <c r="F243" t="inlineStr">
        <is>
          <t>DEPT 15310 ppe 04/11/26</t>
        </is>
      </c>
      <c r="G243" s="5" t="n">
        <v>10.51</v>
      </c>
      <c r="I243" s="5" t="n">
        <v>435090.71</v>
      </c>
      <c r="J243" s="4" t="n">
        <v>46127</v>
      </c>
      <c r="K243" t="n">
        <v>-2</v>
      </c>
    </row>
    <row r="244">
      <c r="A244" t="inlineStr">
        <is>
          <t>Bay City</t>
        </is>
      </c>
      <c r="B244" s="4" t="n">
        <v>46127</v>
      </c>
      <c r="C244" t="inlineStr">
        <is>
          <t>K-550451</t>
        </is>
      </c>
      <c r="D244" t="inlineStr">
        <is>
          <t>1815</t>
        </is>
      </c>
      <c r="E244" t="inlineStr">
        <is>
          <t>LSE (v0000665)</t>
        </is>
      </c>
      <c r="F244" t="inlineStr">
        <is>
          <t>DEPT 15340 ppe 04/11/26</t>
        </is>
      </c>
      <c r="G244" s="5" t="n">
        <v>2.45</v>
      </c>
      <c r="I244" s="5" t="n">
        <v>435093.16</v>
      </c>
      <c r="J244" s="4" t="n">
        <v>46127</v>
      </c>
      <c r="K244" t="n">
        <v>-2</v>
      </c>
    </row>
    <row r="245">
      <c r="A245" t="inlineStr">
        <is>
          <t>Bay City</t>
        </is>
      </c>
      <c r="B245" s="4" t="n">
        <v>46127</v>
      </c>
      <c r="C245" t="inlineStr">
        <is>
          <t>K-550470</t>
        </is>
      </c>
      <c r="D245" t="inlineStr">
        <is>
          <t>1816</t>
        </is>
      </c>
      <c r="E245" t="inlineStr">
        <is>
          <t>The Olde Sale Barn (v0012320)</t>
        </is>
      </c>
      <c r="F245" t="inlineStr">
        <is>
          <t>CX-Garage Package (Includes Garage door,7' walls, ramp and reinforced floor)</t>
        </is>
      </c>
      <c r="H245" s="5" t="n">
        <v>9784</v>
      </c>
      <c r="I245" s="5" t="n">
        <v>425309.16</v>
      </c>
      <c r="J245" s="4" t="n">
        <v>46135</v>
      </c>
      <c r="K245" t="n">
        <v>-2</v>
      </c>
    </row>
    <row r="246">
      <c r="A246" t="inlineStr">
        <is>
          <t>Bay City</t>
        </is>
      </c>
      <c r="B246" s="4" t="n">
        <v>46127</v>
      </c>
      <c r="C246" t="inlineStr">
        <is>
          <t>K-550563</t>
        </is>
      </c>
      <c r="D246" t="inlineStr">
        <is>
          <t>1817</t>
        </is>
      </c>
      <c r="E246" t="inlineStr">
        <is>
          <t>Sussex County (v0007778)</t>
        </is>
      </c>
      <c r="F246" t="inlineStr">
        <is>
          <t>04/01/2026-06/30/2026-Sewer-08-02-034-D21-SEWER 21-35264 5TH ST BAY CITY LOT D21</t>
        </is>
      </c>
      <c r="H246" s="5" t="n">
        <v>168.26</v>
      </c>
      <c r="I246" s="5" t="n">
        <v>425140.9</v>
      </c>
      <c r="K246" t="n">
        <v>-1</v>
      </c>
    </row>
    <row r="247">
      <c r="A247" t="inlineStr">
        <is>
          <t>Bay City</t>
        </is>
      </c>
      <c r="B247" s="4" t="n">
        <v>46127</v>
      </c>
      <c r="C247" t="inlineStr">
        <is>
          <t>K-550563</t>
        </is>
      </c>
      <c r="D247" t="inlineStr">
        <is>
          <t>1817</t>
        </is>
      </c>
      <c r="E247" t="inlineStr">
        <is>
          <t>Sussex County (v0007778)</t>
        </is>
      </c>
      <c r="F247" t="inlineStr">
        <is>
          <t>04/01/2026-06/30/2026-Sewer-08-02-034-E17-SEWER 17-BAY CITY LOT E17</t>
        </is>
      </c>
      <c r="H247" s="5" t="n">
        <v>88</v>
      </c>
      <c r="I247" s="5" t="n">
        <v>425052.9</v>
      </c>
      <c r="K247" t="n">
        <v>-1</v>
      </c>
    </row>
    <row r="248">
      <c r="A248" t="inlineStr">
        <is>
          <t>Bay City</t>
        </is>
      </c>
      <c r="B248" s="4" t="n">
        <v>46127</v>
      </c>
      <c r="C248" t="inlineStr">
        <is>
          <t>K-550705</t>
        </is>
      </c>
      <c r="D248" t="inlineStr">
        <is>
          <t>22685</t>
        </is>
      </c>
      <c r="E248" t="inlineStr">
        <is>
          <t>LAKESHORE MANAGEMENT - WFB (v0000616)</t>
        </is>
      </c>
      <c r="F248" t="inlineStr">
        <is>
          <t>Principal PMT WF Equip Loan Contract#23</t>
        </is>
      </c>
      <c r="H248" s="5" t="n">
        <v>116.49</v>
      </c>
      <c r="I248" s="5" t="n">
        <v>424936.41</v>
      </c>
      <c r="J248" s="4" t="n">
        <v>46128</v>
      </c>
      <c r="K248" t="n">
        <v>-2</v>
      </c>
    </row>
    <row r="249">
      <c r="A249" t="inlineStr">
        <is>
          <t>Bay City</t>
        </is>
      </c>
      <c r="B249" s="4" t="n">
        <v>46127</v>
      </c>
      <c r="C249" t="inlineStr">
        <is>
          <t>K-550705</t>
        </is>
      </c>
      <c r="D249" t="inlineStr">
        <is>
          <t>22685</t>
        </is>
      </c>
      <c r="E249" t="inlineStr">
        <is>
          <t>LAKESHORE MANAGEMENT - WFB (v0000616)</t>
        </is>
      </c>
      <c r="F249" t="inlineStr">
        <is>
          <t>Principal PMT WF Equip Loan Contract#25</t>
        </is>
      </c>
      <c r="H249" s="5" t="n">
        <v>387.73</v>
      </c>
      <c r="I249" s="5" t="n">
        <v>424548.68</v>
      </c>
      <c r="J249" s="4" t="n">
        <v>46128</v>
      </c>
      <c r="K249" t="n">
        <v>-2</v>
      </c>
    </row>
    <row r="250">
      <c r="A250" t="inlineStr">
        <is>
          <t>Bay City</t>
        </is>
      </c>
      <c r="B250" s="4" t="n">
        <v>46127</v>
      </c>
      <c r="C250" t="inlineStr">
        <is>
          <t>K-550705</t>
        </is>
      </c>
      <c r="D250" t="inlineStr">
        <is>
          <t>22685</t>
        </is>
      </c>
      <c r="E250" t="inlineStr">
        <is>
          <t>LAKESHORE MANAGEMENT - WFB (v0000616)</t>
        </is>
      </c>
      <c r="F250" t="inlineStr">
        <is>
          <t>Interest PMT WF Equip Loan Contract#26</t>
        </is>
      </c>
      <c r="H250" s="5" t="n">
        <v>85.13</v>
      </c>
      <c r="I250" s="5" t="n">
        <v>424463.55</v>
      </c>
      <c r="J250" s="4" t="n">
        <v>46128</v>
      </c>
      <c r="K250" t="n">
        <v>-2</v>
      </c>
    </row>
    <row r="251">
      <c r="A251" t="inlineStr">
        <is>
          <t>Bay City</t>
        </is>
      </c>
      <c r="B251" s="4" t="n">
        <v>46127</v>
      </c>
      <c r="C251" t="inlineStr">
        <is>
          <t>K-550705</t>
        </is>
      </c>
      <c r="D251" t="inlineStr">
        <is>
          <t>22685</t>
        </is>
      </c>
      <c r="E251" t="inlineStr">
        <is>
          <t>LAKESHORE MANAGEMENT - WFB (v0000616)</t>
        </is>
      </c>
      <c r="F251" t="inlineStr">
        <is>
          <t>Principal PMT WF Equip Loan Contract#26</t>
        </is>
      </c>
      <c r="H251" s="5" t="n">
        <v>1350.33</v>
      </c>
      <c r="I251" s="5" t="n">
        <v>423113.22</v>
      </c>
      <c r="J251" s="4" t="n">
        <v>46128</v>
      </c>
      <c r="K251" t="n">
        <v>-2</v>
      </c>
    </row>
    <row r="252">
      <c r="A252" t="inlineStr">
        <is>
          <t>Bay City</t>
        </is>
      </c>
      <c r="B252" s="4" t="n">
        <v>46127</v>
      </c>
      <c r="C252" t="inlineStr">
        <is>
          <t>K-550829</t>
        </is>
      </c>
      <c r="D252" t="inlineStr">
        <is>
          <t>22686</t>
        </is>
      </c>
      <c r="E252" t="inlineStr">
        <is>
          <t>Lakeshore Management Inc (v0000666)</t>
        </is>
      </c>
      <c r="F252" t="inlineStr">
        <is>
          <t>MA PAYBACK APRIL 2026</t>
        </is>
      </c>
      <c r="H252" s="5" t="n">
        <v>504.39</v>
      </c>
      <c r="I252" s="5" t="n">
        <v>422608.83</v>
      </c>
      <c r="J252" s="4" t="n">
        <v>46128</v>
      </c>
      <c r="K252" t="n">
        <v>-2</v>
      </c>
    </row>
    <row r="253">
      <c r="A253" t="inlineStr">
        <is>
          <t>Bay City</t>
        </is>
      </c>
      <c r="B253" s="4" t="n">
        <v>46127</v>
      </c>
      <c r="C253" t="inlineStr">
        <is>
          <t>J-365035</t>
        </is>
      </c>
      <c r="D253" t="inlineStr">
        <is>
          <t>Daily Deposit</t>
        </is>
      </c>
      <c r="E253" t="inlineStr">
        <is>
          <t>04/15/2026 Daily Deposit</t>
        </is>
      </c>
      <c r="F253" t="inlineStr">
        <is>
          <t>CKS 04/15/2026 Batch 2b7d15ee-8526-4fdb-8206-2c0bebb3e161</t>
        </is>
      </c>
      <c r="G253" s="5" t="n">
        <v>120</v>
      </c>
      <c r="I253" s="5" t="n">
        <v>422728.83</v>
      </c>
      <c r="J253" s="4" t="n">
        <v>46128</v>
      </c>
      <c r="K253" t="n">
        <v>2</v>
      </c>
    </row>
    <row r="254">
      <c r="A254" t="inlineStr">
        <is>
          <t>Bay City</t>
        </is>
      </c>
      <c r="B254" s="4" t="n">
        <v>46127</v>
      </c>
      <c r="C254" t="inlineStr">
        <is>
          <t>J-365035</t>
        </is>
      </c>
      <c r="D254" t="inlineStr">
        <is>
          <t>Daily Deposit</t>
        </is>
      </c>
      <c r="E254" t="inlineStr">
        <is>
          <t>04/15/2026 Daily Deposit</t>
        </is>
      </c>
      <c r="F254" t="inlineStr">
        <is>
          <t>CKS 04/15/2026 Batch 6c1f2f5a-cfd0-4fcd-8654-08b43bf7422a</t>
        </is>
      </c>
      <c r="G254" s="5" t="n">
        <v>7341.54</v>
      </c>
      <c r="I254" s="5" t="n">
        <v>430070.37</v>
      </c>
      <c r="J254" s="4" t="n">
        <v>46128</v>
      </c>
      <c r="K254" t="n">
        <v>2</v>
      </c>
    </row>
    <row r="255">
      <c r="A255" t="inlineStr">
        <is>
          <t>Bay City</t>
        </is>
      </c>
      <c r="B255" s="4" t="n">
        <v>46127</v>
      </c>
      <c r="C255" t="inlineStr">
        <is>
          <t>J-365035</t>
        </is>
      </c>
      <c r="D255" t="inlineStr">
        <is>
          <t>Daily Deposit</t>
        </is>
      </c>
      <c r="E255" t="inlineStr">
        <is>
          <t>04/15/2026 Daily Deposit</t>
        </is>
      </c>
      <c r="F255" t="inlineStr">
        <is>
          <t>RP : ACH Deposit 04/11/2026</t>
        </is>
      </c>
      <c r="G255" s="5" t="n">
        <v>875</v>
      </c>
      <c r="I255" s="5" t="n">
        <v>430945.37</v>
      </c>
      <c r="J255" s="4" t="n">
        <v>46127</v>
      </c>
      <c r="K255" t="n">
        <v>2</v>
      </c>
    </row>
    <row r="256">
      <c r="A256" t="inlineStr">
        <is>
          <t>Bay City</t>
        </is>
      </c>
      <c r="B256" s="4" t="n">
        <v>46128</v>
      </c>
      <c r="C256" t="inlineStr">
        <is>
          <t>K-550859</t>
        </is>
      </c>
      <c r="D256" t="inlineStr">
        <is>
          <t>1818</t>
        </is>
      </c>
      <c r="E256" t="inlineStr">
        <is>
          <t>Delaware Electric Cooperative Inc (v0007699)</t>
        </is>
      </c>
      <c r="F256" t="inlineStr">
        <is>
          <t>Electric-16423500-120-03/13/2026-04/10/2026 - 29 Days Vacant</t>
        </is>
      </c>
      <c r="H256" s="5" t="n">
        <v>35.3</v>
      </c>
      <c r="I256" s="5" t="n">
        <v>430910.07</v>
      </c>
      <c r="J256" s="4" t="n">
        <v>46136</v>
      </c>
      <c r="K256" t="n">
        <v>-2</v>
      </c>
    </row>
    <row r="257">
      <c r="A257" t="inlineStr">
        <is>
          <t>Bay City</t>
        </is>
      </c>
      <c r="B257" s="4" t="n">
        <v>46128</v>
      </c>
      <c r="C257" t="inlineStr">
        <is>
          <t>K-550859</t>
        </is>
      </c>
      <c r="D257" t="inlineStr">
        <is>
          <t>1818</t>
        </is>
      </c>
      <c r="E257" t="inlineStr">
        <is>
          <t>Delaware Electric Cooperative Inc (v0007699)</t>
        </is>
      </c>
      <c r="F257" t="inlineStr">
        <is>
          <t>Electric-5170602-140-03/13/2026-04/10/2026 - 29 Days Vacant</t>
        </is>
      </c>
      <c r="H257" s="5" t="n">
        <v>45.17</v>
      </c>
      <c r="I257" s="5" t="n">
        <v>430864.9</v>
      </c>
      <c r="J257" s="4" t="n">
        <v>46136</v>
      </c>
      <c r="K257" t="n">
        <v>-2</v>
      </c>
    </row>
    <row r="258">
      <c r="A258" t="inlineStr">
        <is>
          <t>Bay City</t>
        </is>
      </c>
      <c r="B258" s="4" t="n">
        <v>46128</v>
      </c>
      <c r="C258" t="inlineStr">
        <is>
          <t>K-550859</t>
        </is>
      </c>
      <c r="D258" t="inlineStr">
        <is>
          <t>1818</t>
        </is>
      </c>
      <c r="E258" t="inlineStr">
        <is>
          <t>Delaware Electric Cooperative Inc (v0007699)</t>
        </is>
      </c>
      <c r="F258" t="inlineStr">
        <is>
          <t>Electric-5221609-E7-03/13/2026-04/10/2026 - 29 Days Vacant</t>
        </is>
      </c>
      <c r="H258" s="5" t="n">
        <v>130.15</v>
      </c>
      <c r="I258" s="5" t="n">
        <v>430734.75</v>
      </c>
      <c r="J258" s="4" t="n">
        <v>46136</v>
      </c>
      <c r="K258" t="n">
        <v>-2</v>
      </c>
    </row>
    <row r="259">
      <c r="A259" t="inlineStr">
        <is>
          <t>Bay City</t>
        </is>
      </c>
      <c r="B259" s="4" t="n">
        <v>46128</v>
      </c>
      <c r="C259" t="inlineStr">
        <is>
          <t>K-550859</t>
        </is>
      </c>
      <c r="D259" t="inlineStr">
        <is>
          <t>1818</t>
        </is>
      </c>
      <c r="E259" t="inlineStr">
        <is>
          <t>Delaware Electric Cooperative Inc (v0007699)</t>
        </is>
      </c>
      <c r="F259" t="inlineStr">
        <is>
          <t>Electric-16423200-91-03/13/2026-04/10/2026 - 29 Days Vacant</t>
        </is>
      </c>
      <c r="H259" s="5" t="n">
        <v>37.97</v>
      </c>
      <c r="I259" s="5" t="n">
        <v>430696.78</v>
      </c>
      <c r="J259" s="4" t="n">
        <v>46136</v>
      </c>
      <c r="K259" t="n">
        <v>-2</v>
      </c>
    </row>
    <row r="260">
      <c r="A260" t="inlineStr">
        <is>
          <t>Bay City</t>
        </is>
      </c>
      <c r="B260" s="4" t="n">
        <v>46128</v>
      </c>
      <c r="C260" t="inlineStr">
        <is>
          <t>K-550859</t>
        </is>
      </c>
      <c r="D260" t="inlineStr">
        <is>
          <t>1818</t>
        </is>
      </c>
      <c r="E260" t="inlineStr">
        <is>
          <t>Delaware Electric Cooperative Inc (v0007699)</t>
        </is>
      </c>
      <c r="F260" t="inlineStr">
        <is>
          <t>Electric-5184204-159-03/13/2026-04/10/2026 - 29 Days Vacant</t>
        </is>
      </c>
      <c r="H260" s="5" t="n">
        <v>37.61</v>
      </c>
      <c r="I260" s="5" t="n">
        <v>430659.17</v>
      </c>
      <c r="J260" s="4" t="n">
        <v>46136</v>
      </c>
      <c r="K260" t="n">
        <v>-2</v>
      </c>
    </row>
    <row r="261">
      <c r="A261" t="inlineStr">
        <is>
          <t>Bay City</t>
        </is>
      </c>
      <c r="B261" s="4" t="n">
        <v>46128</v>
      </c>
      <c r="C261" t="inlineStr">
        <is>
          <t>K-550859</t>
        </is>
      </c>
      <c r="D261" t="inlineStr">
        <is>
          <t>1818</t>
        </is>
      </c>
      <c r="E261" t="inlineStr">
        <is>
          <t>Delaware Electric Cooperative Inc (v0007699)</t>
        </is>
      </c>
      <c r="F261" t="inlineStr">
        <is>
          <t>Electric-5184602-161-03/13/2026-04/10/2026 - 29 Days Vacant</t>
        </is>
      </c>
      <c r="H261" s="5" t="n">
        <v>44.05</v>
      </c>
      <c r="I261" s="5" t="n">
        <v>430615.12</v>
      </c>
      <c r="J261" s="4" t="n">
        <v>46136</v>
      </c>
      <c r="K261" t="n">
        <v>-2</v>
      </c>
    </row>
    <row r="262">
      <c r="A262" t="inlineStr">
        <is>
          <t>Bay City</t>
        </is>
      </c>
      <c r="B262" s="4" t="n">
        <v>46128</v>
      </c>
      <c r="C262" t="inlineStr">
        <is>
          <t>K-550859</t>
        </is>
      </c>
      <c r="D262" t="inlineStr">
        <is>
          <t>1818</t>
        </is>
      </c>
      <c r="E262" t="inlineStr">
        <is>
          <t>Delaware Electric Cooperative Inc (v0007699)</t>
        </is>
      </c>
      <c r="F262" t="inlineStr">
        <is>
          <t>03/13/2026-04/10/2026-Electric-16422800-85186878-35873 S Canal St</t>
        </is>
      </c>
      <c r="H262" s="5" t="n">
        <v>28</v>
      </c>
      <c r="I262" s="5" t="n">
        <v>430587.12</v>
      </c>
      <c r="J262" s="4" t="n">
        <v>46136</v>
      </c>
      <c r="K262" t="n">
        <v>-2</v>
      </c>
    </row>
    <row r="263">
      <c r="A263" t="inlineStr">
        <is>
          <t>Bay City</t>
        </is>
      </c>
      <c r="B263" s="4" t="n">
        <v>46128</v>
      </c>
      <c r="C263" t="inlineStr">
        <is>
          <t>K-550859</t>
        </is>
      </c>
      <c r="D263" t="inlineStr">
        <is>
          <t>1818</t>
        </is>
      </c>
      <c r="E263" t="inlineStr">
        <is>
          <t>Delaware Electric Cooperative Inc (v0007699)</t>
        </is>
      </c>
      <c r="F263" t="inlineStr">
        <is>
          <t>03/13/2026-04/10/2026-Electric-16424000-76702171</t>
        </is>
      </c>
      <c r="H263" s="5" t="n">
        <v>37.13</v>
      </c>
      <c r="I263" s="5" t="n">
        <v>430549.99</v>
      </c>
      <c r="J263" s="4" t="n">
        <v>46136</v>
      </c>
      <c r="K263" t="n">
        <v>-2</v>
      </c>
    </row>
    <row r="264">
      <c r="A264" t="inlineStr">
        <is>
          <t>Bay City</t>
        </is>
      </c>
      <c r="B264" s="4" t="n">
        <v>46128</v>
      </c>
      <c r="C264" t="inlineStr">
        <is>
          <t>K-551087</t>
        </is>
      </c>
      <c r="D264" t="inlineStr">
        <is>
          <t>22687</t>
        </is>
      </c>
      <c r="E264" t="inlineStr">
        <is>
          <t>LAKESHORE MANAGEMENT - WFB (v0000616)</t>
        </is>
      </c>
      <c r="F264" t="inlineStr">
        <is>
          <t>QUARTERLY BANK CHARGES JAN FEB MAR  2026</t>
        </is>
      </c>
      <c r="H264" s="5" t="n">
        <v>702.17</v>
      </c>
      <c r="I264" s="5" t="n">
        <v>429847.82</v>
      </c>
      <c r="J264" s="4" t="n">
        <v>46129</v>
      </c>
      <c r="K264" t="n">
        <v>-2</v>
      </c>
    </row>
    <row r="265">
      <c r="A265" t="inlineStr">
        <is>
          <t>Bay City</t>
        </is>
      </c>
      <c r="B265" s="4" t="n">
        <v>46128</v>
      </c>
      <c r="C265" t="inlineStr">
        <is>
          <t>J-365046</t>
        </is>
      </c>
      <c r="D265" t="inlineStr">
        <is>
          <t>Daily Deposit</t>
        </is>
      </c>
      <c r="E265" t="inlineStr">
        <is>
          <t>04/16/2026 Daily Deposit</t>
        </is>
      </c>
      <c r="F265" t="inlineStr">
        <is>
          <t>CKS 04/16/2026 Batch 411e9996-3fcc-41fb-9160-94bf9ba2fbad</t>
        </is>
      </c>
      <c r="G265" s="5" t="n">
        <v>1785</v>
      </c>
      <c r="I265" s="5" t="n">
        <v>431632.82</v>
      </c>
      <c r="J265" s="4" t="n">
        <v>46129</v>
      </c>
      <c r="K265" t="n">
        <v>2</v>
      </c>
    </row>
    <row r="266">
      <c r="A266" t="inlineStr">
        <is>
          <t>Bay City</t>
        </is>
      </c>
      <c r="B266" s="4" t="n">
        <v>46128</v>
      </c>
      <c r="C266" t="inlineStr">
        <is>
          <t>J-365046</t>
        </is>
      </c>
      <c r="D266" t="inlineStr">
        <is>
          <t>Daily Deposit</t>
        </is>
      </c>
      <c r="E266" t="inlineStr">
        <is>
          <t>04/16/2026 Daily Deposit</t>
        </is>
      </c>
      <c r="F266" t="inlineStr">
        <is>
          <t>RP : CC Deposit 04/16/2026</t>
        </is>
      </c>
      <c r="G266" s="5" t="n">
        <v>1950</v>
      </c>
      <c r="I266" s="5" t="n">
        <v>433582.82</v>
      </c>
      <c r="J266" s="4" t="n">
        <v>46132</v>
      </c>
      <c r="K266" t="n">
        <v>2</v>
      </c>
    </row>
    <row r="267">
      <c r="A267" t="inlineStr">
        <is>
          <t>Bay City</t>
        </is>
      </c>
      <c r="B267" s="4" t="n">
        <v>46129</v>
      </c>
      <c r="C267" t="inlineStr">
        <is>
          <t>K-551441</t>
        </is>
      </c>
      <c r="D267" t="inlineStr">
        <is>
          <t>22688</t>
        </is>
      </c>
      <c r="E267" t="inlineStr">
        <is>
          <t>Lakeshore Management Inc (v0000666)</t>
        </is>
      </c>
      <c r="F267" t="inlineStr">
        <is>
          <t>PB YARDI INVOICE # 5234519 MARCH 2026</t>
        </is>
      </c>
      <c r="H267" s="5" t="n">
        <v>14.12</v>
      </c>
      <c r="I267" s="5" t="n">
        <v>433568.7</v>
      </c>
      <c r="J267" s="4" t="n">
        <v>46132</v>
      </c>
      <c r="K267" t="n">
        <v>-2</v>
      </c>
    </row>
    <row r="268">
      <c r="A268" t="inlineStr">
        <is>
          <t>Bay City</t>
        </is>
      </c>
      <c r="B268" s="4" t="n">
        <v>46129</v>
      </c>
      <c r="C268" t="inlineStr">
        <is>
          <t>K-551441</t>
        </is>
      </c>
      <c r="D268" t="inlineStr">
        <is>
          <t>22688</t>
        </is>
      </c>
      <c r="E268" t="inlineStr">
        <is>
          <t>Lakeshore Management Inc (v0000666)</t>
        </is>
      </c>
      <c r="F268" t="inlineStr">
        <is>
          <t>PB YARDI INVOICE # 5234519 MARCH 2026</t>
        </is>
      </c>
      <c r="H268" s="5" t="n">
        <v>9.390000000000001</v>
      </c>
      <c r="I268" s="5" t="n">
        <v>433559.31</v>
      </c>
      <c r="J268" s="4" t="n">
        <v>46132</v>
      </c>
      <c r="K268" t="n">
        <v>-2</v>
      </c>
    </row>
    <row r="269">
      <c r="A269" t="inlineStr">
        <is>
          <t>Bay City</t>
        </is>
      </c>
      <c r="B269" s="4" t="n">
        <v>46129</v>
      </c>
      <c r="C269" t="inlineStr">
        <is>
          <t>K-551513</t>
        </is>
      </c>
      <c r="D269" t="inlineStr">
        <is>
          <t>1819</t>
        </is>
      </c>
      <c r="E269" t="inlineStr">
        <is>
          <t>Suburban Propane 1229 (v0001025)</t>
        </is>
      </c>
      <c r="F269" t="inlineStr">
        <is>
          <t>27.5 Gallons</t>
        </is>
      </c>
      <c r="H269" s="5" t="n">
        <v>104.72</v>
      </c>
      <c r="I269" s="5" t="n">
        <v>433454.59</v>
      </c>
      <c r="J269" s="4" t="n">
        <v>46142</v>
      </c>
      <c r="K269" t="n">
        <v>-2</v>
      </c>
    </row>
    <row r="270">
      <c r="A270" t="inlineStr">
        <is>
          <t>Bay City</t>
        </is>
      </c>
      <c r="B270" s="4" t="n">
        <v>46129</v>
      </c>
      <c r="C270" t="inlineStr">
        <is>
          <t>K-551513</t>
        </is>
      </c>
      <c r="D270" t="inlineStr">
        <is>
          <t>1819</t>
        </is>
      </c>
      <c r="E270" t="inlineStr">
        <is>
          <t>Suburban Propane 1229 (v0001025)</t>
        </is>
      </c>
      <c r="F270" t="inlineStr">
        <is>
          <t>42.3 gallons</t>
        </is>
      </c>
      <c r="H270" s="5" t="n">
        <v>149.11</v>
      </c>
      <c r="I270" s="5" t="n">
        <v>433305.48</v>
      </c>
      <c r="J270" s="4" t="n">
        <v>46142</v>
      </c>
      <c r="K270" t="n">
        <v>-2</v>
      </c>
    </row>
    <row r="271">
      <c r="A271" t="inlineStr">
        <is>
          <t>Bay City</t>
        </is>
      </c>
      <c r="B271" s="4" t="n">
        <v>46129</v>
      </c>
      <c r="C271" t="inlineStr">
        <is>
          <t>K-551513</t>
        </is>
      </c>
      <c r="D271" t="inlineStr">
        <is>
          <t>1819</t>
        </is>
      </c>
      <c r="E271" t="inlineStr">
        <is>
          <t>Suburban Propane 1229 (v0001025)</t>
        </is>
      </c>
      <c r="F271" t="inlineStr">
        <is>
          <t>24.1 Gallons</t>
        </is>
      </c>
      <c r="H271" s="5" t="n">
        <v>94.53</v>
      </c>
      <c r="I271" s="5" t="n">
        <v>433210.95</v>
      </c>
      <c r="J271" s="4" t="n">
        <v>46142</v>
      </c>
      <c r="K271" t="n">
        <v>-2</v>
      </c>
    </row>
    <row r="272">
      <c r="A272" t="inlineStr">
        <is>
          <t>Bay City</t>
        </is>
      </c>
      <c r="B272" s="4" t="n">
        <v>46129</v>
      </c>
      <c r="C272" t="inlineStr">
        <is>
          <t>K-551513</t>
        </is>
      </c>
      <c r="D272" t="inlineStr">
        <is>
          <t>1819</t>
        </is>
      </c>
      <c r="E272" t="inlineStr">
        <is>
          <t>Suburban Propane 1229 (v0001025)</t>
        </is>
      </c>
      <c r="F272" t="inlineStr">
        <is>
          <t>36.7 Gallons</t>
        </is>
      </c>
      <c r="H272" s="5" t="n">
        <v>131.98</v>
      </c>
      <c r="I272" s="5" t="n">
        <v>433078.97</v>
      </c>
      <c r="J272" s="4" t="n">
        <v>46142</v>
      </c>
      <c r="K272" t="n">
        <v>-2</v>
      </c>
    </row>
    <row r="273">
      <c r="A273" t="inlineStr">
        <is>
          <t>Bay City</t>
        </is>
      </c>
      <c r="B273" s="4" t="n">
        <v>46129</v>
      </c>
      <c r="C273" t="inlineStr">
        <is>
          <t>K-551513</t>
        </is>
      </c>
      <c r="D273" t="inlineStr">
        <is>
          <t>1819</t>
        </is>
      </c>
      <c r="E273" t="inlineStr">
        <is>
          <t>Suburban Propane 1229 (v0001025)</t>
        </is>
      </c>
      <c r="F273" t="inlineStr">
        <is>
          <t>31.4 Gallons</t>
        </is>
      </c>
      <c r="H273" s="5" t="n">
        <v>116.09</v>
      </c>
      <c r="I273" s="5" t="n">
        <v>432962.88</v>
      </c>
      <c r="J273" s="4" t="n">
        <v>46142</v>
      </c>
      <c r="K273" t="n">
        <v>-2</v>
      </c>
    </row>
    <row r="274">
      <c r="A274" t="inlineStr">
        <is>
          <t>Bay City</t>
        </is>
      </c>
      <c r="B274" s="4" t="n">
        <v>46129</v>
      </c>
      <c r="C274" t="inlineStr">
        <is>
          <t>K-551513</t>
        </is>
      </c>
      <c r="D274" t="inlineStr">
        <is>
          <t>1819</t>
        </is>
      </c>
      <c r="E274" t="inlineStr">
        <is>
          <t>Suburban Propane 1229 (v0001025)</t>
        </is>
      </c>
      <c r="F274" t="inlineStr">
        <is>
          <t>26.8 Gallons</t>
        </is>
      </c>
      <c r="H274" s="5" t="n">
        <v>102.29</v>
      </c>
      <c r="I274" s="5" t="n">
        <v>432860.59</v>
      </c>
      <c r="J274" s="4" t="n">
        <v>46142</v>
      </c>
      <c r="K274" t="n">
        <v>-2</v>
      </c>
    </row>
    <row r="275">
      <c r="A275" t="inlineStr">
        <is>
          <t>Bay City</t>
        </is>
      </c>
      <c r="B275" s="4" t="n">
        <v>46129</v>
      </c>
      <c r="C275" t="inlineStr">
        <is>
          <t>K-551513</t>
        </is>
      </c>
      <c r="D275" t="inlineStr">
        <is>
          <t>1819</t>
        </is>
      </c>
      <c r="E275" t="inlineStr">
        <is>
          <t>Suburban Propane 1229 (v0001025)</t>
        </is>
      </c>
      <c r="F275" t="inlineStr">
        <is>
          <t>28.7 Gallons</t>
        </is>
      </c>
      <c r="H275" s="5" t="n">
        <v>107.99</v>
      </c>
      <c r="I275" s="5" t="n">
        <v>432752.6</v>
      </c>
      <c r="J275" s="4" t="n">
        <v>46142</v>
      </c>
      <c r="K275" t="n">
        <v>-2</v>
      </c>
    </row>
    <row r="276">
      <c r="A276" t="inlineStr">
        <is>
          <t>Bay City</t>
        </is>
      </c>
      <c r="B276" s="4" t="n">
        <v>46129</v>
      </c>
      <c r="C276" t="inlineStr">
        <is>
          <t>K-551513</t>
        </is>
      </c>
      <c r="D276" t="inlineStr">
        <is>
          <t>1819</t>
        </is>
      </c>
      <c r="E276" t="inlineStr">
        <is>
          <t>Suburban Propane 1229 (v0001025)</t>
        </is>
      </c>
      <c r="F276" t="inlineStr">
        <is>
          <t>23.0 Gallons</t>
        </is>
      </c>
      <c r="H276" s="5" t="n">
        <v>96</v>
      </c>
      <c r="I276" s="5" t="n">
        <v>432656.6</v>
      </c>
      <c r="J276" s="4" t="n">
        <v>46142</v>
      </c>
      <c r="K276" t="n">
        <v>-2</v>
      </c>
    </row>
    <row r="277">
      <c r="A277" t="inlineStr">
        <is>
          <t>Bay City</t>
        </is>
      </c>
      <c r="B277" s="4" t="n">
        <v>46129</v>
      </c>
      <c r="C277" t="inlineStr">
        <is>
          <t>K-551513</t>
        </is>
      </c>
      <c r="D277" t="inlineStr">
        <is>
          <t>1819</t>
        </is>
      </c>
      <c r="E277" t="inlineStr">
        <is>
          <t>Suburban Propane 1229 (v0001025)</t>
        </is>
      </c>
      <c r="F277" t="inlineStr">
        <is>
          <t>29.6 gallons</t>
        </is>
      </c>
      <c r="H277" s="5" t="n">
        <v>117.11</v>
      </c>
      <c r="I277" s="5" t="n">
        <v>432539.49</v>
      </c>
      <c r="J277" s="4" t="n">
        <v>46142</v>
      </c>
      <c r="K277" t="n">
        <v>-2</v>
      </c>
    </row>
    <row r="278">
      <c r="A278" t="inlineStr">
        <is>
          <t>Bay City</t>
        </is>
      </c>
      <c r="B278" s="4" t="n">
        <v>46129</v>
      </c>
      <c r="C278" t="inlineStr">
        <is>
          <t>K-551513</t>
        </is>
      </c>
      <c r="D278" t="inlineStr">
        <is>
          <t>1819</t>
        </is>
      </c>
      <c r="E278" t="inlineStr">
        <is>
          <t>Suburban Propane 1229 (v0001025)</t>
        </is>
      </c>
      <c r="F278" t="inlineStr">
        <is>
          <t>27.3 gallons</t>
        </is>
      </c>
      <c r="H278" s="5" t="n">
        <v>109.75</v>
      </c>
      <c r="I278" s="5" t="n">
        <v>432429.74</v>
      </c>
      <c r="J278" s="4" t="n">
        <v>46142</v>
      </c>
      <c r="K278" t="n">
        <v>-2</v>
      </c>
    </row>
    <row r="279">
      <c r="A279" t="inlineStr">
        <is>
          <t>Bay City</t>
        </is>
      </c>
      <c r="B279" s="4" t="n">
        <v>46129</v>
      </c>
      <c r="C279" t="inlineStr">
        <is>
          <t>K-551513</t>
        </is>
      </c>
      <c r="D279" t="inlineStr">
        <is>
          <t>1819</t>
        </is>
      </c>
      <c r="E279" t="inlineStr">
        <is>
          <t>Suburban Propane 1229 (v0001025)</t>
        </is>
      </c>
      <c r="F279" t="inlineStr">
        <is>
          <t>57.9 Gallons</t>
        </is>
      </c>
      <c r="H279" s="5" t="n">
        <v>207.64</v>
      </c>
      <c r="I279" s="5" t="n">
        <v>432222.1</v>
      </c>
      <c r="J279" s="4" t="n">
        <v>46142</v>
      </c>
      <c r="K279" t="n">
        <v>-2</v>
      </c>
    </row>
    <row r="280">
      <c r="A280" t="inlineStr">
        <is>
          <t>Bay City</t>
        </is>
      </c>
      <c r="B280" s="4" t="n">
        <v>46129</v>
      </c>
      <c r="C280" t="inlineStr">
        <is>
          <t>K-551513</t>
        </is>
      </c>
      <c r="D280" t="inlineStr">
        <is>
          <t>1819</t>
        </is>
      </c>
      <c r="E280" t="inlineStr">
        <is>
          <t>Suburban Propane 1229 (v0001025)</t>
        </is>
      </c>
      <c r="F280" t="inlineStr">
        <is>
          <t>24.4 gallons</t>
        </is>
      </c>
      <c r="H280" s="5" t="n">
        <v>95.81999999999999</v>
      </c>
      <c r="I280" s="5" t="n">
        <v>432126.28</v>
      </c>
      <c r="J280" s="4" t="n">
        <v>46142</v>
      </c>
      <c r="K280" t="n">
        <v>-2</v>
      </c>
    </row>
    <row r="281">
      <c r="A281" t="inlineStr">
        <is>
          <t>Bay City</t>
        </is>
      </c>
      <c r="B281" s="4" t="n">
        <v>46129</v>
      </c>
      <c r="C281" t="inlineStr">
        <is>
          <t>K-551514</t>
        </is>
      </c>
      <c r="D281" t="inlineStr">
        <is>
          <t>1820</t>
        </is>
      </c>
      <c r="E281" t="inlineStr">
        <is>
          <t>VERIZON*** (v0001131)</t>
        </is>
      </c>
      <c r="F281" t="inlineStr">
        <is>
          <t>357-194-549-0001-49-04/06/2026</t>
        </is>
      </c>
      <c r="H281" s="5" t="n">
        <v>253.75</v>
      </c>
      <c r="I281" s="5" t="n">
        <v>431872.53</v>
      </c>
      <c r="J281" s="4" t="n">
        <v>46139</v>
      </c>
      <c r="K281" t="n">
        <v>-2</v>
      </c>
    </row>
    <row r="282">
      <c r="A282" t="inlineStr">
        <is>
          <t>Bay City</t>
        </is>
      </c>
      <c r="B282" s="4" t="n">
        <v>46129</v>
      </c>
      <c r="C282" t="inlineStr">
        <is>
          <t>K-551515</t>
        </is>
      </c>
      <c r="D282" t="inlineStr">
        <is>
          <t>1821</t>
        </is>
      </c>
      <c r="E282" t="inlineStr">
        <is>
          <t>Morton, Valihura &amp; Zerbato, LLC (v0007223)</t>
        </is>
      </c>
      <c r="F282" t="inlineStr">
        <is>
          <t>LOT# 88 HOWARD SPOR</t>
        </is>
      </c>
      <c r="H282" s="5" t="n">
        <v>235.49</v>
      </c>
      <c r="I282" s="5" t="n">
        <v>431637.04</v>
      </c>
      <c r="J282" s="4" t="n">
        <v>46140</v>
      </c>
      <c r="K282" t="n">
        <v>-2</v>
      </c>
    </row>
    <row r="283">
      <c r="A283" t="inlineStr">
        <is>
          <t>Bay City</t>
        </is>
      </c>
      <c r="B283" s="4" t="n">
        <v>46129</v>
      </c>
      <c r="C283" t="inlineStr">
        <is>
          <t>K-551515</t>
        </is>
      </c>
      <c r="D283" t="inlineStr">
        <is>
          <t>1821</t>
        </is>
      </c>
      <c r="E283" t="inlineStr">
        <is>
          <t>Morton, Valihura &amp; Zerbato, LLC (v0007223)</t>
        </is>
      </c>
      <c r="F283" t="inlineStr">
        <is>
          <t>LOT# F8 TED MCDONALD</t>
        </is>
      </c>
      <c r="H283" s="5" t="n">
        <v>259.23</v>
      </c>
      <c r="I283" s="5" t="n">
        <v>431377.81</v>
      </c>
      <c r="J283" s="4" t="n">
        <v>46140</v>
      </c>
      <c r="K283" t="n">
        <v>-2</v>
      </c>
    </row>
    <row r="284">
      <c r="A284" t="inlineStr">
        <is>
          <t>Bay City</t>
        </is>
      </c>
      <c r="B284" s="4" t="n">
        <v>46129</v>
      </c>
      <c r="C284" t="inlineStr">
        <is>
          <t>K-551515</t>
        </is>
      </c>
      <c r="D284" t="inlineStr">
        <is>
          <t>1821</t>
        </is>
      </c>
      <c r="E284" t="inlineStr">
        <is>
          <t>Morton, Valihura &amp; Zerbato, LLC (v0007223)</t>
        </is>
      </c>
      <c r="F284" t="inlineStr">
        <is>
          <t>LOT# 81 KEVIN TEEPLE</t>
        </is>
      </c>
      <c r="H284" s="5" t="n">
        <v>363.24</v>
      </c>
      <c r="I284" s="5" t="n">
        <v>431014.57</v>
      </c>
      <c r="J284" s="4" t="n">
        <v>46140</v>
      </c>
      <c r="K284" t="n">
        <v>-2</v>
      </c>
    </row>
    <row r="285">
      <c r="A285" t="inlineStr">
        <is>
          <t>Bay City</t>
        </is>
      </c>
      <c r="B285" s="4" t="n">
        <v>46129</v>
      </c>
      <c r="C285" t="inlineStr">
        <is>
          <t>K-551516</t>
        </is>
      </c>
      <c r="D285" t="inlineStr">
        <is>
          <t>1822</t>
        </is>
      </c>
      <c r="E285" t="inlineStr">
        <is>
          <t>A-1 Sanitation Service Inc. (v0008040)</t>
        </is>
      </c>
      <c r="F285" t="inlineStr">
        <is>
          <t>HANDICAP UNIT</t>
        </is>
      </c>
      <c r="H285" s="5" t="n">
        <v>250.46</v>
      </c>
      <c r="I285" s="5" t="n">
        <v>430764.11</v>
      </c>
      <c r="K285" t="n">
        <v>-1</v>
      </c>
    </row>
    <row r="286">
      <c r="A286" t="inlineStr">
        <is>
          <t>Bay City</t>
        </is>
      </c>
      <c r="B286" s="4" t="n">
        <v>46129</v>
      </c>
      <c r="C286" t="inlineStr">
        <is>
          <t>J-365073</t>
        </is>
      </c>
      <c r="D286" t="inlineStr">
        <is>
          <t>Daily Deposit</t>
        </is>
      </c>
      <c r="E286" t="inlineStr">
        <is>
          <t>04/17/2026 Daily Deposit</t>
        </is>
      </c>
      <c r="F286" t="inlineStr">
        <is>
          <t>CKS 04/17/2026 Batch 25dc5626-3bc4-4689-af5f-e851b47bc1d7</t>
        </is>
      </c>
      <c r="G286" s="5" t="n">
        <v>1250</v>
      </c>
      <c r="I286" s="5" t="n">
        <v>432014.11</v>
      </c>
      <c r="J286" s="4" t="n">
        <v>46132</v>
      </c>
      <c r="K286" t="n">
        <v>2</v>
      </c>
    </row>
    <row r="287">
      <c r="A287" t="inlineStr">
        <is>
          <t>Bay City</t>
        </is>
      </c>
      <c r="B287" s="4" t="n">
        <v>46129</v>
      </c>
      <c r="C287" t="inlineStr">
        <is>
          <t>J-365073</t>
        </is>
      </c>
      <c r="D287" t="inlineStr">
        <is>
          <t>Daily Deposit</t>
        </is>
      </c>
      <c r="E287" t="inlineStr">
        <is>
          <t>04/17/2026 Daily Deposit</t>
        </is>
      </c>
      <c r="F287" t="inlineStr">
        <is>
          <t>CKS 04/17/2026 Batch 4b08225d-a0e5-4852-acb1-949c4ce8b960</t>
        </is>
      </c>
      <c r="G287" s="5" t="n">
        <v>7510</v>
      </c>
      <c r="I287" s="5" t="n">
        <v>439524.11</v>
      </c>
      <c r="J287" s="4" t="n">
        <v>46132</v>
      </c>
      <c r="K287" t="n">
        <v>2</v>
      </c>
    </row>
    <row r="288">
      <c r="A288" t="inlineStr">
        <is>
          <t>Bay City</t>
        </is>
      </c>
      <c r="B288" s="4" t="n">
        <v>46129</v>
      </c>
      <c r="C288" t="inlineStr">
        <is>
          <t>J-365073</t>
        </is>
      </c>
      <c r="D288" t="inlineStr">
        <is>
          <t>Daily Deposit</t>
        </is>
      </c>
      <c r="E288" t="inlineStr">
        <is>
          <t>04/17/2026 Daily Deposit</t>
        </is>
      </c>
      <c r="F288" t="inlineStr">
        <is>
          <t>CKS 04/17/2026 Batch 685566e5-00d1-4828-85c4-425d451a2743</t>
        </is>
      </c>
      <c r="G288" s="5" t="n">
        <v>1860</v>
      </c>
      <c r="I288" s="5" t="n">
        <v>441384.11</v>
      </c>
      <c r="J288" s="4" t="n">
        <v>46132</v>
      </c>
      <c r="K288" t="n">
        <v>2</v>
      </c>
    </row>
    <row r="289">
      <c r="A289" t="inlineStr">
        <is>
          <t>Bay City</t>
        </is>
      </c>
      <c r="B289" s="4" t="n">
        <v>46129</v>
      </c>
      <c r="C289" t="inlineStr">
        <is>
          <t>J-365073</t>
        </is>
      </c>
      <c r="D289" t="inlineStr">
        <is>
          <t>Daily Deposit</t>
        </is>
      </c>
      <c r="E289" t="inlineStr">
        <is>
          <t>04/17/2026 Daily Deposit</t>
        </is>
      </c>
      <c r="F289" t="inlineStr">
        <is>
          <t>RP : ACH Deposit 04/15/2026</t>
        </is>
      </c>
      <c r="G289" s="5" t="n">
        <v>952.85</v>
      </c>
      <c r="I289" s="5" t="n">
        <v>442336.96</v>
      </c>
      <c r="J289" s="4" t="n">
        <v>46128</v>
      </c>
      <c r="K289" t="n">
        <v>2</v>
      </c>
    </row>
    <row r="290">
      <c r="A290" t="inlineStr">
        <is>
          <t>Bay City</t>
        </is>
      </c>
      <c r="B290" s="4" t="n">
        <v>46129</v>
      </c>
      <c r="C290" t="inlineStr">
        <is>
          <t>J-365073</t>
        </is>
      </c>
      <c r="D290" t="inlineStr">
        <is>
          <t>Daily Deposit</t>
        </is>
      </c>
      <c r="E290" t="inlineStr">
        <is>
          <t>04/17/2026 Daily Deposit</t>
        </is>
      </c>
      <c r="F290" t="inlineStr">
        <is>
          <t>RP : ACH Deposit 04/16/2026</t>
        </is>
      </c>
      <c r="G290" s="5" t="n">
        <v>2062.21</v>
      </c>
      <c r="I290" s="5" t="n">
        <v>444399.17</v>
      </c>
      <c r="J290" s="4" t="n">
        <v>46129</v>
      </c>
      <c r="K290" t="n">
        <v>2</v>
      </c>
    </row>
    <row r="291">
      <c r="A291" t="inlineStr">
        <is>
          <t>Bay City</t>
        </is>
      </c>
      <c r="B291" s="4" t="n">
        <v>46130</v>
      </c>
      <c r="C291" t="inlineStr">
        <is>
          <t>J-365074</t>
        </is>
      </c>
      <c r="D291" t="inlineStr">
        <is>
          <t>Daily Deposit</t>
        </is>
      </c>
      <c r="E291" t="inlineStr">
        <is>
          <t>04/18/2026 Daily Deposit</t>
        </is>
      </c>
      <c r="F291" t="inlineStr">
        <is>
          <t>RP : CC Deposit 04/18/2026</t>
        </is>
      </c>
      <c r="G291" s="5" t="n">
        <v>490</v>
      </c>
      <c r="I291" s="5" t="n">
        <v>444889.17</v>
      </c>
      <c r="J291" s="4" t="n">
        <v>46132</v>
      </c>
      <c r="K291" t="n">
        <v>2</v>
      </c>
    </row>
    <row r="292">
      <c r="A292" t="inlineStr">
        <is>
          <t>Bay City</t>
        </is>
      </c>
      <c r="B292" s="4" t="n">
        <v>46132</v>
      </c>
      <c r="C292" t="inlineStr">
        <is>
          <t>K-551892</t>
        </is>
      </c>
      <c r="D292" t="inlineStr">
        <is>
          <t>1823</t>
        </is>
      </c>
      <c r="E292" t="inlineStr">
        <is>
          <t>Long Neck Water Company, LLC (v0007698)</t>
        </is>
      </c>
      <c r="F292" t="inlineStr">
        <is>
          <t>01/07/2026-04/07/2026-Water-011870-Water 7-25990 S AOK ST BC</t>
        </is>
      </c>
      <c r="H292" s="5" t="n">
        <v>40.5</v>
      </c>
      <c r="I292" s="5" t="n">
        <v>444848.67</v>
      </c>
      <c r="J292" s="4" t="n">
        <v>46139</v>
      </c>
      <c r="K292" t="n">
        <v>-2</v>
      </c>
    </row>
    <row r="293">
      <c r="A293" t="inlineStr">
        <is>
          <t>Bay City</t>
        </is>
      </c>
      <c r="B293" s="4" t="n">
        <v>46132</v>
      </c>
      <c r="C293" t="inlineStr">
        <is>
          <t>K-551892</t>
        </is>
      </c>
      <c r="D293" t="inlineStr">
        <is>
          <t>1823</t>
        </is>
      </c>
      <c r="E293" t="inlineStr">
        <is>
          <t>Long Neck Water Company, LLC (v0007698)</t>
        </is>
      </c>
      <c r="F293" t="inlineStr">
        <is>
          <t>01/07/2026-04/07/2026-Water-011872-Water 8-35773 S CANAL ST BC</t>
        </is>
      </c>
      <c r="H293" s="5" t="n">
        <v>40.5</v>
      </c>
      <c r="I293" s="5" t="n">
        <v>444808.17</v>
      </c>
      <c r="J293" s="4" t="n">
        <v>46139</v>
      </c>
      <c r="K293" t="n">
        <v>-2</v>
      </c>
    </row>
    <row r="294">
      <c r="A294" t="inlineStr">
        <is>
          <t>Bay City</t>
        </is>
      </c>
      <c r="B294" s="4" t="n">
        <v>46132</v>
      </c>
      <c r="C294" t="inlineStr">
        <is>
          <t>K-551892</t>
        </is>
      </c>
      <c r="D294" t="inlineStr">
        <is>
          <t>1823</t>
        </is>
      </c>
      <c r="E294" t="inlineStr">
        <is>
          <t>Long Neck Water Company, LLC (v0007698)</t>
        </is>
      </c>
      <c r="F294" t="inlineStr">
        <is>
          <t>01/07/2026-04/07/2026-Water-011862-Water 9-35873 S CANAL ST BC</t>
        </is>
      </c>
      <c r="H294" s="5" t="n">
        <v>40.5</v>
      </c>
      <c r="I294" s="5" t="n">
        <v>444767.67</v>
      </c>
      <c r="J294" s="4" t="n">
        <v>46139</v>
      </c>
      <c r="K294" t="n">
        <v>-2</v>
      </c>
    </row>
    <row r="295">
      <c r="A295" t="inlineStr">
        <is>
          <t>Bay City</t>
        </is>
      </c>
      <c r="B295" s="4" t="n">
        <v>46132</v>
      </c>
      <c r="C295" t="inlineStr">
        <is>
          <t>K-551892</t>
        </is>
      </c>
      <c r="D295" t="inlineStr">
        <is>
          <t>1823</t>
        </is>
      </c>
      <c r="E295" t="inlineStr">
        <is>
          <t>Long Neck Water Company, LLC (v0007698)</t>
        </is>
      </c>
      <c r="F295" t="inlineStr">
        <is>
          <t>01/07/2026-04/07/2026-Water-011864-Water 1-25840 SEQUIA ST BC</t>
        </is>
      </c>
      <c r="H295" s="5" t="n">
        <v>40.5</v>
      </c>
      <c r="I295" s="5" t="n">
        <v>444727.17</v>
      </c>
      <c r="J295" s="4" t="n">
        <v>46139</v>
      </c>
      <c r="K295" t="n">
        <v>-2</v>
      </c>
    </row>
    <row r="296">
      <c r="A296" t="inlineStr">
        <is>
          <t>Bay City</t>
        </is>
      </c>
      <c r="B296" s="4" t="n">
        <v>46132</v>
      </c>
      <c r="C296" t="inlineStr">
        <is>
          <t>K-551892</t>
        </is>
      </c>
      <c r="D296" t="inlineStr">
        <is>
          <t>1823</t>
        </is>
      </c>
      <c r="E296" t="inlineStr">
        <is>
          <t>Long Neck Water Company, LLC (v0007698)</t>
        </is>
      </c>
      <c r="F296" t="inlineStr">
        <is>
          <t>01/07/2026-04/07/2026-Water-011866-Water 9-25871 MAIN ST BC</t>
        </is>
      </c>
      <c r="H296" s="5" t="n">
        <v>40.5</v>
      </c>
      <c r="I296" s="5" t="n">
        <v>444686.67</v>
      </c>
      <c r="J296" s="4" t="n">
        <v>46139</v>
      </c>
      <c r="K296" t="n">
        <v>-2</v>
      </c>
    </row>
    <row r="297">
      <c r="A297" t="inlineStr">
        <is>
          <t>Bay City</t>
        </is>
      </c>
      <c r="B297" s="4" t="n">
        <v>46132</v>
      </c>
      <c r="C297" t="inlineStr">
        <is>
          <t>K-551892</t>
        </is>
      </c>
      <c r="D297" t="inlineStr">
        <is>
          <t>1823</t>
        </is>
      </c>
      <c r="E297" t="inlineStr">
        <is>
          <t>Long Neck Water Company, LLC (v0007698)</t>
        </is>
      </c>
      <c r="F297" t="inlineStr">
        <is>
          <t>01/07/2026-04/07/2026-Water-011868-Water 6-25587 BAYVIEW DR BC</t>
        </is>
      </c>
      <c r="H297" s="5" t="n">
        <v>40.5</v>
      </c>
      <c r="I297" s="5" t="n">
        <v>444646.17</v>
      </c>
      <c r="J297" s="4" t="n">
        <v>46139</v>
      </c>
      <c r="K297" t="n">
        <v>-2</v>
      </c>
    </row>
    <row r="298">
      <c r="A298" t="inlineStr">
        <is>
          <t>Bay City</t>
        </is>
      </c>
      <c r="B298" s="4" t="n">
        <v>46132</v>
      </c>
      <c r="C298" t="inlineStr">
        <is>
          <t>K-551892</t>
        </is>
      </c>
      <c r="D298" t="inlineStr">
        <is>
          <t>1823</t>
        </is>
      </c>
      <c r="E298" t="inlineStr">
        <is>
          <t>Long Neck Water Company, LLC (v0007698)</t>
        </is>
      </c>
      <c r="F298" t="inlineStr">
        <is>
          <t>01/07/2026-04/07/2026-Water-011871-Water 3-26002 S OAK ST BC</t>
        </is>
      </c>
      <c r="H298" s="5" t="n">
        <v>40.5</v>
      </c>
      <c r="I298" s="5" t="n">
        <v>444605.67</v>
      </c>
      <c r="J298" s="4" t="n">
        <v>46139</v>
      </c>
      <c r="K298" t="n">
        <v>-2</v>
      </c>
    </row>
    <row r="299">
      <c r="A299" t="inlineStr">
        <is>
          <t>Bay City</t>
        </is>
      </c>
      <c r="B299" s="4" t="n">
        <v>46132</v>
      </c>
      <c r="C299" t="inlineStr">
        <is>
          <t>K-551892</t>
        </is>
      </c>
      <c r="D299" t="inlineStr">
        <is>
          <t>1823</t>
        </is>
      </c>
      <c r="E299" t="inlineStr">
        <is>
          <t>Long Neck Water Company, LLC (v0007698)</t>
        </is>
      </c>
      <c r="F299" t="inlineStr">
        <is>
          <t>01/07/2026-04/07/2026-Water-011074-WATER 1-35257 5Th ST BC</t>
        </is>
      </c>
      <c r="H299" s="5" t="n">
        <v>46.98</v>
      </c>
      <c r="I299" s="5" t="n">
        <v>444558.69</v>
      </c>
      <c r="J299" s="4" t="n">
        <v>46139</v>
      </c>
      <c r="K299" t="n">
        <v>-2</v>
      </c>
    </row>
    <row r="300">
      <c r="A300" t="inlineStr">
        <is>
          <t>Bay City</t>
        </is>
      </c>
      <c r="B300" s="4" t="n">
        <v>46132</v>
      </c>
      <c r="C300" t="inlineStr">
        <is>
          <t>K-551930</t>
        </is>
      </c>
      <c r="D300" t="inlineStr">
        <is>
          <t>1824</t>
        </is>
      </c>
      <c r="E300" t="inlineStr">
        <is>
          <t>Staples Bus (v0001011)</t>
        </is>
      </c>
      <c r="F300" t="inlineStr">
        <is>
          <t>ORDER# 7914619487-000-001 BY TINA CARLTON</t>
        </is>
      </c>
      <c r="H300" s="5" t="n">
        <v>133.08</v>
      </c>
      <c r="I300" s="5" t="n">
        <v>444425.61</v>
      </c>
      <c r="J300" s="4" t="n">
        <v>46139</v>
      </c>
      <c r="K300" t="n">
        <v>-2</v>
      </c>
    </row>
    <row r="301">
      <c r="A301" t="inlineStr">
        <is>
          <t>Bay City</t>
        </is>
      </c>
      <c r="B301" s="4" t="n">
        <v>46132</v>
      </c>
      <c r="C301" t="inlineStr">
        <is>
          <t>K-551930</t>
        </is>
      </c>
      <c r="D301" t="inlineStr">
        <is>
          <t>1824</t>
        </is>
      </c>
      <c r="E301" t="inlineStr">
        <is>
          <t>Staples Bus (v0001011)</t>
        </is>
      </c>
      <c r="F301" t="inlineStr">
        <is>
          <t>ORDER# 7678297284-000-001 BY GLORIA LAMONACA</t>
        </is>
      </c>
      <c r="H301" s="5" t="n">
        <v>29.49</v>
      </c>
      <c r="I301" s="5" t="n">
        <v>444396.12</v>
      </c>
      <c r="J301" s="4" t="n">
        <v>46139</v>
      </c>
      <c r="K301" t="n">
        <v>-2</v>
      </c>
    </row>
    <row r="302">
      <c r="A302" t="inlineStr">
        <is>
          <t>Bay City</t>
        </is>
      </c>
      <c r="B302" s="4" t="n">
        <v>46132</v>
      </c>
      <c r="C302" t="inlineStr">
        <is>
          <t>K-551930</t>
        </is>
      </c>
      <c r="D302" t="inlineStr">
        <is>
          <t>1824</t>
        </is>
      </c>
      <c r="E302" t="inlineStr">
        <is>
          <t>Staples Bus (v0001011)</t>
        </is>
      </c>
      <c r="F302" t="inlineStr">
        <is>
          <t>ORDER# 7678367515-000-001 BY ROCCO AMEDURI</t>
        </is>
      </c>
      <c r="H302" s="5" t="n">
        <v>300.99</v>
      </c>
      <c r="I302" s="5" t="n">
        <v>444095.13</v>
      </c>
      <c r="J302" s="4" t="n">
        <v>46139</v>
      </c>
      <c r="K302" t="n">
        <v>-2</v>
      </c>
    </row>
    <row r="303">
      <c r="A303" t="inlineStr">
        <is>
          <t>Bay City</t>
        </is>
      </c>
      <c r="B303" s="4" t="n">
        <v>46132</v>
      </c>
      <c r="C303" t="inlineStr">
        <is>
          <t>K-551930</t>
        </is>
      </c>
      <c r="D303" t="inlineStr">
        <is>
          <t>1824</t>
        </is>
      </c>
      <c r="E303" t="inlineStr">
        <is>
          <t>Staples Bus (v0001011)</t>
        </is>
      </c>
      <c r="F303" t="inlineStr">
        <is>
          <t>ORDER# 7678297284-000-002 BY GLORIA LAMONACA</t>
        </is>
      </c>
      <c r="H303" s="5" t="n">
        <v>157.07</v>
      </c>
      <c r="I303" s="5" t="n">
        <v>443938.06</v>
      </c>
      <c r="J303" s="4" t="n">
        <v>46139</v>
      </c>
      <c r="K303" t="n">
        <v>-2</v>
      </c>
    </row>
    <row r="304">
      <c r="A304" t="inlineStr">
        <is>
          <t>Bay City</t>
        </is>
      </c>
      <c r="B304" s="4" t="n">
        <v>46132</v>
      </c>
      <c r="C304" t="inlineStr">
        <is>
          <t>K-551948</t>
        </is>
      </c>
      <c r="D304" t="inlineStr">
        <is>
          <t>22689</t>
        </is>
      </c>
      <c r="E304" t="inlineStr">
        <is>
          <t>Complete Tree Care, Inc. (v0007846)</t>
        </is>
      </c>
      <c r="F304" t="inlineStr">
        <is>
          <t>Remove 2 uprooted trees</t>
        </is>
      </c>
      <c r="H304" s="5" t="n">
        <v>900</v>
      </c>
      <c r="I304" s="5" t="n">
        <v>443038.06</v>
      </c>
      <c r="J304" s="4" t="n">
        <v>46134</v>
      </c>
      <c r="K304" t="n">
        <v>-2</v>
      </c>
    </row>
    <row r="305">
      <c r="A305" t="inlineStr">
        <is>
          <t>Bay City</t>
        </is>
      </c>
      <c r="B305" s="4" t="n">
        <v>46132</v>
      </c>
      <c r="C305" t="inlineStr">
        <is>
          <t>K-551948</t>
        </is>
      </c>
      <c r="D305" t="inlineStr">
        <is>
          <t>22689</t>
        </is>
      </c>
      <c r="E305" t="inlineStr">
        <is>
          <t>Complete Tree Care, Inc. (v0007846)</t>
        </is>
      </c>
      <c r="F305" t="inlineStr">
        <is>
          <t>Remove 2 uprooted trees</t>
        </is>
      </c>
      <c r="H305" s="5" t="n">
        <v>1800</v>
      </c>
      <c r="I305" s="5" t="n">
        <v>441238.06</v>
      </c>
      <c r="J305" s="4" t="n">
        <v>46134</v>
      </c>
      <c r="K305" t="n">
        <v>-2</v>
      </c>
    </row>
    <row r="306">
      <c r="A306" t="inlineStr">
        <is>
          <t>Bay City</t>
        </is>
      </c>
      <c r="B306" s="4" t="n">
        <v>46132</v>
      </c>
      <c r="C306" t="inlineStr">
        <is>
          <t>K-551948</t>
        </is>
      </c>
      <c r="D306" t="inlineStr">
        <is>
          <t>22689</t>
        </is>
      </c>
      <c r="E306" t="inlineStr">
        <is>
          <t>Complete Tree Care, Inc. (v0007846)</t>
        </is>
      </c>
      <c r="F306" t="inlineStr">
        <is>
          <t>Chip debris at road</t>
        </is>
      </c>
      <c r="H306" s="5" t="n">
        <v>600</v>
      </c>
      <c r="I306" s="5" t="n">
        <v>440638.06</v>
      </c>
      <c r="J306" s="4" t="n">
        <v>46134</v>
      </c>
      <c r="K306" t="n">
        <v>-2</v>
      </c>
    </row>
    <row r="307">
      <c r="A307" t="inlineStr">
        <is>
          <t>Bay City</t>
        </is>
      </c>
      <c r="B307" s="4" t="n">
        <v>46132</v>
      </c>
      <c r="C307" t="inlineStr">
        <is>
          <t>K-551948</t>
        </is>
      </c>
      <c r="D307" t="inlineStr">
        <is>
          <t>22689</t>
        </is>
      </c>
      <c r="E307" t="inlineStr">
        <is>
          <t>Complete Tree Care, Inc. (v0007846)</t>
        </is>
      </c>
      <c r="F307" t="inlineStr">
        <is>
          <t>Remove fallen limbs along Apple St</t>
        </is>
      </c>
      <c r="H307" s="5" t="n">
        <v>900</v>
      </c>
      <c r="I307" s="5" t="n">
        <v>439738.06</v>
      </c>
      <c r="J307" s="4" t="n">
        <v>46134</v>
      </c>
      <c r="K307" t="n">
        <v>-2</v>
      </c>
    </row>
    <row r="308">
      <c r="A308" t="inlineStr">
        <is>
          <t>Bay City</t>
        </is>
      </c>
      <c r="B308" s="4" t="n">
        <v>46132</v>
      </c>
      <c r="C308" t="inlineStr">
        <is>
          <t>J-365124</t>
        </is>
      </c>
      <c r="D308" t="inlineStr">
        <is>
          <t>Daily Deposit</t>
        </is>
      </c>
      <c r="E308" t="inlineStr">
        <is>
          <t>04/20/2026 Daily Deposit</t>
        </is>
      </c>
      <c r="F308" t="inlineStr">
        <is>
          <t>RP : ACH Deposit 04/16/2026</t>
        </is>
      </c>
      <c r="G308" s="5" t="n">
        <v>2050</v>
      </c>
      <c r="I308" s="5" t="n">
        <v>441788.06</v>
      </c>
      <c r="J308" s="4" t="n">
        <v>46132</v>
      </c>
      <c r="K308" t="n">
        <v>2</v>
      </c>
    </row>
    <row r="309">
      <c r="A309" t="inlineStr">
        <is>
          <t>Bay City</t>
        </is>
      </c>
      <c r="B309" s="4" t="n">
        <v>46132</v>
      </c>
      <c r="C309" t="inlineStr">
        <is>
          <t>J-365124</t>
        </is>
      </c>
      <c r="D309" t="inlineStr">
        <is>
          <t>Daily Deposit</t>
        </is>
      </c>
      <c r="E309" t="inlineStr">
        <is>
          <t>04/20/2026 Daily Deposit</t>
        </is>
      </c>
      <c r="F309" t="inlineStr">
        <is>
          <t>RP : ACH Deposit 04/17/2026</t>
        </is>
      </c>
      <c r="G309" s="5" t="n">
        <v>768.49</v>
      </c>
      <c r="I309" s="5" t="n">
        <v>442556.55</v>
      </c>
      <c r="J309" s="4" t="n">
        <v>46132</v>
      </c>
      <c r="K309" t="n">
        <v>2</v>
      </c>
    </row>
    <row r="310">
      <c r="A310" t="inlineStr">
        <is>
          <t>Bay City</t>
        </is>
      </c>
      <c r="B310" s="4" t="n">
        <v>46132</v>
      </c>
      <c r="C310" t="inlineStr">
        <is>
          <t>J-365222</t>
        </is>
      </c>
      <c r="D310" t="inlineStr">
        <is>
          <t>Q1 2026 Paydowns</t>
        </is>
      </c>
      <c r="E310" t="inlineStr">
        <is>
          <t>Q1 2026 Paydowns - move funds</t>
        </is>
      </c>
      <c r="F310" t="inlineStr">
        <is>
          <t>Tsfr from Bay City to LS Lend B for Q1 2026 paydown</t>
        </is>
      </c>
      <c r="H310" s="5" t="n">
        <v>263300</v>
      </c>
      <c r="I310" s="5" t="n">
        <v>179256.55</v>
      </c>
      <c r="J310" s="4" t="n">
        <v>46132</v>
      </c>
      <c r="K310" t="n">
        <v>-2</v>
      </c>
    </row>
    <row r="311">
      <c r="A311" t="inlineStr">
        <is>
          <t>Bay City</t>
        </is>
      </c>
      <c r="B311" s="4" t="n">
        <v>46133</v>
      </c>
      <c r="C311" t="inlineStr">
        <is>
          <t>K-552084</t>
        </is>
      </c>
      <c r="D311" t="inlineStr">
        <is>
          <t>22690</t>
        </is>
      </c>
      <c r="E311" t="inlineStr">
        <is>
          <t>Casa Verde MHC LLC (v0000180)</t>
        </is>
      </c>
      <c r="F311" t="inlineStr">
        <is>
          <t>PB -067 Apr 2026 MTG Tax Escrow</t>
        </is>
      </c>
      <c r="H311" s="5" t="n">
        <v>6000</v>
      </c>
      <c r="I311" s="5" t="n">
        <v>173256.55</v>
      </c>
      <c r="J311" s="4" t="n">
        <v>46134</v>
      </c>
      <c r="K311" t="n">
        <v>-2</v>
      </c>
    </row>
    <row r="312">
      <c r="A312" t="inlineStr">
        <is>
          <t>Bay City</t>
        </is>
      </c>
      <c r="B312" s="4" t="n">
        <v>46133</v>
      </c>
      <c r="C312" t="inlineStr">
        <is>
          <t>K-552144</t>
        </is>
      </c>
      <c r="D312" t="inlineStr">
        <is>
          <t>1825</t>
        </is>
      </c>
      <c r="E312" t="inlineStr">
        <is>
          <t>Long Neck Water Company, LLC (v0007698)</t>
        </is>
      </c>
      <c r="F312" t="inlineStr">
        <is>
          <t>01/07/2026-04/07/2026-Water-011865-Water 2-25822 SEQUIA ST BC</t>
        </is>
      </c>
      <c r="H312" s="5" t="n">
        <v>41.11</v>
      </c>
      <c r="I312" s="5" t="n">
        <v>173215.44</v>
      </c>
      <c r="J312" s="4" t="n">
        <v>46140</v>
      </c>
      <c r="K312" t="n">
        <v>-2</v>
      </c>
    </row>
    <row r="313">
      <c r="A313" t="inlineStr">
        <is>
          <t>Bay City</t>
        </is>
      </c>
      <c r="B313" s="4" t="n">
        <v>46133</v>
      </c>
      <c r="C313" t="inlineStr">
        <is>
          <t>J-365175</t>
        </is>
      </c>
      <c r="D313" t="inlineStr">
        <is>
          <t>Daily Deposit</t>
        </is>
      </c>
      <c r="E313" t="inlineStr">
        <is>
          <t>04/21/2026 Daily Deposit</t>
        </is>
      </c>
      <c r="F313" t="inlineStr">
        <is>
          <t>CKS 04/21/2026 Batch 26bf2848-6e2a-4e44-8511-db92b01e9f8a</t>
        </is>
      </c>
      <c r="G313" s="5" t="n">
        <v>2583.63</v>
      </c>
      <c r="I313" s="5" t="n">
        <v>175799.07</v>
      </c>
      <c r="J313" s="4" t="n">
        <v>46134</v>
      </c>
      <c r="K313" t="n">
        <v>2</v>
      </c>
    </row>
    <row r="314">
      <c r="A314" t="inlineStr">
        <is>
          <t>Bay City</t>
        </is>
      </c>
      <c r="B314" s="4" t="n">
        <v>46133</v>
      </c>
      <c r="C314" t="inlineStr">
        <is>
          <t>J-365175</t>
        </is>
      </c>
      <c r="D314" t="inlineStr">
        <is>
          <t>Daily Deposit</t>
        </is>
      </c>
      <c r="E314" t="inlineStr">
        <is>
          <t>04/21/2026 Daily Deposit</t>
        </is>
      </c>
      <c r="F314" t="inlineStr">
        <is>
          <t>CKS 04/21/2026 Batch 2c26e135-550c-421a-bd5f-d09769408ecb</t>
        </is>
      </c>
      <c r="G314" s="5" t="n">
        <v>2245.18</v>
      </c>
      <c r="I314" s="5" t="n">
        <v>178044.25</v>
      </c>
      <c r="J314" s="4" t="n">
        <v>46134</v>
      </c>
      <c r="K314" t="n">
        <v>2</v>
      </c>
    </row>
    <row r="315">
      <c r="A315" t="inlineStr">
        <is>
          <t>Bay City</t>
        </is>
      </c>
      <c r="B315" s="4" t="n">
        <v>46133</v>
      </c>
      <c r="C315" t="inlineStr">
        <is>
          <t>J-365175</t>
        </is>
      </c>
      <c r="D315" t="inlineStr">
        <is>
          <t>Daily Deposit</t>
        </is>
      </c>
      <c r="E315" t="inlineStr">
        <is>
          <t>04/21/2026 Daily Deposit</t>
        </is>
      </c>
      <c r="F315" t="inlineStr">
        <is>
          <t>RP : ACH Deposit 04/18/2026</t>
        </is>
      </c>
      <c r="G315" s="5" t="n">
        <v>4416.14</v>
      </c>
      <c r="I315" s="5" t="n">
        <v>182460.39</v>
      </c>
      <c r="J315" s="4" t="n">
        <v>46133</v>
      </c>
      <c r="K315" t="n">
        <v>2</v>
      </c>
    </row>
    <row r="316">
      <c r="A316" t="inlineStr">
        <is>
          <t>Bay City</t>
        </is>
      </c>
      <c r="B316" s="4" t="n">
        <v>46133</v>
      </c>
      <c r="C316" t="inlineStr">
        <is>
          <t>J-365175</t>
        </is>
      </c>
      <c r="D316" t="inlineStr">
        <is>
          <t>Daily Deposit</t>
        </is>
      </c>
      <c r="E316" t="inlineStr">
        <is>
          <t>04/21/2026 Daily Deposit</t>
        </is>
      </c>
      <c r="F316" t="inlineStr">
        <is>
          <t>RP : ACH Deposit 04/19/2026</t>
        </is>
      </c>
      <c r="G316" s="5" t="n">
        <v>737.96</v>
      </c>
      <c r="I316" s="5" t="n">
        <v>183198.35</v>
      </c>
      <c r="J316" s="4" t="n">
        <v>46133</v>
      </c>
      <c r="K316" t="n">
        <v>2</v>
      </c>
    </row>
    <row r="317">
      <c r="A317" t="inlineStr">
        <is>
          <t>Bay City</t>
        </is>
      </c>
      <c r="B317" s="4" t="n">
        <v>46133</v>
      </c>
      <c r="C317" t="inlineStr">
        <is>
          <t>J-365175</t>
        </is>
      </c>
      <c r="D317" t="inlineStr">
        <is>
          <t>Daily Deposit</t>
        </is>
      </c>
      <c r="E317" t="inlineStr">
        <is>
          <t>04/21/2026 Daily Deposit</t>
        </is>
      </c>
      <c r="F317" t="inlineStr">
        <is>
          <t>RP : CC Deposit 04/21/2026</t>
        </is>
      </c>
      <c r="G317" s="5" t="n">
        <v>1850</v>
      </c>
      <c r="I317" s="5" t="n">
        <v>185048.35</v>
      </c>
      <c r="K317" t="n">
        <v>1</v>
      </c>
    </row>
    <row r="318">
      <c r="A318" t="inlineStr">
        <is>
          <t>Bay City</t>
        </is>
      </c>
      <c r="B318" s="4" t="n">
        <v>46134</v>
      </c>
      <c r="C318" t="inlineStr">
        <is>
          <t>K-552588</t>
        </is>
      </c>
      <c r="D318" t="inlineStr">
        <is>
          <t>22691</t>
        </is>
      </c>
      <c r="E318" t="inlineStr">
        <is>
          <t>Lakeshore Management Inc (v0000666)</t>
        </is>
      </c>
      <c r="F318" t="inlineStr">
        <is>
          <t>PB FOR STATE LISTING INV # 20202903</t>
        </is>
      </c>
      <c r="H318" s="5" t="n">
        <v>23.81</v>
      </c>
      <c r="I318" s="5" t="n">
        <v>185024.54</v>
      </c>
      <c r="J318" s="4" t="n">
        <v>46135</v>
      </c>
      <c r="K318" t="n">
        <v>-2</v>
      </c>
    </row>
    <row r="319">
      <c r="A319" t="inlineStr">
        <is>
          <t>Bay City</t>
        </is>
      </c>
      <c r="B319" s="4" t="n">
        <v>46134</v>
      </c>
      <c r="C319" t="inlineStr">
        <is>
          <t>J-365204</t>
        </is>
      </c>
      <c r="E319" t="inlineStr">
        <is>
          <t>Park Draw#828 for Park Capex Expenditures</t>
        </is>
      </c>
      <c r="F319" t="inlineStr">
        <is>
          <t>Park Draw#828 for Park Capex Expenditures</t>
        </is>
      </c>
      <c r="G319" s="5" t="n">
        <v>5000</v>
      </c>
      <c r="I319" s="5" t="n">
        <v>190024.54</v>
      </c>
      <c r="J319" s="4" t="n">
        <v>46134</v>
      </c>
      <c r="K319" t="n">
        <v>2</v>
      </c>
    </row>
    <row r="320">
      <c r="A320" t="inlineStr">
        <is>
          <t>Bay City</t>
        </is>
      </c>
      <c r="B320" s="4" t="n">
        <v>46134</v>
      </c>
      <c r="C320" t="inlineStr">
        <is>
          <t>J-365471</t>
        </is>
      </c>
      <c r="E320" t="inlineStr">
        <is>
          <t>Park Draw#829 for Park Capex Expenditures</t>
        </is>
      </c>
      <c r="F320" t="inlineStr">
        <is>
          <t>Park Draw#829 for Park Capex Expenditures</t>
        </is>
      </c>
      <c r="G320" s="5" t="n">
        <v>13234</v>
      </c>
      <c r="I320" s="5" t="n">
        <v>203258.54</v>
      </c>
      <c r="J320" s="4" t="n">
        <v>46134</v>
      </c>
      <c r="K320" t="n">
        <v>2</v>
      </c>
    </row>
    <row r="321">
      <c r="A321" t="inlineStr">
        <is>
          <t>Bay City</t>
        </is>
      </c>
      <c r="B321" s="4" t="n">
        <v>46135</v>
      </c>
      <c r="C321" t="inlineStr">
        <is>
          <t>J-365213</t>
        </is>
      </c>
      <c r="D321" t="inlineStr">
        <is>
          <t>Daily Deposit</t>
        </is>
      </c>
      <c r="E321" t="inlineStr">
        <is>
          <t>04/23/2026 Daily Deposit</t>
        </is>
      </c>
      <c r="F321" t="inlineStr">
        <is>
          <t>CKS 04/23/2026 Batch 787bfbbc-6758-426a-98f0-a9522528c615</t>
        </is>
      </c>
      <c r="G321" s="5" t="n">
        <v>1030.12</v>
      </c>
      <c r="I321" s="5" t="n">
        <v>204288.66</v>
      </c>
      <c r="J321" s="4" t="n">
        <v>46136</v>
      </c>
      <c r="K321" t="n">
        <v>2</v>
      </c>
    </row>
    <row r="322">
      <c r="A322" t="inlineStr">
        <is>
          <t>Bay City</t>
        </is>
      </c>
      <c r="B322" s="4" t="n">
        <v>46135</v>
      </c>
      <c r="C322" t="inlineStr">
        <is>
          <t>J-365213</t>
        </is>
      </c>
      <c r="D322" t="inlineStr">
        <is>
          <t>Daily Deposit</t>
        </is>
      </c>
      <c r="E322" t="inlineStr">
        <is>
          <t>04/23/2026 Daily Deposit</t>
        </is>
      </c>
      <c r="F322" t="inlineStr">
        <is>
          <t>CKS 04/23/2026 Batch 9749d141-088d-4ee6-b885-bd6dabfc874a</t>
        </is>
      </c>
      <c r="G322" s="5" t="n">
        <v>708.42</v>
      </c>
      <c r="I322" s="5" t="n">
        <v>204997.08</v>
      </c>
      <c r="J322" s="4" t="n">
        <v>46136</v>
      </c>
      <c r="K322" t="n">
        <v>2</v>
      </c>
    </row>
    <row r="323">
      <c r="A323" t="inlineStr">
        <is>
          <t>Bay City</t>
        </is>
      </c>
      <c r="B323" s="4" t="n">
        <v>46135</v>
      </c>
      <c r="C323" t="inlineStr">
        <is>
          <t>J-365213</t>
        </is>
      </c>
      <c r="D323" t="inlineStr">
        <is>
          <t>Daily Deposit</t>
        </is>
      </c>
      <c r="E323" t="inlineStr">
        <is>
          <t>04/23/2026 Daily Deposit</t>
        </is>
      </c>
      <c r="F323" t="inlineStr">
        <is>
          <t>RP : ACH Deposit 04/22/2026</t>
        </is>
      </c>
      <c r="G323" s="5" t="n">
        <v>827.23</v>
      </c>
      <c r="I323" s="5" t="n">
        <v>205824.31</v>
      </c>
      <c r="J323" s="4" t="n">
        <v>46135</v>
      </c>
      <c r="K323" t="n">
        <v>2</v>
      </c>
    </row>
    <row r="324">
      <c r="A324" t="inlineStr">
        <is>
          <t>Bay City</t>
        </is>
      </c>
      <c r="B324" s="4" t="n">
        <v>46136</v>
      </c>
      <c r="C324" t="inlineStr">
        <is>
          <t>K-553075</t>
        </is>
      </c>
      <c r="D324" t="inlineStr">
        <is>
          <t>1826</t>
        </is>
      </c>
      <c r="E324" t="inlineStr">
        <is>
          <t>Sign It Quick (v0000981)</t>
        </is>
      </c>
      <c r="F324" t="inlineStr">
        <is>
          <t>Signs</t>
        </is>
      </c>
      <c r="H324" s="5" t="n">
        <v>171.25</v>
      </c>
      <c r="I324" s="5" t="n">
        <v>205653.06</v>
      </c>
      <c r="K324" t="n">
        <v>-1</v>
      </c>
    </row>
    <row r="325">
      <c r="A325" t="inlineStr">
        <is>
          <t>Bay City</t>
        </is>
      </c>
      <c r="B325" s="4" t="n">
        <v>46136</v>
      </c>
      <c r="C325" t="inlineStr">
        <is>
          <t>K-553076</t>
        </is>
      </c>
      <c r="D325" t="inlineStr">
        <is>
          <t>1827</t>
        </is>
      </c>
      <c r="E325" t="inlineStr">
        <is>
          <t>Guardian Property Services (v0011491)</t>
        </is>
      </c>
      <c r="F325" t="inlineStr">
        <is>
          <t>Office gutters</t>
        </is>
      </c>
      <c r="H325" s="5" t="n">
        <v>853.5</v>
      </c>
      <c r="I325" s="5" t="n">
        <v>204799.56</v>
      </c>
      <c r="K325" t="n">
        <v>-1</v>
      </c>
    </row>
    <row r="326">
      <c r="A326" t="inlineStr">
        <is>
          <t>Bay City</t>
        </is>
      </c>
      <c r="B326" s="4" t="n">
        <v>46136</v>
      </c>
      <c r="C326" t="inlineStr">
        <is>
          <t>J-365357</t>
        </is>
      </c>
      <c r="D326" t="inlineStr">
        <is>
          <t>Daily Deposit</t>
        </is>
      </c>
      <c r="E326" t="inlineStr">
        <is>
          <t>04/24/2026 Daily Deposit</t>
        </is>
      </c>
      <c r="F326" t="inlineStr">
        <is>
          <t>CKS 04/24/2026 Batch 534915e9-1ebf-4081-863e-3ede0eef7b62</t>
        </is>
      </c>
      <c r="G326" s="5" t="n">
        <v>2555.37</v>
      </c>
      <c r="I326" s="5" t="n">
        <v>207354.93</v>
      </c>
      <c r="J326" s="4" t="n">
        <v>46139</v>
      </c>
      <c r="K326" t="n">
        <v>2</v>
      </c>
    </row>
    <row r="327">
      <c r="A327" t="inlineStr">
        <is>
          <t>Bay City</t>
        </is>
      </c>
      <c r="B327" s="4" t="n">
        <v>46136</v>
      </c>
      <c r="C327" t="inlineStr">
        <is>
          <t>J-365357</t>
        </is>
      </c>
      <c r="D327" t="inlineStr">
        <is>
          <t>Daily Deposit</t>
        </is>
      </c>
      <c r="E327" t="inlineStr">
        <is>
          <t>04/24/2026 Daily Deposit</t>
        </is>
      </c>
      <c r="F327" t="inlineStr">
        <is>
          <t>RP : ACH Deposit 04/23/2026</t>
        </is>
      </c>
      <c r="G327" s="5" t="n">
        <v>859.37</v>
      </c>
      <c r="I327" s="5" t="n">
        <v>208214.3</v>
      </c>
      <c r="J327" s="4" t="n">
        <v>46136</v>
      </c>
      <c r="K327" t="n">
        <v>2</v>
      </c>
    </row>
    <row r="328">
      <c r="A328" t="inlineStr">
        <is>
          <t>Bay City</t>
        </is>
      </c>
      <c r="B328" s="4" t="n">
        <v>46136</v>
      </c>
      <c r="C328" t="inlineStr">
        <is>
          <t>J-365357</t>
        </is>
      </c>
      <c r="D328" t="inlineStr">
        <is>
          <t>Daily Deposit</t>
        </is>
      </c>
      <c r="E328" t="inlineStr">
        <is>
          <t>04/24/2026 Daily Deposit</t>
        </is>
      </c>
      <c r="F328" t="inlineStr">
        <is>
          <t>RP : CC Deposit 04/24/2026</t>
        </is>
      </c>
      <c r="G328" s="5" t="n">
        <v>2392.85</v>
      </c>
      <c r="I328" s="5" t="n">
        <v>210607.15</v>
      </c>
      <c r="J328" s="4" t="n">
        <v>46139</v>
      </c>
      <c r="K328" t="n">
        <v>2</v>
      </c>
    </row>
    <row r="329">
      <c r="A329" t="inlineStr">
        <is>
          <t>Bay City</t>
        </is>
      </c>
      <c r="B329" s="4" t="n">
        <v>46137</v>
      </c>
      <c r="C329" t="inlineStr">
        <is>
          <t>J-365358</t>
        </is>
      </c>
      <c r="D329" t="inlineStr">
        <is>
          <t>Daily Deposit</t>
        </is>
      </c>
      <c r="E329" t="inlineStr">
        <is>
          <t>04/25/2026 Daily Deposit</t>
        </is>
      </c>
      <c r="F329" t="inlineStr">
        <is>
          <t>CKS 04/25/2026 Batch 24a22b3b-bbe8-4662-adf6-ee47f31dc204</t>
        </is>
      </c>
      <c r="G329" s="5" t="n">
        <v>775</v>
      </c>
      <c r="I329" s="5" t="n">
        <v>211382.15</v>
      </c>
      <c r="J329" s="4" t="n">
        <v>46140</v>
      </c>
      <c r="K329" t="n">
        <v>2</v>
      </c>
    </row>
    <row r="330">
      <c r="A330" t="inlineStr">
        <is>
          <t>Bay City</t>
        </is>
      </c>
      <c r="B330" s="4" t="n">
        <v>46137</v>
      </c>
      <c r="C330" t="inlineStr">
        <is>
          <t>J-365358</t>
        </is>
      </c>
      <c r="D330" t="inlineStr">
        <is>
          <t>Daily Deposit</t>
        </is>
      </c>
      <c r="E330" t="inlineStr">
        <is>
          <t>04/25/2026 Daily Deposit</t>
        </is>
      </c>
      <c r="F330" t="inlineStr">
        <is>
          <t>CKS 04/25/2026 Batch 5c8d47e2-327c-44c4-ad30-af457f61a334</t>
        </is>
      </c>
      <c r="G330" s="5" t="n">
        <v>731.86</v>
      </c>
      <c r="I330" s="5" t="n">
        <v>212114.01</v>
      </c>
      <c r="J330" s="4" t="n">
        <v>46140</v>
      </c>
      <c r="K330" t="n">
        <v>2</v>
      </c>
    </row>
    <row r="331">
      <c r="A331" t="inlineStr">
        <is>
          <t>Bay City</t>
        </is>
      </c>
      <c r="B331" s="4" t="n">
        <v>46138</v>
      </c>
      <c r="C331" t="inlineStr">
        <is>
          <t>J-365359</t>
        </is>
      </c>
      <c r="D331" t="inlineStr">
        <is>
          <t>Daily Deposit</t>
        </is>
      </c>
      <c r="E331" t="inlineStr">
        <is>
          <t>04/26/2026 Daily Deposit</t>
        </is>
      </c>
      <c r="F331" t="inlineStr">
        <is>
          <t>CKS 04/26/2026 Batch 6b4d8710-f743-4b91-a4a7-1a36d3f47d4f</t>
        </is>
      </c>
      <c r="G331" s="5" t="n">
        <v>2880.61</v>
      </c>
      <c r="I331" s="5" t="n">
        <v>214994.62</v>
      </c>
      <c r="J331" s="4" t="n">
        <v>46140</v>
      </c>
      <c r="K331" t="n">
        <v>2</v>
      </c>
    </row>
    <row r="332">
      <c r="A332" t="inlineStr">
        <is>
          <t>Bay City</t>
        </is>
      </c>
      <c r="B332" s="4" t="n">
        <v>46139</v>
      </c>
      <c r="C332" t="inlineStr">
        <is>
          <t>K-553382</t>
        </is>
      </c>
      <c r="D332" t="inlineStr">
        <is>
          <t>22692</t>
        </is>
      </c>
      <c r="E332" t="inlineStr">
        <is>
          <t>Lakeshore Management Inc (v0000666)</t>
        </is>
      </c>
      <c r="F332" t="inlineStr">
        <is>
          <t>Enterprises Batch#81764 04/26</t>
        </is>
      </c>
      <c r="H332" s="5" t="n">
        <v>1302.84</v>
      </c>
      <c r="I332" s="5" t="n">
        <v>213691.78</v>
      </c>
      <c r="J332" s="4" t="n">
        <v>46140</v>
      </c>
      <c r="K332" t="n">
        <v>-2</v>
      </c>
    </row>
    <row r="333">
      <c r="A333" t="inlineStr">
        <is>
          <t>Bay City</t>
        </is>
      </c>
      <c r="B333" s="4" t="n">
        <v>46139</v>
      </c>
      <c r="C333" t="inlineStr">
        <is>
          <t>K-553504</t>
        </is>
      </c>
      <c r="D333" t="inlineStr">
        <is>
          <t>22693</t>
        </is>
      </c>
      <c r="E333" t="inlineStr">
        <is>
          <t>AMX-PB LAKESHORE MANAGEMENT INC. (v0001555)</t>
        </is>
      </c>
      <c r="F333" t="inlineStr">
        <is>
          <t>mh village ads 02.07.26</t>
        </is>
      </c>
      <c r="H333" s="5" t="n">
        <v>23.98</v>
      </c>
      <c r="I333" s="5" t="n">
        <v>213667.8</v>
      </c>
      <c r="J333" s="4" t="n">
        <v>46140</v>
      </c>
      <c r="K333" t="n">
        <v>-2</v>
      </c>
    </row>
    <row r="334">
      <c r="A334" t="inlineStr">
        <is>
          <t>Bay City</t>
        </is>
      </c>
      <c r="B334" s="4" t="n">
        <v>46139</v>
      </c>
      <c r="C334" t="inlineStr">
        <is>
          <t>K-553563</t>
        </is>
      </c>
      <c r="D334" t="inlineStr">
        <is>
          <t>22694</t>
        </is>
      </c>
      <c r="E334" t="inlineStr">
        <is>
          <t>Accessible Solutions (v0012039)</t>
        </is>
      </c>
      <c r="F334" t="inlineStr">
        <is>
          <t>CX-ADA Compliant Ramp</t>
        </is>
      </c>
      <c r="H334" s="5" t="n">
        <v>5157.5</v>
      </c>
      <c r="I334" s="5" t="n">
        <v>208510.3</v>
      </c>
      <c r="J334" s="4" t="n">
        <v>46141</v>
      </c>
      <c r="K334" t="n">
        <v>-2</v>
      </c>
    </row>
    <row r="335">
      <c r="A335" t="inlineStr">
        <is>
          <t>Bay City</t>
        </is>
      </c>
      <c r="B335" s="4" t="n">
        <v>46139</v>
      </c>
      <c r="C335" t="inlineStr">
        <is>
          <t>K-553649</t>
        </is>
      </c>
      <c r="D335" t="inlineStr">
        <is>
          <t>1828</t>
        </is>
      </c>
      <c r="E335" t="inlineStr">
        <is>
          <t>Core Integrated Marketing (v0000301)</t>
        </is>
      </c>
      <c r="F335" t="inlineStr">
        <is>
          <t>CAT ENV, MAIL SERVICE/PREP AND LETTER 1 SIDED.</t>
        </is>
      </c>
      <c r="H335" s="5" t="n">
        <v>190.28</v>
      </c>
      <c r="I335" s="5" t="n">
        <v>208320.02</v>
      </c>
      <c r="K335" t="n">
        <v>-1</v>
      </c>
    </row>
    <row r="336">
      <c r="A336" t="inlineStr">
        <is>
          <t>Bay City</t>
        </is>
      </c>
      <c r="B336" s="4" t="n">
        <v>46139</v>
      </c>
      <c r="C336" t="inlineStr">
        <is>
          <t>K-553649</t>
        </is>
      </c>
      <c r="D336" t="inlineStr">
        <is>
          <t>1828</t>
        </is>
      </c>
      <c r="E336" t="inlineStr">
        <is>
          <t>Core Integrated Marketing (v0000301)</t>
        </is>
      </c>
      <c r="F336" t="inlineStr">
        <is>
          <t>CAT ENV, MAIL SERVICE/PREP AND N LETTER1 SIDED.</t>
        </is>
      </c>
      <c r="H336" s="5" t="n">
        <v>468.76</v>
      </c>
      <c r="I336" s="5" t="n">
        <v>207851.26</v>
      </c>
      <c r="K336" t="n">
        <v>-1</v>
      </c>
    </row>
    <row r="337">
      <c r="A337" t="inlineStr">
        <is>
          <t>Bay City</t>
        </is>
      </c>
      <c r="B337" s="4" t="n">
        <v>46139</v>
      </c>
      <c r="C337" t="inlineStr">
        <is>
          <t>K-553676</t>
        </is>
      </c>
      <c r="D337" t="inlineStr">
        <is>
          <t>1829</t>
        </is>
      </c>
      <c r="E337" t="inlineStr">
        <is>
          <t>Staples Bus (v0001011)</t>
        </is>
      </c>
      <c r="F337" t="inlineStr">
        <is>
          <t>ORDER# 7914809779-000-001 BY GLORIA LAMONACA</t>
        </is>
      </c>
      <c r="H337" s="5" t="n">
        <v>1231.82</v>
      </c>
      <c r="I337" s="5" t="n">
        <v>206619.44</v>
      </c>
      <c r="K337" t="n">
        <v>-1</v>
      </c>
    </row>
    <row r="338">
      <c r="A338" t="inlineStr">
        <is>
          <t>Bay City</t>
        </is>
      </c>
      <c r="B338" s="4" t="n">
        <v>46139</v>
      </c>
      <c r="C338" t="inlineStr">
        <is>
          <t>K-553676</t>
        </is>
      </c>
      <c r="D338" t="inlineStr">
        <is>
          <t>1829</t>
        </is>
      </c>
      <c r="E338" t="inlineStr">
        <is>
          <t>Staples Bus (v0001011)</t>
        </is>
      </c>
      <c r="F338" t="inlineStr">
        <is>
          <t>ORDER# 7679035254-000-001 BY TINA CARLTON</t>
        </is>
      </c>
      <c r="H338" s="5" t="n">
        <v>389.21</v>
      </c>
      <c r="I338" s="5" t="n">
        <v>206230.23</v>
      </c>
      <c r="K338" t="n">
        <v>-1</v>
      </c>
    </row>
    <row r="339">
      <c r="A339" t="inlineStr">
        <is>
          <t>Bay City</t>
        </is>
      </c>
      <c r="B339" s="4" t="n">
        <v>46139</v>
      </c>
      <c r="C339" t="inlineStr">
        <is>
          <t>K-553676</t>
        </is>
      </c>
      <c r="D339" t="inlineStr">
        <is>
          <t>1829</t>
        </is>
      </c>
      <c r="E339" t="inlineStr">
        <is>
          <t>Staples Bus (v0001011)</t>
        </is>
      </c>
      <c r="F339" t="inlineStr">
        <is>
          <t>ORDER# 7679035254-000-002 BY TINA CARLTON</t>
        </is>
      </c>
      <c r="H339" s="5" t="n">
        <v>45.99</v>
      </c>
      <c r="I339" s="5" t="n">
        <v>206184.24</v>
      </c>
      <c r="K339" t="n">
        <v>-1</v>
      </c>
    </row>
    <row r="340">
      <c r="A340" t="inlineStr">
        <is>
          <t>Bay City</t>
        </is>
      </c>
      <c r="B340" s="4" t="n">
        <v>46139</v>
      </c>
      <c r="C340" t="inlineStr">
        <is>
          <t>J-365392</t>
        </is>
      </c>
      <c r="D340" t="inlineStr">
        <is>
          <t>Daily Deposit</t>
        </is>
      </c>
      <c r="E340" t="inlineStr">
        <is>
          <t>04/27/2026 Daily Deposit</t>
        </is>
      </c>
      <c r="F340" t="inlineStr">
        <is>
          <t>CKS 04/24/2026 Batch ef0f521b-b383-44a5-929a-456a0fb7b6c1</t>
        </is>
      </c>
      <c r="G340" s="5" t="n">
        <v>1750</v>
      </c>
      <c r="I340" s="5" t="n">
        <v>207934.24</v>
      </c>
      <c r="J340" s="4" t="n">
        <v>46139</v>
      </c>
      <c r="K340" t="n">
        <v>2</v>
      </c>
    </row>
    <row r="341">
      <c r="A341" t="inlineStr">
        <is>
          <t>Bay City</t>
        </is>
      </c>
      <c r="B341" s="4" t="n">
        <v>46139</v>
      </c>
      <c r="C341" t="inlineStr">
        <is>
          <t>J-365392</t>
        </is>
      </c>
      <c r="D341" t="inlineStr">
        <is>
          <t>Daily Deposit</t>
        </is>
      </c>
      <c r="E341" t="inlineStr">
        <is>
          <t>04/27/2026 Daily Deposit</t>
        </is>
      </c>
      <c r="F341" t="inlineStr">
        <is>
          <t>CKS 04/27/2026 Batch e8261f0d-7849-4495-8128-61a2ee0d10d3</t>
        </is>
      </c>
      <c r="G341" s="5" t="n">
        <v>3317.08</v>
      </c>
      <c r="I341" s="5" t="n">
        <v>211251.32</v>
      </c>
      <c r="J341" s="4" t="n">
        <v>46140</v>
      </c>
      <c r="K341" t="n">
        <v>2</v>
      </c>
    </row>
    <row r="342">
      <c r="A342" t="inlineStr">
        <is>
          <t>Bay City</t>
        </is>
      </c>
      <c r="B342" s="4" t="n">
        <v>46139</v>
      </c>
      <c r="C342" t="inlineStr">
        <is>
          <t>J-365392</t>
        </is>
      </c>
      <c r="D342" t="inlineStr">
        <is>
          <t>Daily Deposit</t>
        </is>
      </c>
      <c r="E342" t="inlineStr">
        <is>
          <t>04/27/2026 Daily Deposit</t>
        </is>
      </c>
      <c r="F342" t="inlineStr">
        <is>
          <t>RP : ACH Deposit 04/24/2026</t>
        </is>
      </c>
      <c r="G342" s="5" t="n">
        <v>691.21</v>
      </c>
      <c r="I342" s="5" t="n">
        <v>211942.53</v>
      </c>
      <c r="J342" s="4" t="n">
        <v>46139</v>
      </c>
      <c r="K342" t="n">
        <v>2</v>
      </c>
    </row>
    <row r="343">
      <c r="A343" t="inlineStr">
        <is>
          <t>Bay City</t>
        </is>
      </c>
      <c r="B343" s="4" t="n">
        <v>46140</v>
      </c>
      <c r="C343" t="inlineStr">
        <is>
          <t>J-365422</t>
        </is>
      </c>
      <c r="D343" t="inlineStr">
        <is>
          <t>Daily Deposit</t>
        </is>
      </c>
      <c r="E343" t="inlineStr">
        <is>
          <t>04/28/2026 Daily Deposit</t>
        </is>
      </c>
      <c r="F343" t="inlineStr">
        <is>
          <t>NSF CKS 04/23/2026 Batch 787bfbbc-6758-426a-98f0-a9522528c615</t>
        </is>
      </c>
      <c r="H343" s="5" t="n">
        <v>1030.12</v>
      </c>
      <c r="I343" s="5" t="n">
        <v>210912.41</v>
      </c>
      <c r="J343" s="4" t="n">
        <v>46141</v>
      </c>
      <c r="K343" t="n">
        <v>-2</v>
      </c>
    </row>
    <row r="344">
      <c r="A344" t="inlineStr">
        <is>
          <t>Bay City</t>
        </is>
      </c>
      <c r="B344" s="4" t="n">
        <v>46140</v>
      </c>
      <c r="C344" t="inlineStr">
        <is>
          <t>J-365422</t>
        </is>
      </c>
      <c r="D344" t="inlineStr">
        <is>
          <t>Daily Deposit</t>
        </is>
      </c>
      <c r="E344" t="inlineStr">
        <is>
          <t>04/28/2026 Daily Deposit</t>
        </is>
      </c>
      <c r="F344" t="inlineStr">
        <is>
          <t>RP : ACH Deposit 04/24/2026</t>
        </is>
      </c>
      <c r="G344" s="5" t="n">
        <v>674.77</v>
      </c>
      <c r="I344" s="5" t="n">
        <v>211587.18</v>
      </c>
      <c r="J344" s="4" t="n">
        <v>46140</v>
      </c>
      <c r="K344" t="n">
        <v>2</v>
      </c>
    </row>
    <row r="345">
      <c r="A345" t="inlineStr">
        <is>
          <t>Bay City</t>
        </is>
      </c>
      <c r="B345" s="4" t="n">
        <v>46140</v>
      </c>
      <c r="C345" t="inlineStr">
        <is>
          <t>J-365422</t>
        </is>
      </c>
      <c r="D345" t="inlineStr">
        <is>
          <t>Daily Deposit</t>
        </is>
      </c>
      <c r="E345" t="inlineStr">
        <is>
          <t>04/28/2026 Daily Deposit</t>
        </is>
      </c>
      <c r="F345" t="inlineStr">
        <is>
          <t>RP : ACH Deposit 04/25/2026</t>
        </is>
      </c>
      <c r="G345" s="5" t="n">
        <v>886.7</v>
      </c>
      <c r="I345" s="5" t="n">
        <v>212473.88</v>
      </c>
      <c r="J345" s="4" t="n">
        <v>46140</v>
      </c>
      <c r="K345" t="n">
        <v>2</v>
      </c>
    </row>
    <row r="346">
      <c r="A346" t="inlineStr">
        <is>
          <t>Bay City</t>
        </is>
      </c>
      <c r="B346" s="4" t="n">
        <v>46140</v>
      </c>
      <c r="C346" t="inlineStr">
        <is>
          <t>J-365422</t>
        </is>
      </c>
      <c r="D346" t="inlineStr">
        <is>
          <t>Daily Deposit</t>
        </is>
      </c>
      <c r="E346" t="inlineStr">
        <is>
          <t>04/28/2026 Daily Deposit</t>
        </is>
      </c>
      <c r="F346" t="inlineStr">
        <is>
          <t>RP : ACH Deposit 04/27/2026</t>
        </is>
      </c>
      <c r="G346" s="5" t="n">
        <v>1169.27</v>
      </c>
      <c r="I346" s="5" t="n">
        <v>213643.15</v>
      </c>
      <c r="J346" s="4" t="n">
        <v>46140</v>
      </c>
      <c r="K346" t="n">
        <v>2</v>
      </c>
    </row>
    <row r="347">
      <c r="A347" t="inlineStr">
        <is>
          <t>Bay City</t>
        </is>
      </c>
      <c r="B347" s="4" t="n">
        <v>46141</v>
      </c>
      <c r="C347" t="inlineStr">
        <is>
          <t>K-553993</t>
        </is>
      </c>
      <c r="D347" t="inlineStr">
        <is>
          <t>1830</t>
        </is>
      </c>
      <c r="E347" t="inlineStr">
        <is>
          <t>LSE (v0000665)</t>
        </is>
      </c>
      <c r="F347" t="inlineStr">
        <is>
          <t>DEPT 35200 ppe 04/25/26</t>
        </is>
      </c>
      <c r="H347" s="5" t="n">
        <v>138.15</v>
      </c>
      <c r="I347" s="5" t="n">
        <v>213505</v>
      </c>
      <c r="J347" s="4" t="n">
        <v>46141</v>
      </c>
      <c r="K347" t="n">
        <v>-2</v>
      </c>
    </row>
    <row r="348">
      <c r="A348" t="inlineStr">
        <is>
          <t>Bay City</t>
        </is>
      </c>
      <c r="B348" s="4" t="n">
        <v>46141</v>
      </c>
      <c r="C348" t="inlineStr">
        <is>
          <t>K-553993</t>
        </is>
      </c>
      <c r="D348" t="inlineStr">
        <is>
          <t>1830</t>
        </is>
      </c>
      <c r="E348" t="inlineStr">
        <is>
          <t>LSE (v0000665)</t>
        </is>
      </c>
      <c r="F348" t="inlineStr">
        <is>
          <t>DEPT 15310 ppe 04/25/26</t>
        </is>
      </c>
      <c r="H348" s="5" t="n">
        <v>4402.2</v>
      </c>
      <c r="I348" s="5" t="n">
        <v>209102.8</v>
      </c>
      <c r="J348" s="4" t="n">
        <v>46141</v>
      </c>
      <c r="K348" t="n">
        <v>-2</v>
      </c>
    </row>
    <row r="349">
      <c r="A349" t="inlineStr">
        <is>
          <t>Bay City</t>
        </is>
      </c>
      <c r="B349" s="4" t="n">
        <v>46141</v>
      </c>
      <c r="C349" t="inlineStr">
        <is>
          <t>K-553993</t>
        </is>
      </c>
      <c r="D349" t="inlineStr">
        <is>
          <t>1830</t>
        </is>
      </c>
      <c r="E349" t="inlineStr">
        <is>
          <t>LSE (v0000665)</t>
        </is>
      </c>
      <c r="F349" t="inlineStr">
        <is>
          <t>DEPT 15340 ppe 04/25/26</t>
        </is>
      </c>
      <c r="H349" s="5" t="n">
        <v>427.7</v>
      </c>
      <c r="I349" s="5" t="n">
        <v>208675.1</v>
      </c>
      <c r="J349" s="4" t="n">
        <v>46141</v>
      </c>
      <c r="K349" t="n">
        <v>-2</v>
      </c>
    </row>
    <row r="350">
      <c r="A350" t="inlineStr">
        <is>
          <t>Bay City</t>
        </is>
      </c>
      <c r="B350" s="4" t="n">
        <v>46141</v>
      </c>
      <c r="C350" t="inlineStr">
        <is>
          <t>K-553993</t>
        </is>
      </c>
      <c r="D350" t="inlineStr">
        <is>
          <t>1830</t>
        </is>
      </c>
      <c r="E350" t="inlineStr">
        <is>
          <t>LSE (v0000665)</t>
        </is>
      </c>
      <c r="F350" t="inlineStr">
        <is>
          <t>DEPT 15310 ppe 04/25/26</t>
        </is>
      </c>
      <c r="H350" s="5" t="n">
        <v>4670.5</v>
      </c>
      <c r="I350" s="5" t="n">
        <v>204004.6</v>
      </c>
      <c r="J350" s="4" t="n">
        <v>46141</v>
      </c>
      <c r="K350" t="n">
        <v>-2</v>
      </c>
    </row>
    <row r="351">
      <c r="A351" t="inlineStr">
        <is>
          <t>Bay City</t>
        </is>
      </c>
      <c r="B351" s="4" t="n">
        <v>46141</v>
      </c>
      <c r="C351" t="inlineStr">
        <is>
          <t>K-553993</t>
        </is>
      </c>
      <c r="D351" t="inlineStr">
        <is>
          <t>1830</t>
        </is>
      </c>
      <c r="E351" t="inlineStr">
        <is>
          <t>LSE (v0000665)</t>
        </is>
      </c>
      <c r="F351" t="inlineStr">
        <is>
          <t>DEPT 15340 ppe 04/25/26</t>
        </is>
      </c>
      <c r="H351" s="5" t="n">
        <v>163.92</v>
      </c>
      <c r="I351" s="5" t="n">
        <v>203840.68</v>
      </c>
      <c r="J351" s="4" t="n">
        <v>46141</v>
      </c>
      <c r="K351" t="n">
        <v>-2</v>
      </c>
    </row>
    <row r="352">
      <c r="A352" t="inlineStr">
        <is>
          <t>Bay City</t>
        </is>
      </c>
      <c r="B352" s="4" t="n">
        <v>46141</v>
      </c>
      <c r="C352" t="inlineStr">
        <is>
          <t>K-553993</t>
        </is>
      </c>
      <c r="D352" t="inlineStr">
        <is>
          <t>1830</t>
        </is>
      </c>
      <c r="E352" t="inlineStr">
        <is>
          <t>LSE (v0000665)</t>
        </is>
      </c>
      <c r="F352" t="inlineStr">
        <is>
          <t>DEPT 35200 ppe 04/25/26</t>
        </is>
      </c>
      <c r="H352" s="5" t="n">
        <v>19.46</v>
      </c>
      <c r="I352" s="5" t="n">
        <v>203821.22</v>
      </c>
      <c r="J352" s="4" t="n">
        <v>46141</v>
      </c>
      <c r="K352" t="n">
        <v>-2</v>
      </c>
    </row>
    <row r="353">
      <c r="A353" t="inlineStr">
        <is>
          <t>Bay City</t>
        </is>
      </c>
      <c r="B353" s="4" t="n">
        <v>46141</v>
      </c>
      <c r="C353" t="inlineStr">
        <is>
          <t>K-553993</t>
        </is>
      </c>
      <c r="D353" t="inlineStr">
        <is>
          <t>1830</t>
        </is>
      </c>
      <c r="E353" t="inlineStr">
        <is>
          <t>LSE (v0000665)</t>
        </is>
      </c>
      <c r="F353" t="inlineStr">
        <is>
          <t>DEPT 15340 ppe 04/25/26</t>
        </is>
      </c>
      <c r="H353" s="5" t="n">
        <v>2949.94</v>
      </c>
      <c r="I353" s="5" t="n">
        <v>200871.28</v>
      </c>
      <c r="J353" s="4" t="n">
        <v>46141</v>
      </c>
      <c r="K353" t="n">
        <v>-2</v>
      </c>
    </row>
    <row r="354">
      <c r="A354" t="inlineStr">
        <is>
          <t>Bay City</t>
        </is>
      </c>
      <c r="B354" s="4" t="n">
        <v>46141</v>
      </c>
      <c r="C354" t="inlineStr">
        <is>
          <t>K-553993</t>
        </is>
      </c>
      <c r="D354" t="inlineStr">
        <is>
          <t>1830</t>
        </is>
      </c>
      <c r="E354" t="inlineStr">
        <is>
          <t>LSE (v0000665)</t>
        </is>
      </c>
      <c r="F354" t="inlineStr">
        <is>
          <t>DEPT 35100 ppe 04/25/26</t>
        </is>
      </c>
      <c r="H354" s="5" t="n">
        <v>2115.37</v>
      </c>
      <c r="I354" s="5" t="n">
        <v>198755.91</v>
      </c>
      <c r="J354" s="4" t="n">
        <v>46141</v>
      </c>
      <c r="K354" t="n">
        <v>-2</v>
      </c>
    </row>
    <row r="355">
      <c r="A355" t="inlineStr">
        <is>
          <t>Bay City</t>
        </is>
      </c>
      <c r="B355" s="4" t="n">
        <v>46141</v>
      </c>
      <c r="C355" t="inlineStr">
        <is>
          <t>K-553993</t>
        </is>
      </c>
      <c r="D355" t="inlineStr">
        <is>
          <t>1830</t>
        </is>
      </c>
      <c r="E355" t="inlineStr">
        <is>
          <t>LSE (v0000665)</t>
        </is>
      </c>
      <c r="F355" t="inlineStr">
        <is>
          <t>DEPT 15310 ppe 04/25/26</t>
        </is>
      </c>
      <c r="H355" s="5" t="n">
        <v>723.63</v>
      </c>
      <c r="I355" s="5" t="n">
        <v>198032.28</v>
      </c>
      <c r="J355" s="4" t="n">
        <v>46141</v>
      </c>
      <c r="K355" t="n">
        <v>-2</v>
      </c>
    </row>
    <row r="356">
      <c r="A356" t="inlineStr">
        <is>
          <t>Bay City</t>
        </is>
      </c>
      <c r="B356" s="4" t="n">
        <v>46141</v>
      </c>
      <c r="C356" t="inlineStr">
        <is>
          <t>K-553993</t>
        </is>
      </c>
      <c r="D356" t="inlineStr">
        <is>
          <t>1830</t>
        </is>
      </c>
      <c r="E356" t="inlineStr">
        <is>
          <t>LSE (v0000665)</t>
        </is>
      </c>
      <c r="F356" t="inlineStr">
        <is>
          <t>DEPT 15340 ppe 04/25/26</t>
        </is>
      </c>
      <c r="H356" s="5" t="n">
        <v>266.01</v>
      </c>
      <c r="I356" s="5" t="n">
        <v>197766.27</v>
      </c>
      <c r="J356" s="4" t="n">
        <v>46141</v>
      </c>
      <c r="K356" t="n">
        <v>-2</v>
      </c>
    </row>
    <row r="357">
      <c r="A357" t="inlineStr">
        <is>
          <t>Bay City</t>
        </is>
      </c>
      <c r="B357" s="4" t="n">
        <v>46141</v>
      </c>
      <c r="C357" t="inlineStr">
        <is>
          <t>K-553993</t>
        </is>
      </c>
      <c r="D357" t="inlineStr">
        <is>
          <t>1830</t>
        </is>
      </c>
      <c r="E357" t="inlineStr">
        <is>
          <t>LSE (v0000665)</t>
        </is>
      </c>
      <c r="F357" t="inlineStr">
        <is>
          <t>DEPT 35100 ppe 04/25/26</t>
        </is>
      </c>
      <c r="H357" s="5" t="n">
        <v>188.72</v>
      </c>
      <c r="I357" s="5" t="n">
        <v>197577.55</v>
      </c>
      <c r="J357" s="4" t="n">
        <v>46141</v>
      </c>
      <c r="K357" t="n">
        <v>-2</v>
      </c>
    </row>
    <row r="358">
      <c r="A358" t="inlineStr">
        <is>
          <t>Bay City</t>
        </is>
      </c>
      <c r="B358" s="4" t="n">
        <v>46141</v>
      </c>
      <c r="C358" t="inlineStr">
        <is>
          <t>K-553993</t>
        </is>
      </c>
      <c r="D358" t="inlineStr">
        <is>
          <t>1830</t>
        </is>
      </c>
      <c r="E358" t="inlineStr">
        <is>
          <t>LSE (v0000665)</t>
        </is>
      </c>
      <c r="F358" t="inlineStr">
        <is>
          <t>DEPT 35200 ppe 04/25/26</t>
        </is>
      </c>
      <c r="H358" s="5" t="n">
        <v>1.47</v>
      </c>
      <c r="I358" s="5" t="n">
        <v>197576.08</v>
      </c>
      <c r="J358" s="4" t="n">
        <v>46141</v>
      </c>
      <c r="K358" t="n">
        <v>-2</v>
      </c>
    </row>
    <row r="359">
      <c r="A359" t="inlineStr">
        <is>
          <t>Bay City</t>
        </is>
      </c>
      <c r="B359" s="4" t="n">
        <v>46141</v>
      </c>
      <c r="C359" t="inlineStr">
        <is>
          <t>K-553993</t>
        </is>
      </c>
      <c r="D359" t="inlineStr">
        <is>
          <t>1830</t>
        </is>
      </c>
      <c r="E359" t="inlineStr">
        <is>
          <t>LSE (v0000665)</t>
        </is>
      </c>
      <c r="F359" t="inlineStr">
        <is>
          <t>DEPT 15310 ppe 04/25/26</t>
        </is>
      </c>
      <c r="H359" s="5" t="n">
        <v>169.38</v>
      </c>
      <c r="I359" s="5" t="n">
        <v>197406.7</v>
      </c>
      <c r="J359" s="4" t="n">
        <v>46141</v>
      </c>
      <c r="K359" t="n">
        <v>-2</v>
      </c>
    </row>
    <row r="360">
      <c r="A360" t="inlineStr">
        <is>
          <t>Bay City</t>
        </is>
      </c>
      <c r="B360" s="4" t="n">
        <v>46141</v>
      </c>
      <c r="C360" t="inlineStr">
        <is>
          <t>K-553993</t>
        </is>
      </c>
      <c r="D360" t="inlineStr">
        <is>
          <t>1830</t>
        </is>
      </c>
      <c r="E360" t="inlineStr">
        <is>
          <t>LSE (v0000665)</t>
        </is>
      </c>
      <c r="F360" t="inlineStr">
        <is>
          <t>DEPT 15340 ppe 04/25/26</t>
        </is>
      </c>
      <c r="H360" s="5" t="n">
        <v>45.77</v>
      </c>
      <c r="I360" s="5" t="n">
        <v>197360.93</v>
      </c>
      <c r="J360" s="4" t="n">
        <v>46141</v>
      </c>
      <c r="K360" t="n">
        <v>-2</v>
      </c>
    </row>
    <row r="361">
      <c r="A361" t="inlineStr">
        <is>
          <t>Bay City</t>
        </is>
      </c>
      <c r="B361" s="4" t="n">
        <v>46141</v>
      </c>
      <c r="C361" t="inlineStr">
        <is>
          <t>K-553993</t>
        </is>
      </c>
      <c r="D361" t="inlineStr">
        <is>
          <t>1830</t>
        </is>
      </c>
      <c r="E361" t="inlineStr">
        <is>
          <t>LSE (v0000665)</t>
        </is>
      </c>
      <c r="F361" t="inlineStr">
        <is>
          <t>DEPT 15310 ppe 04/25/26</t>
        </is>
      </c>
      <c r="G361" s="5" t="n">
        <v>230.94</v>
      </c>
      <c r="I361" s="5" t="n">
        <v>197591.87</v>
      </c>
      <c r="J361" s="4" t="n">
        <v>46141</v>
      </c>
      <c r="K361" t="n">
        <v>-2</v>
      </c>
    </row>
    <row r="362">
      <c r="A362" t="inlineStr">
        <is>
          <t>Bay City</t>
        </is>
      </c>
      <c r="B362" s="4" t="n">
        <v>46141</v>
      </c>
      <c r="C362" t="inlineStr">
        <is>
          <t>K-553993</t>
        </is>
      </c>
      <c r="D362" t="inlineStr">
        <is>
          <t>1830</t>
        </is>
      </c>
      <c r="E362" t="inlineStr">
        <is>
          <t>LSE (v0000665)</t>
        </is>
      </c>
      <c r="F362" t="inlineStr">
        <is>
          <t>DEPT 15340 ppe 04/25/26</t>
        </is>
      </c>
      <c r="G362" s="5" t="n">
        <v>128.4</v>
      </c>
      <c r="I362" s="5" t="n">
        <v>197720.27</v>
      </c>
      <c r="J362" s="4" t="n">
        <v>46141</v>
      </c>
      <c r="K362" t="n">
        <v>-2</v>
      </c>
    </row>
    <row r="363">
      <c r="A363" t="inlineStr">
        <is>
          <t>Bay City</t>
        </is>
      </c>
      <c r="B363" s="4" t="n">
        <v>46141</v>
      </c>
      <c r="C363" t="inlineStr">
        <is>
          <t>K-553993</t>
        </is>
      </c>
      <c r="D363" t="inlineStr">
        <is>
          <t>1830</t>
        </is>
      </c>
      <c r="E363" t="inlineStr">
        <is>
          <t>LSE (v0000665)</t>
        </is>
      </c>
      <c r="F363" t="inlineStr">
        <is>
          <t>DEPT 15310 ppe 04/25/26</t>
        </is>
      </c>
      <c r="G363" s="5" t="n">
        <v>12.99</v>
      </c>
      <c r="I363" s="5" t="n">
        <v>197733.26</v>
      </c>
      <c r="J363" s="4" t="n">
        <v>46141</v>
      </c>
      <c r="K363" t="n">
        <v>-2</v>
      </c>
    </row>
    <row r="364">
      <c r="A364" t="inlineStr">
        <is>
          <t>Bay City</t>
        </is>
      </c>
      <c r="B364" s="4" t="n">
        <v>46141</v>
      </c>
      <c r="C364" t="inlineStr">
        <is>
          <t>K-553993</t>
        </is>
      </c>
      <c r="D364" t="inlineStr">
        <is>
          <t>1830</t>
        </is>
      </c>
      <c r="E364" t="inlineStr">
        <is>
          <t>LSE (v0000665)</t>
        </is>
      </c>
      <c r="F364" t="inlineStr">
        <is>
          <t>DEPT 15340 ppe 04/25/26</t>
        </is>
      </c>
      <c r="G364" s="5" t="n">
        <v>7.59</v>
      </c>
      <c r="I364" s="5" t="n">
        <v>197740.85</v>
      </c>
      <c r="J364" s="4" t="n">
        <v>46141</v>
      </c>
      <c r="K364" t="n">
        <v>-2</v>
      </c>
    </row>
    <row r="365">
      <c r="A365" t="inlineStr">
        <is>
          <t>Bay City</t>
        </is>
      </c>
      <c r="B365" s="4" t="n">
        <v>46141</v>
      </c>
      <c r="C365" t="inlineStr">
        <is>
          <t>K-553993</t>
        </is>
      </c>
      <c r="D365" t="inlineStr">
        <is>
          <t>1830</t>
        </is>
      </c>
      <c r="E365" t="inlineStr">
        <is>
          <t>LSE (v0000665)</t>
        </is>
      </c>
      <c r="F365" t="inlineStr">
        <is>
          <t>DEPT 35100 ppe 04/25/26</t>
        </is>
      </c>
      <c r="G365" s="5" t="n">
        <v>33.54</v>
      </c>
      <c r="I365" s="5" t="n">
        <v>197774.39</v>
      </c>
      <c r="J365" s="4" t="n">
        <v>46141</v>
      </c>
      <c r="K365" t="n">
        <v>-2</v>
      </c>
    </row>
    <row r="366">
      <c r="A366" t="inlineStr">
        <is>
          <t>Bay City</t>
        </is>
      </c>
      <c r="B366" s="4" t="n">
        <v>46141</v>
      </c>
      <c r="C366" t="inlineStr">
        <is>
          <t>K-553993</t>
        </is>
      </c>
      <c r="D366" t="inlineStr">
        <is>
          <t>1830</t>
        </is>
      </c>
      <c r="E366" t="inlineStr">
        <is>
          <t>LSE (v0000665)</t>
        </is>
      </c>
      <c r="F366" t="inlineStr">
        <is>
          <t>DEPT 35200 ppe 04/25/26</t>
        </is>
      </c>
      <c r="G366" s="5" t="n">
        <v>0.1</v>
      </c>
      <c r="I366" s="5" t="n">
        <v>197774.49</v>
      </c>
      <c r="J366" s="4" t="n">
        <v>46141</v>
      </c>
      <c r="K366" t="n">
        <v>-2</v>
      </c>
    </row>
    <row r="367">
      <c r="A367" t="inlineStr">
        <is>
          <t>Bay City</t>
        </is>
      </c>
      <c r="B367" s="4" t="n">
        <v>46141</v>
      </c>
      <c r="C367" t="inlineStr">
        <is>
          <t>K-553993</t>
        </is>
      </c>
      <c r="D367" t="inlineStr">
        <is>
          <t>1830</t>
        </is>
      </c>
      <c r="E367" t="inlineStr">
        <is>
          <t>LSE (v0000665)</t>
        </is>
      </c>
      <c r="F367" t="inlineStr">
        <is>
          <t>DEPT 15310 ppe 04/25/26</t>
        </is>
      </c>
      <c r="G367" s="5" t="n">
        <v>32.26</v>
      </c>
      <c r="I367" s="5" t="n">
        <v>197806.75</v>
      </c>
      <c r="J367" s="4" t="n">
        <v>46141</v>
      </c>
      <c r="K367" t="n">
        <v>-2</v>
      </c>
    </row>
    <row r="368">
      <c r="A368" t="inlineStr">
        <is>
          <t>Bay City</t>
        </is>
      </c>
      <c r="B368" s="4" t="n">
        <v>46141</v>
      </c>
      <c r="C368" t="inlineStr">
        <is>
          <t>K-553993</t>
        </is>
      </c>
      <c r="D368" t="inlineStr">
        <is>
          <t>1830</t>
        </is>
      </c>
      <c r="E368" t="inlineStr">
        <is>
          <t>LSE (v0000665)</t>
        </is>
      </c>
      <c r="F368" t="inlineStr">
        <is>
          <t>DEPT 15340 ppe 04/25/26</t>
        </is>
      </c>
      <c r="G368" s="5" t="n">
        <v>13.9</v>
      </c>
      <c r="I368" s="5" t="n">
        <v>197820.65</v>
      </c>
      <c r="J368" s="4" t="n">
        <v>46141</v>
      </c>
      <c r="K368" t="n">
        <v>-2</v>
      </c>
    </row>
    <row r="369">
      <c r="A369" t="inlineStr">
        <is>
          <t>Bay City</t>
        </is>
      </c>
      <c r="B369" s="4" t="n">
        <v>46141</v>
      </c>
      <c r="C369" t="inlineStr">
        <is>
          <t>K-553993</t>
        </is>
      </c>
      <c r="D369" t="inlineStr">
        <is>
          <t>1830</t>
        </is>
      </c>
      <c r="E369" t="inlineStr">
        <is>
          <t>LSE (v0000665)</t>
        </is>
      </c>
      <c r="F369" t="inlineStr">
        <is>
          <t>DEPT 35100 ppe 04/25/26</t>
        </is>
      </c>
      <c r="G369" s="5" t="n">
        <v>24.03</v>
      </c>
      <c r="I369" s="5" t="n">
        <v>197844.68</v>
      </c>
      <c r="J369" s="4" t="n">
        <v>46141</v>
      </c>
      <c r="K369" t="n">
        <v>-2</v>
      </c>
    </row>
    <row r="370">
      <c r="A370" t="inlineStr">
        <is>
          <t>Bay City</t>
        </is>
      </c>
      <c r="B370" s="4" t="n">
        <v>46141</v>
      </c>
      <c r="C370" t="inlineStr">
        <is>
          <t>K-553993</t>
        </is>
      </c>
      <c r="D370" t="inlineStr">
        <is>
          <t>1830</t>
        </is>
      </c>
      <c r="E370" t="inlineStr">
        <is>
          <t>LSE (v0000665)</t>
        </is>
      </c>
      <c r="F370" t="inlineStr">
        <is>
          <t>DEPT 35200 ppe 04/25/26</t>
        </is>
      </c>
      <c r="G370" s="5" t="n">
        <v>0.23</v>
      </c>
      <c r="I370" s="5" t="n">
        <v>197844.91</v>
      </c>
      <c r="J370" s="4" t="n">
        <v>46141</v>
      </c>
      <c r="K370" t="n">
        <v>-2</v>
      </c>
    </row>
    <row r="371">
      <c r="A371" t="inlineStr">
        <is>
          <t>Bay City</t>
        </is>
      </c>
      <c r="B371" s="4" t="n">
        <v>46141</v>
      </c>
      <c r="C371" t="inlineStr">
        <is>
          <t>K-553993</t>
        </is>
      </c>
      <c r="D371" t="inlineStr">
        <is>
          <t>1830</t>
        </is>
      </c>
      <c r="E371" t="inlineStr">
        <is>
          <t>LSE (v0000665)</t>
        </is>
      </c>
      <c r="F371" t="inlineStr">
        <is>
          <t>DEPT 15310 ppe 04/25/26</t>
        </is>
      </c>
      <c r="G371" s="5" t="n">
        <v>9.140000000000001</v>
      </c>
      <c r="I371" s="5" t="n">
        <v>197854.05</v>
      </c>
      <c r="J371" s="4" t="n">
        <v>46141</v>
      </c>
      <c r="K371" t="n">
        <v>-2</v>
      </c>
    </row>
    <row r="372">
      <c r="A372" t="inlineStr">
        <is>
          <t>Bay City</t>
        </is>
      </c>
      <c r="B372" s="4" t="n">
        <v>46141</v>
      </c>
      <c r="C372" t="inlineStr">
        <is>
          <t>K-553993</t>
        </is>
      </c>
      <c r="D372" t="inlineStr">
        <is>
          <t>1830</t>
        </is>
      </c>
      <c r="E372" t="inlineStr">
        <is>
          <t>LSE (v0000665)</t>
        </is>
      </c>
      <c r="F372" t="inlineStr">
        <is>
          <t>DEPT 15340 ppe 04/25/26</t>
        </is>
      </c>
      <c r="G372" s="5" t="n">
        <v>3.82</v>
      </c>
      <c r="I372" s="5" t="n">
        <v>197857.87</v>
      </c>
      <c r="J372" s="4" t="n">
        <v>46141</v>
      </c>
      <c r="K372" t="n">
        <v>-2</v>
      </c>
    </row>
    <row r="373">
      <c r="A373" t="inlineStr">
        <is>
          <t>Bay City</t>
        </is>
      </c>
      <c r="B373" s="4" t="n">
        <v>46141</v>
      </c>
      <c r="C373" t="inlineStr">
        <is>
          <t>K-553993</t>
        </is>
      </c>
      <c r="D373" t="inlineStr">
        <is>
          <t>1830</t>
        </is>
      </c>
      <c r="E373" t="inlineStr">
        <is>
          <t>LSE (v0000665)</t>
        </is>
      </c>
      <c r="F373" t="inlineStr">
        <is>
          <t>DEPT 35100 ppe 04/25/26</t>
        </is>
      </c>
      <c r="G373" s="5" t="n">
        <v>7.42</v>
      </c>
      <c r="I373" s="5" t="n">
        <v>197865.29</v>
      </c>
      <c r="J373" s="4" t="n">
        <v>46141</v>
      </c>
      <c r="K373" t="n">
        <v>-2</v>
      </c>
    </row>
    <row r="374">
      <c r="A374" t="inlineStr">
        <is>
          <t>Bay City</t>
        </is>
      </c>
      <c r="B374" s="4" t="n">
        <v>46141</v>
      </c>
      <c r="C374" t="inlineStr">
        <is>
          <t>K-553993</t>
        </is>
      </c>
      <c r="D374" t="inlineStr">
        <is>
          <t>1830</t>
        </is>
      </c>
      <c r="E374" t="inlineStr">
        <is>
          <t>LSE (v0000665)</t>
        </is>
      </c>
      <c r="F374" t="inlineStr">
        <is>
          <t>DEPT 35200 ppe 04/25/26</t>
        </is>
      </c>
      <c r="G374" s="5" t="n">
        <v>0.07000000000000001</v>
      </c>
      <c r="I374" s="5" t="n">
        <v>197865.36</v>
      </c>
      <c r="J374" s="4" t="n">
        <v>46141</v>
      </c>
      <c r="K374" t="n">
        <v>-2</v>
      </c>
    </row>
    <row r="375">
      <c r="A375" t="inlineStr">
        <is>
          <t>Bay City</t>
        </is>
      </c>
      <c r="B375" s="4" t="n">
        <v>46141</v>
      </c>
      <c r="C375" t="inlineStr">
        <is>
          <t>K-554152</t>
        </is>
      </c>
      <c r="D375" t="inlineStr">
        <is>
          <t>1831</t>
        </is>
      </c>
      <c r="E375" t="inlineStr">
        <is>
          <t>Delaware Electric Cooperative Inc (v0007699)</t>
        </is>
      </c>
      <c r="F375" t="inlineStr">
        <is>
          <t>03/26/2026-04/24/2026-Electric-5220205-ELECTRIC 1-BAY CITY</t>
        </is>
      </c>
      <c r="H375" s="5" t="n">
        <v>718.85</v>
      </c>
      <c r="I375" s="5" t="n">
        <v>197146.51</v>
      </c>
      <c r="K375" t="n">
        <v>-1</v>
      </c>
    </row>
    <row r="376">
      <c r="A376" t="inlineStr">
        <is>
          <t>Bay City</t>
        </is>
      </c>
      <c r="B376" s="4" t="n">
        <v>46141</v>
      </c>
      <c r="C376" t="inlineStr">
        <is>
          <t>J-365442</t>
        </is>
      </c>
      <c r="D376" t="inlineStr">
        <is>
          <t>Daily Deposit</t>
        </is>
      </c>
      <c r="E376" t="inlineStr">
        <is>
          <t>04/29/2026 Daily Deposit</t>
        </is>
      </c>
      <c r="F376" t="inlineStr">
        <is>
          <t>CKS 04/29/2026 Batch 145caba7-a3f2-42bd-a865-2f3f6fa2d32c</t>
        </is>
      </c>
      <c r="G376" s="5" t="n">
        <v>3154.77</v>
      </c>
      <c r="I376" s="5" t="n">
        <v>200301.28</v>
      </c>
      <c r="J376" s="4" t="n">
        <v>46142</v>
      </c>
      <c r="K376" t="n">
        <v>2</v>
      </c>
    </row>
    <row r="377">
      <c r="A377" t="inlineStr">
        <is>
          <t>Bay City</t>
        </is>
      </c>
      <c r="B377" s="4" t="n">
        <v>46141</v>
      </c>
      <c r="C377" t="inlineStr">
        <is>
          <t>J-365442</t>
        </is>
      </c>
      <c r="D377" t="inlineStr">
        <is>
          <t>Daily Deposit</t>
        </is>
      </c>
      <c r="E377" t="inlineStr">
        <is>
          <t>04/29/2026 Daily Deposit</t>
        </is>
      </c>
      <c r="F377" t="inlineStr">
        <is>
          <t>CKS 04/29/2026 Batch 18749bf4-8985-43c0-a1a1-b23621263964</t>
        </is>
      </c>
      <c r="G377" s="5" t="n">
        <v>4882.62</v>
      </c>
      <c r="I377" s="5" t="n">
        <v>205183.9</v>
      </c>
      <c r="J377" s="4" t="n">
        <v>46142</v>
      </c>
      <c r="K377" t="n">
        <v>2</v>
      </c>
    </row>
    <row r="378">
      <c r="A378" t="inlineStr">
        <is>
          <t>Bay City</t>
        </is>
      </c>
      <c r="B378" s="4" t="n">
        <v>46141</v>
      </c>
      <c r="C378" t="inlineStr">
        <is>
          <t>J-365442</t>
        </is>
      </c>
      <c r="D378" t="inlineStr">
        <is>
          <t>Daily Deposit</t>
        </is>
      </c>
      <c r="E378" t="inlineStr">
        <is>
          <t>04/29/2026 Daily Deposit</t>
        </is>
      </c>
      <c r="F378" t="inlineStr">
        <is>
          <t>CKS 04/29/2026 Batch d3b32ff0-93d9-4fe1-930a-d4c92ec3d234</t>
        </is>
      </c>
      <c r="G378" s="5" t="n">
        <v>884.42</v>
      </c>
      <c r="I378" s="5" t="n">
        <v>206068.32</v>
      </c>
      <c r="J378" s="4" t="n">
        <v>46142</v>
      </c>
      <c r="K378" t="n">
        <v>2</v>
      </c>
    </row>
    <row r="379">
      <c r="A379" t="inlineStr">
        <is>
          <t>Bay City</t>
        </is>
      </c>
      <c r="B379" s="4" t="n">
        <v>46141</v>
      </c>
      <c r="C379" t="inlineStr">
        <is>
          <t>J-365442</t>
        </is>
      </c>
      <c r="D379" t="inlineStr">
        <is>
          <t>Daily Deposit</t>
        </is>
      </c>
      <c r="E379" t="inlineStr">
        <is>
          <t>04/29/2026 Daily Deposit</t>
        </is>
      </c>
      <c r="F379" t="inlineStr">
        <is>
          <t>RP : ACH Deposit 04/27/2026</t>
        </is>
      </c>
      <c r="G379" s="5" t="n">
        <v>758.8099999999999</v>
      </c>
      <c r="I379" s="5" t="n">
        <v>206827.13</v>
      </c>
      <c r="J379" s="4" t="n">
        <v>46141</v>
      </c>
      <c r="K379" t="n">
        <v>2</v>
      </c>
    </row>
    <row r="380">
      <c r="A380" t="inlineStr">
        <is>
          <t>Bay City</t>
        </is>
      </c>
      <c r="B380" s="4" t="n">
        <v>46141</v>
      </c>
      <c r="C380" t="inlineStr">
        <is>
          <t>J-365442</t>
        </is>
      </c>
      <c r="D380" t="inlineStr">
        <is>
          <t>Daily Deposit</t>
        </is>
      </c>
      <c r="E380" t="inlineStr">
        <is>
          <t>04/29/2026 Daily Deposit</t>
        </is>
      </c>
      <c r="F380" t="inlineStr">
        <is>
          <t>RP : ACH Deposit 04/28/2026</t>
        </is>
      </c>
      <c r="G380" s="5" t="n">
        <v>1504.93</v>
      </c>
      <c r="I380" s="5" t="n">
        <v>208332.06</v>
      </c>
      <c r="J380" s="4" t="n">
        <v>46141</v>
      </c>
      <c r="K380" t="n">
        <v>2</v>
      </c>
    </row>
    <row r="381">
      <c r="A381" t="inlineStr">
        <is>
          <t>Bay City</t>
        </is>
      </c>
      <c r="B381" s="4" t="n">
        <v>46142</v>
      </c>
      <c r="C381" t="inlineStr">
        <is>
          <t>K-554198</t>
        </is>
      </c>
      <c r="D381" t="inlineStr">
        <is>
          <t>22695</t>
        </is>
      </c>
      <c r="E381" t="inlineStr">
        <is>
          <t>BAY CITY SD NT (v0008241)</t>
        </is>
      </c>
      <c r="F381" t="inlineStr">
        <is>
          <t>04-2026 transfer funds for SD activity</t>
        </is>
      </c>
      <c r="H381" s="5" t="n">
        <v>1000</v>
      </c>
      <c r="I381" s="5" t="n">
        <v>207332.06</v>
      </c>
      <c r="K381" t="n">
        <v>-1</v>
      </c>
    </row>
    <row r="382">
      <c r="A382" t="inlineStr">
        <is>
          <t>Bay City</t>
        </is>
      </c>
      <c r="B382" s="4" t="n">
        <v>46142</v>
      </c>
      <c r="C382" t="inlineStr">
        <is>
          <t>K-554354</t>
        </is>
      </c>
      <c r="D382" t="inlineStr">
        <is>
          <t>22696</t>
        </is>
      </c>
      <c r="E382" t="inlineStr">
        <is>
          <t>AMX-PB LAKESHORE MANAGEMENT INC. (v0001555)</t>
        </is>
      </c>
      <c r="F382" t="inlineStr">
        <is>
          <t>mh village ads 03.07.26</t>
        </is>
      </c>
      <c r="H382" s="5" t="n">
        <v>22.85</v>
      </c>
      <c r="I382" s="5" t="n">
        <v>207309.21</v>
      </c>
      <c r="K382" t="n">
        <v>-1</v>
      </c>
    </row>
    <row r="383">
      <c r="A383" t="inlineStr">
        <is>
          <t>Bay City</t>
        </is>
      </c>
      <c r="B383" s="4" t="n">
        <v>46142</v>
      </c>
      <c r="C383" t="inlineStr">
        <is>
          <t>K-554354</t>
        </is>
      </c>
      <c r="D383" t="inlineStr">
        <is>
          <t>22696</t>
        </is>
      </c>
      <c r="E383" t="inlineStr">
        <is>
          <t>AMX-PB LAKESHORE MANAGEMENT INC. (v0001555)</t>
        </is>
      </c>
      <c r="F383" t="inlineStr">
        <is>
          <t>Amex PB W2165149 DR431CL DR431CL DRUM UNIT MFCL8610CDW L-SUPL SUPL Gloria Lamonaca 161bct</t>
        </is>
      </c>
      <c r="H383" s="5" t="n">
        <v>184.28</v>
      </c>
      <c r="I383" s="5" t="n">
        <v>207124.93</v>
      </c>
      <c r="K383" t="n">
        <v>-1</v>
      </c>
    </row>
    <row r="384">
      <c r="A384" t="inlineStr">
        <is>
          <t>Bay City</t>
        </is>
      </c>
      <c r="B384" s="4" t="n">
        <v>46142</v>
      </c>
      <c r="C384" t="inlineStr">
        <is>
          <t>K-554718</t>
        </is>
      </c>
      <c r="D384" t="inlineStr">
        <is>
          <t>1832</t>
        </is>
      </c>
      <c r="E384" t="inlineStr">
        <is>
          <t>Yes Energy Management, Inc. (v0002908)</t>
        </is>
      </c>
      <c r="F384" t="inlineStr">
        <is>
          <t>Utility Invoice Processing (UEM) 03/01/2026 - 03/31/2026 Inv# 1413826</t>
        </is>
      </c>
      <c r="H384" s="5" t="n">
        <v>49</v>
      </c>
      <c r="I384" s="5" t="n">
        <v>207075.93</v>
      </c>
      <c r="K384" t="n">
        <v>-1</v>
      </c>
    </row>
    <row r="385">
      <c r="A385" t="inlineStr">
        <is>
          <t>Bay City</t>
        </is>
      </c>
      <c r="B385" s="4" t="n">
        <v>46142</v>
      </c>
      <c r="C385" t="inlineStr">
        <is>
          <t>K-554853</t>
        </is>
      </c>
      <c r="D385" t="inlineStr">
        <is>
          <t>22697</t>
        </is>
      </c>
      <c r="E385" t="inlineStr">
        <is>
          <t>Lakeshore Management Inc (v0000666)</t>
        </is>
      </c>
      <c r="F385" t="inlineStr">
        <is>
          <t>Feather flag pole kits</t>
        </is>
      </c>
      <c r="H385" s="5" t="n">
        <v>495.92</v>
      </c>
      <c r="I385" s="5" t="n">
        <v>206580.01</v>
      </c>
      <c r="K385" t="n">
        <v>-1</v>
      </c>
    </row>
    <row r="386">
      <c r="A386" t="inlineStr">
        <is>
          <t>Bay City</t>
        </is>
      </c>
      <c r="B386" s="4" t="n">
        <v>46142</v>
      </c>
      <c r="C386" t="inlineStr">
        <is>
          <t>K-554853</t>
        </is>
      </c>
      <c r="D386" t="inlineStr">
        <is>
          <t>22697</t>
        </is>
      </c>
      <c r="E386" t="inlineStr">
        <is>
          <t>Lakeshore Management Inc (v0000666)</t>
        </is>
      </c>
      <c r="F386" t="inlineStr">
        <is>
          <t>Paper towels chips chocolate and microwave for clubhouse</t>
        </is>
      </c>
      <c r="H386" s="5" t="n">
        <v>136.79</v>
      </c>
      <c r="I386" s="5" t="n">
        <v>206443.22</v>
      </c>
      <c r="K386" t="n">
        <v>-1</v>
      </c>
    </row>
    <row r="387">
      <c r="A387" t="inlineStr">
        <is>
          <t>Bay City</t>
        </is>
      </c>
      <c r="B387" s="4" t="n">
        <v>46142</v>
      </c>
      <c r="C387" t="inlineStr">
        <is>
          <t>K-554853</t>
        </is>
      </c>
      <c r="D387" t="inlineStr">
        <is>
          <t>22697</t>
        </is>
      </c>
      <c r="E387" t="inlineStr">
        <is>
          <t>Lakeshore Management Inc (v0000666)</t>
        </is>
      </c>
      <c r="F387" t="inlineStr">
        <is>
          <t>lunch</t>
        </is>
      </c>
      <c r="H387" s="5" t="n">
        <v>100.13</v>
      </c>
      <c r="I387" s="5" t="n">
        <v>206343.09</v>
      </c>
      <c r="K387" t="n">
        <v>-1</v>
      </c>
    </row>
    <row r="388">
      <c r="A388" t="inlineStr">
        <is>
          <t>Bay City</t>
        </is>
      </c>
      <c r="B388" s="4" t="n">
        <v>46142</v>
      </c>
      <c r="C388" t="inlineStr">
        <is>
          <t>K-554853</t>
        </is>
      </c>
      <c r="D388" t="inlineStr">
        <is>
          <t>22697</t>
        </is>
      </c>
      <c r="E388" t="inlineStr">
        <is>
          <t>Lakeshore Management Inc (v0000666)</t>
        </is>
      </c>
      <c r="F388" t="inlineStr">
        <is>
          <t>Plant for new homeowner</t>
        </is>
      </c>
      <c r="H388" s="5" t="n">
        <v>39.99</v>
      </c>
      <c r="I388" s="5" t="n">
        <v>206303.1</v>
      </c>
      <c r="K388" t="n">
        <v>-1</v>
      </c>
    </row>
    <row r="389">
      <c r="A389" t="inlineStr">
        <is>
          <t>Bay City</t>
        </is>
      </c>
      <c r="B389" s="4" t="n">
        <v>46142</v>
      </c>
      <c r="C389" t="inlineStr">
        <is>
          <t>K-554853</t>
        </is>
      </c>
      <c r="D389" t="inlineStr">
        <is>
          <t>22697</t>
        </is>
      </c>
      <c r="E389" t="inlineStr">
        <is>
          <t>Lakeshore Management Inc (v0000666)</t>
        </is>
      </c>
      <c r="F389" t="inlineStr">
        <is>
          <t>Resident luncheon</t>
        </is>
      </c>
      <c r="H389" s="5" t="n">
        <v>81.27</v>
      </c>
      <c r="I389" s="5" t="n">
        <v>206221.83</v>
      </c>
      <c r="K389" t="n">
        <v>-1</v>
      </c>
    </row>
    <row r="390">
      <c r="A390" t="inlineStr">
        <is>
          <t>Bay City</t>
        </is>
      </c>
      <c r="B390" s="4" t="n">
        <v>46142</v>
      </c>
      <c r="C390" t="inlineStr">
        <is>
          <t>K-554853</t>
        </is>
      </c>
      <c r="D390" t="inlineStr">
        <is>
          <t>22697</t>
        </is>
      </c>
      <c r="E390" t="inlineStr">
        <is>
          <t>Lakeshore Management Inc (v0000666)</t>
        </is>
      </c>
      <c r="F390" t="inlineStr">
        <is>
          <t>Resident luncheon</t>
        </is>
      </c>
      <c r="H390" s="5" t="n">
        <v>23.2</v>
      </c>
      <c r="I390" s="5" t="n">
        <v>206198.63</v>
      </c>
      <c r="K390" t="n">
        <v>-1</v>
      </c>
    </row>
    <row r="391">
      <c r="A391" t="inlineStr">
        <is>
          <t>Bay City</t>
        </is>
      </c>
      <c r="B391" s="4" t="n">
        <v>46142</v>
      </c>
      <c r="C391" t="inlineStr">
        <is>
          <t>K-554853</t>
        </is>
      </c>
      <c r="D391" t="inlineStr">
        <is>
          <t>22697</t>
        </is>
      </c>
      <c r="E391" t="inlineStr">
        <is>
          <t>Lakeshore Management Inc (v0000666)</t>
        </is>
      </c>
      <c r="F391" t="inlineStr">
        <is>
          <t>Resident luncheon</t>
        </is>
      </c>
      <c r="H391" s="5" t="n">
        <v>64.98999999999999</v>
      </c>
      <c r="I391" s="5" t="n">
        <v>206133.64</v>
      </c>
      <c r="K391" t="n">
        <v>-1</v>
      </c>
    </row>
    <row r="392">
      <c r="A392" t="inlineStr">
        <is>
          <t>Bay City</t>
        </is>
      </c>
      <c r="B392" s="4" t="n">
        <v>46142</v>
      </c>
      <c r="C392" t="inlineStr">
        <is>
          <t>K-554853</t>
        </is>
      </c>
      <c r="D392" t="inlineStr">
        <is>
          <t>22697</t>
        </is>
      </c>
      <c r="E392" t="inlineStr">
        <is>
          <t>Lakeshore Management Inc (v0000666)</t>
        </is>
      </c>
      <c r="F392" t="inlineStr">
        <is>
          <t>Basket for family of resident who passed away</t>
        </is>
      </c>
      <c r="H392" s="5" t="n">
        <v>144.98</v>
      </c>
      <c r="I392" s="5" t="n">
        <v>205988.66</v>
      </c>
      <c r="K392" t="n">
        <v>-1</v>
      </c>
    </row>
    <row r="393">
      <c r="A393" t="inlineStr">
        <is>
          <t>Bay City</t>
        </is>
      </c>
      <c r="B393" s="4" t="n">
        <v>46142</v>
      </c>
      <c r="C393" t="inlineStr">
        <is>
          <t>K-554853</t>
        </is>
      </c>
      <c r="D393" t="inlineStr">
        <is>
          <t>22697</t>
        </is>
      </c>
      <c r="E393" t="inlineStr">
        <is>
          <t>Lakeshore Management Inc (v0000666)</t>
        </is>
      </c>
      <c r="F393" t="inlineStr">
        <is>
          <t>Dump debris from community</t>
        </is>
      </c>
      <c r="H393" s="5" t="n">
        <v>21.6</v>
      </c>
      <c r="I393" s="5" t="n">
        <v>205967.06</v>
      </c>
      <c r="K393" t="n">
        <v>-1</v>
      </c>
    </row>
    <row r="394">
      <c r="A394" t="inlineStr">
        <is>
          <t>Bay City</t>
        </is>
      </c>
      <c r="B394" s="4" t="n">
        <v>46142</v>
      </c>
      <c r="C394" t="inlineStr">
        <is>
          <t>K-554853</t>
        </is>
      </c>
      <c r="D394" t="inlineStr">
        <is>
          <t>22697</t>
        </is>
      </c>
      <c r="E394" t="inlineStr">
        <is>
          <t>Lakeshore Management Inc (v0000666)</t>
        </is>
      </c>
      <c r="F394" t="inlineStr">
        <is>
          <t>Dump debris from community</t>
        </is>
      </c>
      <c r="H394" s="5" t="n">
        <v>32.8</v>
      </c>
      <c r="I394" s="5" t="n">
        <v>205934.26</v>
      </c>
      <c r="K394" t="n">
        <v>-1</v>
      </c>
    </row>
    <row r="395">
      <c r="A395" t="inlineStr">
        <is>
          <t>Bay City</t>
        </is>
      </c>
      <c r="B395" s="4" t="n">
        <v>46142</v>
      </c>
      <c r="C395" t="inlineStr">
        <is>
          <t>K-554853</t>
        </is>
      </c>
      <c r="D395" t="inlineStr">
        <is>
          <t>22697</t>
        </is>
      </c>
      <c r="E395" t="inlineStr">
        <is>
          <t>Lakeshore Management Inc (v0000666)</t>
        </is>
      </c>
      <c r="F395" t="inlineStr">
        <is>
          <t>Dump debris from community</t>
        </is>
      </c>
      <c r="H395" s="5" t="n">
        <v>12.8</v>
      </c>
      <c r="I395" s="5" t="n">
        <v>205921.46</v>
      </c>
      <c r="K395" t="n">
        <v>-1</v>
      </c>
    </row>
    <row r="396">
      <c r="A396" t="inlineStr">
        <is>
          <t>Bay City</t>
        </is>
      </c>
      <c r="B396" s="4" t="n">
        <v>46142</v>
      </c>
      <c r="C396" t="inlineStr">
        <is>
          <t>K-554853</t>
        </is>
      </c>
      <c r="D396" t="inlineStr">
        <is>
          <t>22697</t>
        </is>
      </c>
      <c r="E396" t="inlineStr">
        <is>
          <t>Lakeshore Management Inc (v0000666)</t>
        </is>
      </c>
      <c r="F396" t="inlineStr">
        <is>
          <t>truck wash</t>
        </is>
      </c>
      <c r="H396" s="5" t="n">
        <v>29.99</v>
      </c>
      <c r="I396" s="5" t="n">
        <v>205891.47</v>
      </c>
      <c r="K396" t="n">
        <v>-1</v>
      </c>
    </row>
    <row r="397">
      <c r="A397" t="inlineStr">
        <is>
          <t>Bay City</t>
        </is>
      </c>
      <c r="B397" s="4" t="n">
        <v>46142</v>
      </c>
      <c r="C397" t="inlineStr">
        <is>
          <t>K-554853</t>
        </is>
      </c>
      <c r="D397" t="inlineStr">
        <is>
          <t>22697</t>
        </is>
      </c>
      <c r="E397" t="inlineStr">
        <is>
          <t>Lakeshore Management Inc (v0000666)</t>
        </is>
      </c>
      <c r="F397" t="inlineStr">
        <is>
          <t>Interior truck cleaning</t>
        </is>
      </c>
      <c r="H397" s="5" t="n">
        <v>10</v>
      </c>
      <c r="I397" s="5" t="n">
        <v>205881.47</v>
      </c>
      <c r="K397" t="n">
        <v>-1</v>
      </c>
    </row>
    <row r="398">
      <c r="A398" t="inlineStr">
        <is>
          <t>Bay City</t>
        </is>
      </c>
      <c r="B398" s="4" t="n">
        <v>46142</v>
      </c>
      <c r="C398" t="inlineStr">
        <is>
          <t>K-554853</t>
        </is>
      </c>
      <c r="D398" t="inlineStr">
        <is>
          <t>22697</t>
        </is>
      </c>
      <c r="E398" t="inlineStr">
        <is>
          <t>Lakeshore Management Inc (v0000666)</t>
        </is>
      </c>
      <c r="F398" t="inlineStr">
        <is>
          <t>Bumper repair</t>
        </is>
      </c>
      <c r="H398" s="5" t="n">
        <v>1357.85</v>
      </c>
      <c r="I398" s="5" t="n">
        <v>204523.62</v>
      </c>
      <c r="K398" t="n">
        <v>-1</v>
      </c>
    </row>
    <row r="399">
      <c r="A399" t="inlineStr">
        <is>
          <t>Bay City</t>
        </is>
      </c>
      <c r="B399" s="4" t="n">
        <v>46142</v>
      </c>
      <c r="C399" t="inlineStr">
        <is>
          <t>K-554853</t>
        </is>
      </c>
      <c r="D399" t="inlineStr">
        <is>
          <t>22697</t>
        </is>
      </c>
      <c r="E399" t="inlineStr">
        <is>
          <t>Lakeshore Management Inc (v0000666)</t>
        </is>
      </c>
      <c r="F399" t="inlineStr">
        <is>
          <t>Hydraulic jack</t>
        </is>
      </c>
      <c r="H399" s="5" t="n">
        <v>62.98</v>
      </c>
      <c r="I399" s="5" t="n">
        <v>204460.64</v>
      </c>
      <c r="K399" t="n">
        <v>-1</v>
      </c>
    </row>
    <row r="400">
      <c r="A400" t="inlineStr">
        <is>
          <t>Bay City</t>
        </is>
      </c>
      <c r="B400" s="4" t="n">
        <v>46142</v>
      </c>
      <c r="C400" t="inlineStr">
        <is>
          <t>K-554853</t>
        </is>
      </c>
      <c r="D400" t="inlineStr">
        <is>
          <t>22697</t>
        </is>
      </c>
      <c r="E400" t="inlineStr">
        <is>
          <t>Lakeshore Management Inc (v0000666)</t>
        </is>
      </c>
      <c r="F400" t="inlineStr">
        <is>
          <t>Tools</t>
        </is>
      </c>
      <c r="H400" s="5" t="n">
        <v>53.92</v>
      </c>
      <c r="I400" s="5" t="n">
        <v>204406.72</v>
      </c>
      <c r="K400" t="n">
        <v>-1</v>
      </c>
    </row>
    <row r="401">
      <c r="A401" t="inlineStr">
        <is>
          <t>Bay City</t>
        </is>
      </c>
      <c r="B401" s="4" t="n">
        <v>46142</v>
      </c>
      <c r="C401" t="inlineStr">
        <is>
          <t>K-554853</t>
        </is>
      </c>
      <c r="D401" t="inlineStr">
        <is>
          <t>22697</t>
        </is>
      </c>
      <c r="E401" t="inlineStr">
        <is>
          <t>Lakeshore Management Inc (v0000666)</t>
        </is>
      </c>
      <c r="F401" t="inlineStr">
        <is>
          <t>Dock screws</t>
        </is>
      </c>
      <c r="H401" s="5" t="n">
        <v>1345</v>
      </c>
      <c r="I401" s="5" t="n">
        <v>203061.72</v>
      </c>
      <c r="K401" t="n">
        <v>-1</v>
      </c>
    </row>
    <row r="402">
      <c r="A402" t="inlineStr">
        <is>
          <t>Bay City</t>
        </is>
      </c>
      <c r="B402" s="4" t="n">
        <v>46142</v>
      </c>
      <c r="C402" t="inlineStr">
        <is>
          <t>K-554853</t>
        </is>
      </c>
      <c r="D402" t="inlineStr">
        <is>
          <t>22697</t>
        </is>
      </c>
      <c r="E402" t="inlineStr">
        <is>
          <t>Lakeshore Management Inc (v0000666)</t>
        </is>
      </c>
      <c r="F402" t="inlineStr">
        <is>
          <t>New mailboxes for Main St</t>
        </is>
      </c>
      <c r="H402" s="5" t="n">
        <v>498.25</v>
      </c>
      <c r="I402" s="5" t="n">
        <v>202563.47</v>
      </c>
      <c r="K402" t="n">
        <v>-1</v>
      </c>
    </row>
    <row r="403">
      <c r="A403" t="inlineStr">
        <is>
          <t>Bay City</t>
        </is>
      </c>
      <c r="B403" s="4" t="n">
        <v>46142</v>
      </c>
      <c r="C403" t="inlineStr">
        <is>
          <t>K-554853</t>
        </is>
      </c>
      <c r="D403" t="inlineStr">
        <is>
          <t>22697</t>
        </is>
      </c>
      <c r="E403" t="inlineStr">
        <is>
          <t>Lakeshore Management Inc (v0000666)</t>
        </is>
      </c>
      <c r="F403" t="inlineStr">
        <is>
          <t>Marine rope for docks</t>
        </is>
      </c>
      <c r="H403" s="5" t="n">
        <v>197.98</v>
      </c>
      <c r="I403" s="5" t="n">
        <v>202365.49</v>
      </c>
      <c r="K403" t="n">
        <v>-1</v>
      </c>
    </row>
    <row r="404">
      <c r="A404" t="inlineStr">
        <is>
          <t>Bay City</t>
        </is>
      </c>
      <c r="B404" s="4" t="n">
        <v>46142</v>
      </c>
      <c r="C404" t="inlineStr">
        <is>
          <t>K-554853</t>
        </is>
      </c>
      <c r="D404" t="inlineStr">
        <is>
          <t>22697</t>
        </is>
      </c>
      <c r="E404" t="inlineStr">
        <is>
          <t>Lakeshore Management Inc (v0000666)</t>
        </is>
      </c>
      <c r="F404" t="inlineStr">
        <is>
          <t>Light bulbs for the office</t>
        </is>
      </c>
      <c r="H404" s="5" t="n">
        <v>30.95</v>
      </c>
      <c r="I404" s="5" t="n">
        <v>202334.54</v>
      </c>
      <c r="K404" t="n">
        <v>-1</v>
      </c>
    </row>
    <row r="405">
      <c r="A405" t="inlineStr">
        <is>
          <t>Bay City</t>
        </is>
      </c>
      <c r="B405" s="4" t="n">
        <v>46142</v>
      </c>
      <c r="C405" t="inlineStr">
        <is>
          <t>K-554853</t>
        </is>
      </c>
      <c r="D405" t="inlineStr">
        <is>
          <t>22697</t>
        </is>
      </c>
      <c r="E405" t="inlineStr">
        <is>
          <t>Lakeshore Management Inc (v0000666)</t>
        </is>
      </c>
      <c r="F405" t="inlineStr">
        <is>
          <t>HVAC repairs</t>
        </is>
      </c>
      <c r="H405" s="5" t="n">
        <v>248.5</v>
      </c>
      <c r="I405" s="5" t="n">
        <v>202086.04</v>
      </c>
      <c r="K405" t="n">
        <v>-1</v>
      </c>
    </row>
    <row r="406">
      <c r="A406" t="inlineStr">
        <is>
          <t>Bay City</t>
        </is>
      </c>
      <c r="B406" s="4" t="n">
        <v>46142</v>
      </c>
      <c r="C406" t="inlineStr">
        <is>
          <t>K-554853</t>
        </is>
      </c>
      <c r="D406" t="inlineStr">
        <is>
          <t>22697</t>
        </is>
      </c>
      <c r="E406" t="inlineStr">
        <is>
          <t>Lakeshore Management Inc (v0000666)</t>
        </is>
      </c>
      <c r="F406" t="inlineStr">
        <is>
          <t>clubhouse Shower curtain rod hooks for managers bathroom</t>
        </is>
      </c>
      <c r="H406" s="5" t="n">
        <v>32.09</v>
      </c>
      <c r="I406" s="5" t="n">
        <v>202053.95</v>
      </c>
      <c r="K406" t="n">
        <v>-1</v>
      </c>
    </row>
    <row r="407">
      <c r="A407" t="inlineStr">
        <is>
          <t>Bay City</t>
        </is>
      </c>
      <c r="B407" s="4" t="n">
        <v>46142</v>
      </c>
      <c r="C407" t="inlineStr">
        <is>
          <t>K-554853</t>
        </is>
      </c>
      <c r="D407" t="inlineStr">
        <is>
          <t>22697</t>
        </is>
      </c>
      <c r="E407" t="inlineStr">
        <is>
          <t>Lakeshore Management Inc (v0000666)</t>
        </is>
      </c>
      <c r="F407" t="inlineStr">
        <is>
          <t>HVAC repairs</t>
        </is>
      </c>
      <c r="H407" s="5" t="n">
        <v>159</v>
      </c>
      <c r="I407" s="5" t="n">
        <v>201894.95</v>
      </c>
      <c r="K407" t="n">
        <v>-1</v>
      </c>
    </row>
    <row r="408">
      <c r="A408" t="inlineStr">
        <is>
          <t>Bay City</t>
        </is>
      </c>
      <c r="B408" s="4" t="n">
        <v>46142</v>
      </c>
      <c r="C408" t="inlineStr">
        <is>
          <t>K-554853</t>
        </is>
      </c>
      <c r="D408" t="inlineStr">
        <is>
          <t>22697</t>
        </is>
      </c>
      <c r="E408" t="inlineStr">
        <is>
          <t>Lakeshore Management Inc (v0000666)</t>
        </is>
      </c>
      <c r="F408" t="inlineStr">
        <is>
          <t>Diesel Fuel for tractors</t>
        </is>
      </c>
      <c r="H408" s="5" t="n">
        <v>48.2</v>
      </c>
      <c r="I408" s="5" t="n">
        <v>201846.75</v>
      </c>
      <c r="K408" t="n">
        <v>-1</v>
      </c>
    </row>
    <row r="409">
      <c r="A409" t="inlineStr">
        <is>
          <t>Bay City</t>
        </is>
      </c>
      <c r="B409" s="4" t="n">
        <v>46142</v>
      </c>
      <c r="C409" t="inlineStr">
        <is>
          <t>K-554853</t>
        </is>
      </c>
      <c r="D409" t="inlineStr">
        <is>
          <t>22697</t>
        </is>
      </c>
      <c r="E409" t="inlineStr">
        <is>
          <t>Lakeshore Management Inc (v0000666)</t>
        </is>
      </c>
      <c r="F409" t="inlineStr">
        <is>
          <t>Monthly Team Lunch</t>
        </is>
      </c>
      <c r="H409" s="5" t="n">
        <v>70.54000000000001</v>
      </c>
      <c r="I409" s="5" t="n">
        <v>201776.21</v>
      </c>
      <c r="K409" t="n">
        <v>-1</v>
      </c>
    </row>
    <row r="410">
      <c r="A410" t="inlineStr">
        <is>
          <t>Bay City</t>
        </is>
      </c>
      <c r="B410" s="4" t="n">
        <v>46142</v>
      </c>
      <c r="C410" t="inlineStr">
        <is>
          <t>K-554853</t>
        </is>
      </c>
      <c r="D410" t="inlineStr">
        <is>
          <t>22697</t>
        </is>
      </c>
      <c r="E410" t="inlineStr">
        <is>
          <t>Lakeshore Management Inc (v0000666)</t>
        </is>
      </c>
      <c r="F410" t="inlineStr">
        <is>
          <t>Resident luncheon door prize</t>
        </is>
      </c>
      <c r="H410" s="5" t="n">
        <v>50</v>
      </c>
      <c r="I410" s="5" t="n">
        <v>201726.21</v>
      </c>
      <c r="K410" t="n">
        <v>-1</v>
      </c>
    </row>
    <row r="411">
      <c r="A411" t="inlineStr">
        <is>
          <t>Bay City</t>
        </is>
      </c>
      <c r="B411" s="4" t="n">
        <v>46142</v>
      </c>
      <c r="C411" t="inlineStr">
        <is>
          <t>K-554853</t>
        </is>
      </c>
      <c r="D411" t="inlineStr">
        <is>
          <t>22697</t>
        </is>
      </c>
      <c r="E411" t="inlineStr">
        <is>
          <t>Lakeshore Management Inc (v0000666)</t>
        </is>
      </c>
      <c r="F411" t="inlineStr">
        <is>
          <t>Purchased drinks snacks and accessories</t>
        </is>
      </c>
      <c r="H411" s="5" t="n">
        <v>50.84</v>
      </c>
      <c r="I411" s="5" t="n">
        <v>201675.37</v>
      </c>
      <c r="K411" t="n">
        <v>-1</v>
      </c>
    </row>
    <row r="412">
      <c r="A412" t="inlineStr">
        <is>
          <t>Bay City</t>
        </is>
      </c>
      <c r="B412" s="4" t="n">
        <v>46142</v>
      </c>
      <c r="C412" t="inlineStr">
        <is>
          <t>K-554853</t>
        </is>
      </c>
      <c r="D412" t="inlineStr">
        <is>
          <t>22697</t>
        </is>
      </c>
      <c r="E412" t="inlineStr">
        <is>
          <t>Lakeshore Management Inc (v0000666)</t>
        </is>
      </c>
      <c r="F412" t="inlineStr">
        <is>
          <t>Remove and dispose of debris from the Community</t>
        </is>
      </c>
      <c r="H412" s="5" t="n">
        <v>35.89</v>
      </c>
      <c r="I412" s="5" t="n">
        <v>201639.48</v>
      </c>
      <c r="K412" t="n">
        <v>-1</v>
      </c>
    </row>
    <row r="413">
      <c r="A413" t="inlineStr">
        <is>
          <t>Bay City</t>
        </is>
      </c>
      <c r="B413" s="4" t="n">
        <v>46142</v>
      </c>
      <c r="C413" t="inlineStr">
        <is>
          <t>K-554853</t>
        </is>
      </c>
      <c r="D413" t="inlineStr">
        <is>
          <t>22697</t>
        </is>
      </c>
      <c r="E413" t="inlineStr">
        <is>
          <t>Lakeshore Management Inc (v0000666)</t>
        </is>
      </c>
      <c r="F413" t="inlineStr">
        <is>
          <t>Remove and dispose of debris from the Community</t>
        </is>
      </c>
      <c r="H413" s="5" t="n">
        <v>25.6</v>
      </c>
      <c r="I413" s="5" t="n">
        <v>201613.88</v>
      </c>
      <c r="K413" t="n">
        <v>-1</v>
      </c>
    </row>
    <row r="414">
      <c r="A414" t="inlineStr">
        <is>
          <t>Bay City</t>
        </is>
      </c>
      <c r="B414" s="4" t="n">
        <v>46142</v>
      </c>
      <c r="C414" t="inlineStr">
        <is>
          <t>K-554853</t>
        </is>
      </c>
      <c r="D414" t="inlineStr">
        <is>
          <t>22697</t>
        </is>
      </c>
      <c r="E414" t="inlineStr">
        <is>
          <t>Lakeshore Management Inc (v0000666)</t>
        </is>
      </c>
      <c r="F414" t="inlineStr">
        <is>
          <t>Remove and dispose of debris from the Community</t>
        </is>
      </c>
      <c r="H414" s="5" t="n">
        <v>20</v>
      </c>
      <c r="I414" s="5" t="n">
        <v>201593.88</v>
      </c>
      <c r="K414" t="n">
        <v>-1</v>
      </c>
    </row>
    <row r="415">
      <c r="A415" t="inlineStr">
        <is>
          <t>Bay City</t>
        </is>
      </c>
      <c r="B415" s="4" t="n">
        <v>46142</v>
      </c>
      <c r="C415" t="inlineStr">
        <is>
          <t>K-554853</t>
        </is>
      </c>
      <c r="D415" t="inlineStr">
        <is>
          <t>22697</t>
        </is>
      </c>
      <c r="E415" t="inlineStr">
        <is>
          <t>Lakeshore Management Inc (v0000666)</t>
        </is>
      </c>
      <c r="F415" t="inlineStr">
        <is>
          <t>Remove and dispose of debris from the Community</t>
        </is>
      </c>
      <c r="H415" s="5" t="n">
        <v>17.6</v>
      </c>
      <c r="I415" s="5" t="n">
        <v>201576.28</v>
      </c>
      <c r="K415" t="n">
        <v>-1</v>
      </c>
    </row>
    <row r="416">
      <c r="A416" t="inlineStr">
        <is>
          <t>Bay City</t>
        </is>
      </c>
      <c r="B416" s="4" t="n">
        <v>46142</v>
      </c>
      <c r="C416" t="inlineStr">
        <is>
          <t>K-554853</t>
        </is>
      </c>
      <c r="D416" t="inlineStr">
        <is>
          <t>22697</t>
        </is>
      </c>
      <c r="E416" t="inlineStr">
        <is>
          <t>Lakeshore Management Inc (v0000666)</t>
        </is>
      </c>
      <c r="F416" t="inlineStr">
        <is>
          <t>Remove and dispose of debris from the Community</t>
        </is>
      </c>
      <c r="H416" s="5" t="n">
        <v>19.2</v>
      </c>
      <c r="I416" s="5" t="n">
        <v>201557.08</v>
      </c>
      <c r="K416" t="n">
        <v>-1</v>
      </c>
    </row>
    <row r="417">
      <c r="A417" t="inlineStr">
        <is>
          <t>Bay City</t>
        </is>
      </c>
      <c r="B417" s="4" t="n">
        <v>46142</v>
      </c>
      <c r="C417" t="inlineStr">
        <is>
          <t>K-554853</t>
        </is>
      </c>
      <c r="D417" t="inlineStr">
        <is>
          <t>22697</t>
        </is>
      </c>
      <c r="E417" t="inlineStr">
        <is>
          <t>Lakeshore Management Inc (v0000666)</t>
        </is>
      </c>
      <c r="F417" t="inlineStr">
        <is>
          <t>Remove and dispose of debris from the Community</t>
        </is>
      </c>
      <c r="H417" s="5" t="n">
        <v>18.4</v>
      </c>
      <c r="I417" s="5" t="n">
        <v>201538.68</v>
      </c>
      <c r="K417" t="n">
        <v>-1</v>
      </c>
    </row>
    <row r="418">
      <c r="A418" t="inlineStr">
        <is>
          <t>Bay City</t>
        </is>
      </c>
      <c r="B418" s="4" t="n">
        <v>46142</v>
      </c>
      <c r="C418" t="inlineStr">
        <is>
          <t>K-554853</t>
        </is>
      </c>
      <c r="D418" t="inlineStr">
        <is>
          <t>22697</t>
        </is>
      </c>
      <c r="E418" t="inlineStr">
        <is>
          <t>Lakeshore Management Inc (v0000666)</t>
        </is>
      </c>
      <c r="F418" t="inlineStr">
        <is>
          <t>Remove and dispose of debris from the Community</t>
        </is>
      </c>
      <c r="H418" s="5" t="n">
        <v>80</v>
      </c>
      <c r="I418" s="5" t="n">
        <v>201458.68</v>
      </c>
      <c r="K418" t="n">
        <v>-1</v>
      </c>
    </row>
    <row r="419">
      <c r="A419" t="inlineStr">
        <is>
          <t>Bay City</t>
        </is>
      </c>
      <c r="B419" s="4" t="n">
        <v>46142</v>
      </c>
      <c r="C419" t="inlineStr">
        <is>
          <t>K-554853</t>
        </is>
      </c>
      <c r="D419" t="inlineStr">
        <is>
          <t>22697</t>
        </is>
      </c>
      <c r="E419" t="inlineStr">
        <is>
          <t>Lakeshore Management Inc (v0000666)</t>
        </is>
      </c>
      <c r="F419" t="inlineStr">
        <is>
          <t>Remove and dispose of debris from the Community</t>
        </is>
      </c>
      <c r="H419" s="5" t="n">
        <v>20</v>
      </c>
      <c r="I419" s="5" t="n">
        <v>201438.68</v>
      </c>
      <c r="K419" t="n">
        <v>-1</v>
      </c>
    </row>
    <row r="420">
      <c r="A420" t="inlineStr">
        <is>
          <t>Bay City</t>
        </is>
      </c>
      <c r="B420" s="4" t="n">
        <v>46142</v>
      </c>
      <c r="C420" t="inlineStr">
        <is>
          <t>K-554853</t>
        </is>
      </c>
      <c r="D420" t="inlineStr">
        <is>
          <t>22697</t>
        </is>
      </c>
      <c r="E420" t="inlineStr">
        <is>
          <t>Lakeshore Management Inc (v0000666)</t>
        </is>
      </c>
      <c r="F420" t="inlineStr">
        <is>
          <t>Remove and dispose of debris from the Community</t>
        </is>
      </c>
      <c r="H420" s="5" t="n">
        <v>34.4</v>
      </c>
      <c r="I420" s="5" t="n">
        <v>201404.28</v>
      </c>
      <c r="K420" t="n">
        <v>-1</v>
      </c>
    </row>
    <row r="421">
      <c r="A421" t="inlineStr">
        <is>
          <t>Bay City</t>
        </is>
      </c>
      <c r="B421" s="4" t="n">
        <v>46142</v>
      </c>
      <c r="C421" t="inlineStr">
        <is>
          <t>K-554853</t>
        </is>
      </c>
      <c r="D421" t="inlineStr">
        <is>
          <t>22697</t>
        </is>
      </c>
      <c r="E421" t="inlineStr">
        <is>
          <t>Lakeshore Management Inc (v0000666)</t>
        </is>
      </c>
      <c r="F421" t="inlineStr">
        <is>
          <t>Remove and dispose of debris from the Community</t>
        </is>
      </c>
      <c r="H421" s="5" t="n">
        <v>20.8</v>
      </c>
      <c r="I421" s="5" t="n">
        <v>201383.48</v>
      </c>
      <c r="K421" t="n">
        <v>-1</v>
      </c>
    </row>
    <row r="422">
      <c r="A422" t="inlineStr">
        <is>
          <t>Bay City</t>
        </is>
      </c>
      <c r="B422" s="4" t="n">
        <v>46142</v>
      </c>
      <c r="C422" t="inlineStr">
        <is>
          <t>K-554853</t>
        </is>
      </c>
      <c r="D422" t="inlineStr">
        <is>
          <t>22697</t>
        </is>
      </c>
      <c r="E422" t="inlineStr">
        <is>
          <t>Lakeshore Management Inc (v0000666)</t>
        </is>
      </c>
      <c r="F422" t="inlineStr">
        <is>
          <t>Remove and dispose of debris from the Community</t>
        </is>
      </c>
      <c r="H422" s="5" t="n">
        <v>33.6</v>
      </c>
      <c r="I422" s="5" t="n">
        <v>201349.88</v>
      </c>
      <c r="K422" t="n">
        <v>-1</v>
      </c>
    </row>
    <row r="423">
      <c r="A423" t="inlineStr">
        <is>
          <t>Bay City</t>
        </is>
      </c>
      <c r="B423" s="4" t="n">
        <v>46142</v>
      </c>
      <c r="C423" t="inlineStr">
        <is>
          <t>K-554853</t>
        </is>
      </c>
      <c r="D423" t="inlineStr">
        <is>
          <t>22697</t>
        </is>
      </c>
      <c r="E423" t="inlineStr">
        <is>
          <t>Lakeshore Management Inc (v0000666)</t>
        </is>
      </c>
      <c r="F423" t="inlineStr">
        <is>
          <t>Remove and dispose of debris from the Community</t>
        </is>
      </c>
      <c r="H423" s="5" t="n">
        <v>20.8</v>
      </c>
      <c r="I423" s="5" t="n">
        <v>201329.08</v>
      </c>
      <c r="K423" t="n">
        <v>-1</v>
      </c>
    </row>
    <row r="424">
      <c r="A424" t="inlineStr">
        <is>
          <t>Bay City</t>
        </is>
      </c>
      <c r="B424" s="4" t="n">
        <v>46142</v>
      </c>
      <c r="C424" t="inlineStr">
        <is>
          <t>K-554853</t>
        </is>
      </c>
      <c r="D424" t="inlineStr">
        <is>
          <t>22697</t>
        </is>
      </c>
      <c r="E424" t="inlineStr">
        <is>
          <t>Lakeshore Management Inc (v0000666)</t>
        </is>
      </c>
      <c r="F424" t="inlineStr">
        <is>
          <t>Purchased flowers for front entrance</t>
        </is>
      </c>
      <c r="H424" s="5" t="n">
        <v>77.84</v>
      </c>
      <c r="I424" s="5" t="n">
        <v>201251.24</v>
      </c>
      <c r="K424" t="n">
        <v>-1</v>
      </c>
    </row>
    <row r="425">
      <c r="A425" t="inlineStr">
        <is>
          <t>Bay City</t>
        </is>
      </c>
      <c r="B425" s="4" t="n">
        <v>46142</v>
      </c>
      <c r="C425" t="inlineStr">
        <is>
          <t>K-554853</t>
        </is>
      </c>
      <c r="D425" t="inlineStr">
        <is>
          <t>22697</t>
        </is>
      </c>
      <c r="E425" t="inlineStr">
        <is>
          <t>Lakeshore Management Inc (v0000666)</t>
        </is>
      </c>
      <c r="F425" t="inlineStr">
        <is>
          <t>Seed for Office landscaping</t>
        </is>
      </c>
      <c r="H425" s="5" t="n">
        <v>74.98999999999999</v>
      </c>
      <c r="I425" s="5" t="n">
        <v>201176.25</v>
      </c>
      <c r="K425" t="n">
        <v>-1</v>
      </c>
    </row>
    <row r="426">
      <c r="A426" t="inlineStr">
        <is>
          <t>Bay City</t>
        </is>
      </c>
      <c r="B426" s="4" t="n">
        <v>46142</v>
      </c>
      <c r="C426" t="inlineStr">
        <is>
          <t>K-554853</t>
        </is>
      </c>
      <c r="D426" t="inlineStr">
        <is>
          <t>22697</t>
        </is>
      </c>
      <c r="E426" t="inlineStr">
        <is>
          <t>Lakeshore Management Inc (v0000666)</t>
        </is>
      </c>
      <c r="F426" t="inlineStr">
        <is>
          <t>Beach maintenance</t>
        </is>
      </c>
      <c r="H426" s="5" t="n">
        <v>129.52</v>
      </c>
      <c r="I426" s="5" t="n">
        <v>201046.73</v>
      </c>
      <c r="K426" t="n">
        <v>-1</v>
      </c>
    </row>
    <row r="427">
      <c r="A427" t="inlineStr">
        <is>
          <t>Bay City</t>
        </is>
      </c>
      <c r="B427" s="4" t="n">
        <v>46142</v>
      </c>
      <c r="C427" t="inlineStr">
        <is>
          <t>K-554853</t>
        </is>
      </c>
      <c r="D427" t="inlineStr">
        <is>
          <t>22697</t>
        </is>
      </c>
      <c r="E427" t="inlineStr">
        <is>
          <t>Lakeshore Management Inc (v0000666)</t>
        </is>
      </c>
      <c r="F427" t="inlineStr">
        <is>
          <t>Beach maintenance</t>
        </is>
      </c>
      <c r="H427" s="5" t="n">
        <v>126.65</v>
      </c>
      <c r="I427" s="5" t="n">
        <v>200920.08</v>
      </c>
      <c r="K427" t="n">
        <v>-1</v>
      </c>
    </row>
    <row r="428">
      <c r="A428" t="inlineStr">
        <is>
          <t>Bay City</t>
        </is>
      </c>
      <c r="B428" s="4" t="n">
        <v>46142</v>
      </c>
      <c r="C428" t="inlineStr">
        <is>
          <t>K-554853</t>
        </is>
      </c>
      <c r="D428" t="inlineStr">
        <is>
          <t>22697</t>
        </is>
      </c>
      <c r="E428" t="inlineStr">
        <is>
          <t>Lakeshore Management Inc (v0000666)</t>
        </is>
      </c>
      <c r="F428" t="inlineStr">
        <is>
          <t>Beach maintenance</t>
        </is>
      </c>
      <c r="H428" s="5" t="n">
        <v>137.02</v>
      </c>
      <c r="I428" s="5" t="n">
        <v>200783.06</v>
      </c>
      <c r="K428" t="n">
        <v>-1</v>
      </c>
    </row>
    <row r="429">
      <c r="A429" t="inlineStr">
        <is>
          <t>Bay City</t>
        </is>
      </c>
      <c r="B429" s="4" t="n">
        <v>46142</v>
      </c>
      <c r="C429" t="inlineStr">
        <is>
          <t>K-554853</t>
        </is>
      </c>
      <c r="D429" t="inlineStr">
        <is>
          <t>22697</t>
        </is>
      </c>
      <c r="E429" t="inlineStr">
        <is>
          <t>Lakeshore Management Inc (v0000666)</t>
        </is>
      </c>
      <c r="F429" t="inlineStr">
        <is>
          <t>Beach maintenance</t>
        </is>
      </c>
      <c r="H429" s="5" t="n">
        <v>141.68</v>
      </c>
      <c r="I429" s="5" t="n">
        <v>200641.38</v>
      </c>
      <c r="K429" t="n">
        <v>-1</v>
      </c>
    </row>
    <row r="430">
      <c r="A430" t="inlineStr">
        <is>
          <t>Bay City</t>
        </is>
      </c>
      <c r="B430" s="4" t="n">
        <v>46142</v>
      </c>
      <c r="C430" t="inlineStr">
        <is>
          <t>K-554853</t>
        </is>
      </c>
      <c r="D430" t="inlineStr">
        <is>
          <t>22697</t>
        </is>
      </c>
      <c r="E430" t="inlineStr">
        <is>
          <t>Lakeshore Management Inc (v0000666)</t>
        </is>
      </c>
      <c r="F430" t="inlineStr">
        <is>
          <t>Beach maintenance</t>
        </is>
      </c>
      <c r="H430" s="5" t="n">
        <v>119.29</v>
      </c>
      <c r="I430" s="5" t="n">
        <v>200522.09</v>
      </c>
      <c r="K430" t="n">
        <v>-1</v>
      </c>
    </row>
    <row r="431">
      <c r="A431" t="inlineStr">
        <is>
          <t>Bay City</t>
        </is>
      </c>
      <c r="B431" s="4" t="n">
        <v>46142</v>
      </c>
      <c r="C431" t="inlineStr">
        <is>
          <t>K-554853</t>
        </is>
      </c>
      <c r="D431" t="inlineStr">
        <is>
          <t>22697</t>
        </is>
      </c>
      <c r="E431" t="inlineStr">
        <is>
          <t>Lakeshore Management Inc (v0000666)</t>
        </is>
      </c>
      <c r="F431" t="inlineStr">
        <is>
          <t>Beach maintenance</t>
        </is>
      </c>
      <c r="H431" s="5" t="n">
        <v>149.01</v>
      </c>
      <c r="I431" s="5" t="n">
        <v>200373.08</v>
      </c>
      <c r="K431" t="n">
        <v>-1</v>
      </c>
    </row>
    <row r="432">
      <c r="A432" t="inlineStr">
        <is>
          <t>Bay City</t>
        </is>
      </c>
      <c r="B432" s="4" t="n">
        <v>46142</v>
      </c>
      <c r="C432" t="inlineStr">
        <is>
          <t>K-554853</t>
        </is>
      </c>
      <c r="D432" t="inlineStr">
        <is>
          <t>22697</t>
        </is>
      </c>
      <c r="E432" t="inlineStr">
        <is>
          <t>Lakeshore Management Inc (v0000666)</t>
        </is>
      </c>
      <c r="F432" t="inlineStr">
        <is>
          <t>Treated lumber for new mailboxes</t>
        </is>
      </c>
      <c r="H432" s="5" t="n">
        <v>215.96</v>
      </c>
      <c r="I432" s="5" t="n">
        <v>200157.12</v>
      </c>
      <c r="K432" t="n">
        <v>-1</v>
      </c>
    </row>
    <row r="433">
      <c r="A433" t="inlineStr">
        <is>
          <t>Bay City</t>
        </is>
      </c>
      <c r="B433" s="4" t="n">
        <v>46142</v>
      </c>
      <c r="C433" t="inlineStr">
        <is>
          <t>K-554853</t>
        </is>
      </c>
      <c r="D433" t="inlineStr">
        <is>
          <t>22697</t>
        </is>
      </c>
      <c r="E433" t="inlineStr">
        <is>
          <t>Lakeshore Management Inc (v0000666)</t>
        </is>
      </c>
      <c r="F433" t="inlineStr">
        <is>
          <t>wht vnyl 4x4 sleeve</t>
        </is>
      </c>
      <c r="H433" s="5" t="n">
        <v>139.72</v>
      </c>
      <c r="I433" s="5" t="n">
        <v>200017.4</v>
      </c>
      <c r="K433" t="n">
        <v>-1</v>
      </c>
    </row>
    <row r="434">
      <c r="A434" t="inlineStr">
        <is>
          <t>Bay City</t>
        </is>
      </c>
      <c r="B434" s="4" t="n">
        <v>46142</v>
      </c>
      <c r="C434" t="inlineStr">
        <is>
          <t>K-554853</t>
        </is>
      </c>
      <c r="D434" t="inlineStr">
        <is>
          <t>22697</t>
        </is>
      </c>
      <c r="E434" t="inlineStr">
        <is>
          <t>Lakeshore Management Inc (v0000666)</t>
        </is>
      </c>
      <c r="F434" t="inlineStr">
        <is>
          <t>start fluid and 2 Stroke oil</t>
        </is>
      </c>
      <c r="H434" s="5" t="n">
        <v>29.01</v>
      </c>
      <c r="I434" s="5" t="n">
        <v>199988.39</v>
      </c>
      <c r="K434" t="n">
        <v>-1</v>
      </c>
    </row>
    <row r="435">
      <c r="A435" t="inlineStr">
        <is>
          <t>Bay City</t>
        </is>
      </c>
      <c r="B435" s="4" t="n">
        <v>46142</v>
      </c>
      <c r="C435" t="inlineStr">
        <is>
          <t>K-554853</t>
        </is>
      </c>
      <c r="D435" t="inlineStr">
        <is>
          <t>22697</t>
        </is>
      </c>
      <c r="E435" t="inlineStr">
        <is>
          <t>Lakeshore Management Inc (v0000666)</t>
        </is>
      </c>
      <c r="F435" t="inlineStr">
        <is>
          <t>Truck Fuel</t>
        </is>
      </c>
      <c r="H435" s="5" t="n">
        <v>69.31</v>
      </c>
      <c r="I435" s="5" t="n">
        <v>199919.08</v>
      </c>
      <c r="K435" t="n">
        <v>-1</v>
      </c>
    </row>
    <row r="436">
      <c r="A436" t="inlineStr">
        <is>
          <t>Bay City</t>
        </is>
      </c>
      <c r="B436" s="4" t="n">
        <v>46142</v>
      </c>
      <c r="C436" t="inlineStr">
        <is>
          <t>K-554853</t>
        </is>
      </c>
      <c r="D436" t="inlineStr">
        <is>
          <t>22697</t>
        </is>
      </c>
      <c r="E436" t="inlineStr">
        <is>
          <t>Lakeshore Management Inc (v0000666)</t>
        </is>
      </c>
      <c r="F436" t="inlineStr">
        <is>
          <t>gas</t>
        </is>
      </c>
      <c r="H436" s="5" t="n">
        <v>89</v>
      </c>
      <c r="I436" s="5" t="n">
        <v>199830.08</v>
      </c>
      <c r="K436" t="n">
        <v>-1</v>
      </c>
    </row>
    <row r="437">
      <c r="A437" t="inlineStr">
        <is>
          <t>Bay City</t>
        </is>
      </c>
      <c r="B437" s="4" t="n">
        <v>46142</v>
      </c>
      <c r="C437" t="inlineStr">
        <is>
          <t>K-554853</t>
        </is>
      </c>
      <c r="D437" t="inlineStr">
        <is>
          <t>22697</t>
        </is>
      </c>
      <c r="E437" t="inlineStr">
        <is>
          <t>Lakeshore Management Inc (v0000666)</t>
        </is>
      </c>
      <c r="F437" t="inlineStr">
        <is>
          <t>vehicle gasoline</t>
        </is>
      </c>
      <c r="H437" s="5" t="n">
        <v>93.25</v>
      </c>
      <c r="I437" s="5" t="n">
        <v>199736.83</v>
      </c>
      <c r="K437" t="n">
        <v>-1</v>
      </c>
    </row>
    <row r="438">
      <c r="A438" t="inlineStr">
        <is>
          <t>Bay City</t>
        </is>
      </c>
      <c r="B438" s="4" t="n">
        <v>46142</v>
      </c>
      <c r="C438" t="inlineStr">
        <is>
          <t>K-554853</t>
        </is>
      </c>
      <c r="D438" t="inlineStr">
        <is>
          <t>22697</t>
        </is>
      </c>
      <c r="E438" t="inlineStr">
        <is>
          <t>Lakeshore Management Inc (v0000666)</t>
        </is>
      </c>
      <c r="F438" t="inlineStr">
        <is>
          <t>gas for vehicle</t>
        </is>
      </c>
      <c r="H438" s="5" t="n">
        <v>94.59</v>
      </c>
      <c r="I438" s="5" t="n">
        <v>199642.24</v>
      </c>
      <c r="K438" t="n">
        <v>-1</v>
      </c>
    </row>
    <row r="439">
      <c r="A439" t="inlineStr">
        <is>
          <t>Bay City</t>
        </is>
      </c>
      <c r="B439" s="4" t="n">
        <v>46142</v>
      </c>
      <c r="C439" t="inlineStr">
        <is>
          <t>K-554853</t>
        </is>
      </c>
      <c r="D439" t="inlineStr">
        <is>
          <t>22697</t>
        </is>
      </c>
      <c r="E439" t="inlineStr">
        <is>
          <t>Lakeshore Management Inc (v0000666)</t>
        </is>
      </c>
      <c r="F439" t="inlineStr">
        <is>
          <t>Sales model furnishings</t>
        </is>
      </c>
      <c r="H439" s="5" t="n">
        <v>309.92</v>
      </c>
      <c r="I439" s="5" t="n">
        <v>199332.32</v>
      </c>
      <c r="K439" t="n">
        <v>-1</v>
      </c>
    </row>
    <row r="440">
      <c r="A440" t="inlineStr">
        <is>
          <t>Bay City</t>
        </is>
      </c>
      <c r="B440" s="4" t="n">
        <v>46142</v>
      </c>
      <c r="C440" t="inlineStr">
        <is>
          <t>K-554853</t>
        </is>
      </c>
      <c r="D440" t="inlineStr">
        <is>
          <t>22697</t>
        </is>
      </c>
      <c r="E440" t="inlineStr">
        <is>
          <t>Lakeshore Management Inc (v0000666)</t>
        </is>
      </c>
      <c r="F440" t="inlineStr">
        <is>
          <t>Nextiva VoIP Mar</t>
        </is>
      </c>
      <c r="H440" s="5" t="n">
        <v>20.52</v>
      </c>
      <c r="I440" s="5" t="n">
        <v>199311.8</v>
      </c>
      <c r="K440" t="n">
        <v>-1</v>
      </c>
    </row>
    <row r="441">
      <c r="A441" t="inlineStr">
        <is>
          <t>Bay City</t>
        </is>
      </c>
      <c r="B441" s="4" t="n">
        <v>46142</v>
      </c>
      <c r="C441" t="inlineStr">
        <is>
          <t>K-554853</t>
        </is>
      </c>
      <c r="D441" t="inlineStr">
        <is>
          <t>22697</t>
        </is>
      </c>
      <c r="E441" t="inlineStr">
        <is>
          <t>Lakeshore Management Inc (v0000666)</t>
        </is>
      </c>
      <c r="F441" t="inlineStr">
        <is>
          <t>AMBS Call Center Mar</t>
        </is>
      </c>
      <c r="H441" s="5" t="n">
        <v>77.84</v>
      </c>
      <c r="I441" s="5" t="n">
        <v>199233.96</v>
      </c>
      <c r="K441" t="n">
        <v>-1</v>
      </c>
    </row>
    <row r="442">
      <c r="A442" t="inlineStr">
        <is>
          <t>Bay City</t>
        </is>
      </c>
      <c r="B442" s="4" t="n">
        <v>46142</v>
      </c>
      <c r="C442" t="inlineStr">
        <is>
          <t>K-554853</t>
        </is>
      </c>
      <c r="D442" t="inlineStr">
        <is>
          <t>22697</t>
        </is>
      </c>
      <c r="E442" t="inlineStr">
        <is>
          <t>Lakeshore Management Inc (v0000666)</t>
        </is>
      </c>
      <c r="F442" t="inlineStr">
        <is>
          <t>Booking fee for Travel for QBR</t>
        </is>
      </c>
      <c r="H442" s="5" t="n">
        <v>10</v>
      </c>
      <c r="I442" s="5" t="n">
        <v>199223.96</v>
      </c>
      <c r="K442" t="n">
        <v>-1</v>
      </c>
    </row>
    <row r="443">
      <c r="A443" t="inlineStr">
        <is>
          <t>Bay City</t>
        </is>
      </c>
      <c r="B443" s="4" t="n">
        <v>46142</v>
      </c>
      <c r="C443" t="inlineStr">
        <is>
          <t>K-554853</t>
        </is>
      </c>
      <c r="D443" t="inlineStr">
        <is>
          <t>22697</t>
        </is>
      </c>
      <c r="E443" t="inlineStr">
        <is>
          <t>Lakeshore Management Inc (v0000666)</t>
        </is>
      </c>
      <c r="F443" t="inlineStr">
        <is>
          <t>Welcome Pots for new home Sales and rentals</t>
        </is>
      </c>
      <c r="H443" s="5" t="n">
        <v>198</v>
      </c>
      <c r="I443" s="5" t="n">
        <v>199025.96</v>
      </c>
      <c r="K443" t="n">
        <v>-1</v>
      </c>
    </row>
    <row r="444">
      <c r="A444" t="inlineStr">
        <is>
          <t>Bay City</t>
        </is>
      </c>
      <c r="B444" s="4" t="n">
        <v>46142</v>
      </c>
      <c r="C444" t="inlineStr">
        <is>
          <t>K-554853</t>
        </is>
      </c>
      <c r="D444" t="inlineStr">
        <is>
          <t>22697</t>
        </is>
      </c>
      <c r="E444" t="inlineStr">
        <is>
          <t>Lakeshore Management Inc (v0000666)</t>
        </is>
      </c>
      <c r="F444" t="inlineStr">
        <is>
          <t>travel dinner</t>
        </is>
      </c>
      <c r="H444" s="5" t="n">
        <v>37.76</v>
      </c>
      <c r="I444" s="5" t="n">
        <v>198988.2</v>
      </c>
      <c r="K444" t="n">
        <v>-1</v>
      </c>
    </row>
    <row r="445">
      <c r="A445" t="inlineStr">
        <is>
          <t>Bay City</t>
        </is>
      </c>
      <c r="B445" s="4" t="n">
        <v>46142</v>
      </c>
      <c r="C445" t="inlineStr">
        <is>
          <t>K-554853</t>
        </is>
      </c>
      <c r="D445" t="inlineStr">
        <is>
          <t>22697</t>
        </is>
      </c>
      <c r="E445" t="inlineStr">
        <is>
          <t>Lakeshore Management Inc (v0000666)</t>
        </is>
      </c>
      <c r="F445" t="inlineStr">
        <is>
          <t>Breakfast travel day</t>
        </is>
      </c>
      <c r="H445" s="5" t="n">
        <v>9</v>
      </c>
      <c r="I445" s="5" t="n">
        <v>198979.2</v>
      </c>
      <c r="K445" t="n">
        <v>-1</v>
      </c>
    </row>
    <row r="446">
      <c r="A446" t="inlineStr">
        <is>
          <t>Bay City</t>
        </is>
      </c>
      <c r="B446" s="4" t="n">
        <v>46142</v>
      </c>
      <c r="C446" t="inlineStr">
        <is>
          <t>K-554853</t>
        </is>
      </c>
      <c r="D446" t="inlineStr">
        <is>
          <t>22697</t>
        </is>
      </c>
      <c r="E446" t="inlineStr">
        <is>
          <t>Lakeshore Management Inc (v0000666)</t>
        </is>
      </c>
      <c r="F446" t="inlineStr">
        <is>
          <t>rental refuel</t>
        </is>
      </c>
      <c r="H446" s="5" t="n">
        <v>65.20999999999999</v>
      </c>
      <c r="I446" s="5" t="n">
        <v>198913.99</v>
      </c>
      <c r="K446" t="n">
        <v>-1</v>
      </c>
    </row>
    <row r="447">
      <c r="A447" t="inlineStr">
        <is>
          <t>Bay City</t>
        </is>
      </c>
      <c r="B447" s="4" t="n">
        <v>46142</v>
      </c>
      <c r="C447" t="inlineStr">
        <is>
          <t>K-554853</t>
        </is>
      </c>
      <c r="D447" t="inlineStr">
        <is>
          <t>22697</t>
        </is>
      </c>
      <c r="E447" t="inlineStr">
        <is>
          <t>Lakeshore Management Inc (v0000666)</t>
        </is>
      </c>
      <c r="F447" t="inlineStr">
        <is>
          <t>Egencia fee car rental</t>
        </is>
      </c>
      <c r="H447" s="5" t="n">
        <v>2</v>
      </c>
      <c r="I447" s="5" t="n">
        <v>198911.99</v>
      </c>
      <c r="K447" t="n">
        <v>-1</v>
      </c>
    </row>
    <row r="448">
      <c r="A448" t="inlineStr">
        <is>
          <t>Bay City</t>
        </is>
      </c>
      <c r="B448" s="4" t="n">
        <v>46142</v>
      </c>
      <c r="C448" t="inlineStr">
        <is>
          <t>K-554853</t>
        </is>
      </c>
      <c r="D448" t="inlineStr">
        <is>
          <t>22697</t>
        </is>
      </c>
      <c r="E448" t="inlineStr">
        <is>
          <t>Lakeshore Management Inc (v0000666)</t>
        </is>
      </c>
      <c r="F448" t="inlineStr">
        <is>
          <t>site visit rental toll</t>
        </is>
      </c>
      <c r="H448" s="5" t="n">
        <v>8.199999999999999</v>
      </c>
      <c r="I448" s="5" t="n">
        <v>198903.79</v>
      </c>
      <c r="K448" t="n">
        <v>-1</v>
      </c>
    </row>
    <row r="449">
      <c r="A449" t="inlineStr">
        <is>
          <t>Bay City</t>
        </is>
      </c>
      <c r="B449" s="4" t="n">
        <v>46142</v>
      </c>
      <c r="C449" t="inlineStr">
        <is>
          <t>K-554853</t>
        </is>
      </c>
      <c r="D449" t="inlineStr">
        <is>
          <t>22697</t>
        </is>
      </c>
      <c r="E449" t="inlineStr">
        <is>
          <t>Lakeshore Management Inc (v0000666)</t>
        </is>
      </c>
      <c r="F449" t="inlineStr">
        <is>
          <t>Vista Print  business cards for Tina Carlton</t>
        </is>
      </c>
      <c r="H449" s="5" t="n">
        <v>41.98</v>
      </c>
      <c r="I449" s="5" t="n">
        <v>198861.81</v>
      </c>
      <c r="K449" t="n">
        <v>-1</v>
      </c>
    </row>
    <row r="450">
      <c r="A450" t="inlineStr">
        <is>
          <t>Bay City</t>
        </is>
      </c>
      <c r="B450" s="4" t="n">
        <v>46142</v>
      </c>
      <c r="C450" t="inlineStr">
        <is>
          <t>K-554853</t>
        </is>
      </c>
      <c r="D450" t="inlineStr">
        <is>
          <t>22697</t>
        </is>
      </c>
      <c r="E450" t="inlineStr">
        <is>
          <t>Lakeshore Management Inc (v0000666)</t>
        </is>
      </c>
      <c r="F450" t="inlineStr">
        <is>
          <t>Lunch Dinner from property visit for new homes and Capex</t>
        </is>
      </c>
      <c r="H450" s="5" t="n">
        <v>22.03</v>
      </c>
      <c r="I450" s="5" t="n">
        <v>198839.78</v>
      </c>
      <c r="K450" t="n">
        <v>-1</v>
      </c>
    </row>
    <row r="451">
      <c r="A451" t="inlineStr">
        <is>
          <t>Bay City</t>
        </is>
      </c>
      <c r="B451" s="4" t="n">
        <v>46142</v>
      </c>
      <c r="C451" t="inlineStr">
        <is>
          <t>K-554853</t>
        </is>
      </c>
      <c r="D451" t="inlineStr">
        <is>
          <t>22697</t>
        </is>
      </c>
      <c r="E451" t="inlineStr">
        <is>
          <t>Lakeshore Management Inc (v0000666)</t>
        </is>
      </c>
      <c r="F451" t="inlineStr">
        <is>
          <t>lunch during property visit for new homes</t>
        </is>
      </c>
      <c r="H451" s="5" t="n">
        <v>8.99</v>
      </c>
      <c r="I451" s="5" t="n">
        <v>198830.79</v>
      </c>
      <c r="K451" t="n">
        <v>-1</v>
      </c>
    </row>
    <row r="452">
      <c r="A452" t="inlineStr">
        <is>
          <t>Bay City</t>
        </is>
      </c>
      <c r="B452" s="4" t="n">
        <v>46142</v>
      </c>
      <c r="C452" t="inlineStr">
        <is>
          <t>K-554853</t>
        </is>
      </c>
      <c r="D452" t="inlineStr">
        <is>
          <t>22697</t>
        </is>
      </c>
      <c r="E452" t="inlineStr">
        <is>
          <t>Lakeshore Management Inc (v0000666)</t>
        </is>
      </c>
      <c r="F452" t="inlineStr">
        <is>
          <t>Office Supplies</t>
        </is>
      </c>
      <c r="H452" s="5" t="n">
        <v>573.35</v>
      </c>
      <c r="I452" s="5" t="n">
        <v>198257.44</v>
      </c>
      <c r="K452" t="n">
        <v>-1</v>
      </c>
    </row>
    <row r="453">
      <c r="A453" t="inlineStr">
        <is>
          <t>Bay City</t>
        </is>
      </c>
      <c r="B453" s="4" t="n">
        <v>46142</v>
      </c>
      <c r="C453" t="inlineStr">
        <is>
          <t>K-554853</t>
        </is>
      </c>
      <c r="D453" t="inlineStr">
        <is>
          <t>22697</t>
        </is>
      </c>
      <c r="E453" t="inlineStr">
        <is>
          <t>Lakeshore Management Inc (v0000666)</t>
        </is>
      </c>
      <c r="F453" t="inlineStr">
        <is>
          <t>Center Card regional allocation</t>
        </is>
      </c>
      <c r="H453" s="5" t="n">
        <v>11.12</v>
      </c>
      <c r="I453" s="5" t="n">
        <v>198246.32</v>
      </c>
      <c r="K453" t="n">
        <v>-1</v>
      </c>
    </row>
    <row r="454">
      <c r="A454" t="inlineStr">
        <is>
          <t>Bay City</t>
        </is>
      </c>
      <c r="B454" s="4" t="n">
        <v>46142</v>
      </c>
      <c r="C454" t="inlineStr">
        <is>
          <t>K-554853</t>
        </is>
      </c>
      <c r="D454" t="inlineStr">
        <is>
          <t>22697</t>
        </is>
      </c>
      <c r="E454" t="inlineStr">
        <is>
          <t>Lakeshore Management Inc (v0000666)</t>
        </is>
      </c>
      <c r="F454" t="inlineStr">
        <is>
          <t>Center Card regional allocation</t>
        </is>
      </c>
      <c r="H454" s="5" t="n">
        <v>8.02</v>
      </c>
      <c r="I454" s="5" t="n">
        <v>198238.3</v>
      </c>
      <c r="K454" t="n">
        <v>-1</v>
      </c>
    </row>
    <row r="455">
      <c r="A455" t="inlineStr">
        <is>
          <t>Bay City</t>
        </is>
      </c>
      <c r="B455" s="4" t="n">
        <v>46142</v>
      </c>
      <c r="C455" t="inlineStr">
        <is>
          <t>K-554853</t>
        </is>
      </c>
      <c r="D455" t="inlineStr">
        <is>
          <t>22697</t>
        </is>
      </c>
      <c r="E455" t="inlineStr">
        <is>
          <t>Lakeshore Management Inc (v0000666)</t>
        </is>
      </c>
      <c r="F455" t="inlineStr">
        <is>
          <t>Center Card regional allocation</t>
        </is>
      </c>
      <c r="H455" s="5" t="n">
        <v>60.96</v>
      </c>
      <c r="I455" s="5" t="n">
        <v>198177.34</v>
      </c>
      <c r="K455" t="n">
        <v>-1</v>
      </c>
    </row>
    <row r="456">
      <c r="A456" t="inlineStr">
        <is>
          <t>Bay City</t>
        </is>
      </c>
      <c r="B456" s="4" t="n">
        <v>46142</v>
      </c>
      <c r="C456" t="inlineStr">
        <is>
          <t>J-365370</t>
        </is>
      </c>
      <c r="E456" t="inlineStr">
        <is>
          <t>Accrue Casa Verde APR 2026 swap PB :Reversed by J-365376</t>
        </is>
      </c>
      <c r="F456" t="inlineStr">
        <is>
          <t>Accrue (161) Casa Verde APR 2026 swap PB</t>
        </is>
      </c>
      <c r="G456" s="5" t="n">
        <v>49107.23</v>
      </c>
      <c r="I456" s="5" t="n">
        <v>247284.57</v>
      </c>
      <c r="K456" t="n">
        <v>1</v>
      </c>
    </row>
    <row r="457">
      <c r="A457" t="inlineStr">
        <is>
          <t>Bay City</t>
        </is>
      </c>
      <c r="B457" s="4" t="n">
        <v>46142</v>
      </c>
      <c r="C457" t="inlineStr">
        <is>
          <t>J-365388</t>
        </is>
      </c>
      <c r="D457" t="inlineStr">
        <is>
          <t>04/2026 Mortgages 120-164</t>
        </is>
      </c>
      <c r="E457" t="inlineStr">
        <is>
          <t>04/2026 Mortgages 120-164</t>
        </is>
      </c>
      <c r="F457" t="inlineStr">
        <is>
          <t>Bay City mtg pymt</t>
        </is>
      </c>
      <c r="H457" s="5" t="n">
        <v>146900.02</v>
      </c>
      <c r="I457" s="5" t="n">
        <v>100384.55</v>
      </c>
      <c r="K457" t="n">
        <v>-1</v>
      </c>
    </row>
    <row r="458">
      <c r="A458" t="inlineStr">
        <is>
          <t>Bay City</t>
        </is>
      </c>
      <c r="B458" s="4" t="n">
        <v>46142</v>
      </c>
      <c r="C458" t="inlineStr">
        <is>
          <t>J-365388</t>
        </is>
      </c>
      <c r="D458" t="inlineStr">
        <is>
          <t>04/2026 Mortgages 120-164</t>
        </is>
      </c>
      <c r="E458" t="inlineStr">
        <is>
          <t>04/2026 Mortgages 120-164</t>
        </is>
      </c>
      <c r="F458" t="inlineStr">
        <is>
          <t>Bay City mtg pymt</t>
        </is>
      </c>
      <c r="H458" s="5" t="n">
        <v>232.46</v>
      </c>
      <c r="I458" s="5" t="n">
        <v>100152.09</v>
      </c>
      <c r="K458" t="n">
        <v>-1</v>
      </c>
    </row>
    <row r="459">
      <c r="A459" t="inlineStr">
        <is>
          <t>Bay City</t>
        </is>
      </c>
      <c r="B459" s="4" t="n">
        <v>46142</v>
      </c>
      <c r="C459" t="inlineStr">
        <is>
          <t>J-365440</t>
        </is>
      </c>
      <c r="D459" t="inlineStr">
        <is>
          <t>Convenient Payments</t>
        </is>
      </c>
      <c r="E459" t="inlineStr">
        <is>
          <t>Convenient Payments Apr'26</t>
        </is>
      </c>
      <c r="F459" t="inlineStr">
        <is>
          <t>Convenient Payments Apr'26</t>
        </is>
      </c>
      <c r="H459" s="5" t="n">
        <v>247.33</v>
      </c>
      <c r="I459" s="5" t="n">
        <v>99904.75999999999</v>
      </c>
      <c r="J459" s="4" t="n">
        <v>46140</v>
      </c>
      <c r="K459" t="n">
        <v>-2</v>
      </c>
    </row>
    <row r="460">
      <c r="A460" t="inlineStr">
        <is>
          <t>Bay City</t>
        </is>
      </c>
      <c r="B460" s="4" t="n">
        <v>46142</v>
      </c>
      <c r="C460" t="inlineStr">
        <is>
          <t>J-365490</t>
        </is>
      </c>
      <c r="D460" t="inlineStr">
        <is>
          <t>Daily Deposit</t>
        </is>
      </c>
      <c r="E460" t="inlineStr">
        <is>
          <t>04/30/2026 Daily Deposit</t>
        </is>
      </c>
      <c r="F460" t="inlineStr">
        <is>
          <t>CKS 04/30/2026 Batch 356fde6e-e42f-4014-a563-3f1da59dea8c</t>
        </is>
      </c>
      <c r="G460" s="5" t="n">
        <v>1196</v>
      </c>
      <c r="I460" s="5" t="n">
        <v>101100.76</v>
      </c>
      <c r="K460" t="n">
        <v>1</v>
      </c>
    </row>
    <row r="461">
      <c r="A461" t="inlineStr">
        <is>
          <t>Bay City</t>
        </is>
      </c>
      <c r="B461" s="4" t="n">
        <v>46142</v>
      </c>
      <c r="C461" t="inlineStr">
        <is>
          <t>J-365490</t>
        </is>
      </c>
      <c r="D461" t="inlineStr">
        <is>
          <t>Daily Deposit</t>
        </is>
      </c>
      <c r="E461" t="inlineStr">
        <is>
          <t>04/30/2026 Daily Deposit</t>
        </is>
      </c>
      <c r="F461" t="inlineStr">
        <is>
          <t>CKS 04/30/2026 Batch 5a6e2dac-e26e-42da-b91f-2600735fa6b6</t>
        </is>
      </c>
      <c r="G461" s="5" t="n">
        <v>10425.97</v>
      </c>
      <c r="I461" s="5" t="n">
        <v>111526.73</v>
      </c>
      <c r="K461" t="n">
        <v>1</v>
      </c>
    </row>
    <row r="462">
      <c r="A462" t="inlineStr">
        <is>
          <t>Bay City</t>
        </is>
      </c>
      <c r="B462" s="4" t="n">
        <v>46142</v>
      </c>
      <c r="C462" t="inlineStr">
        <is>
          <t>J-365490</t>
        </is>
      </c>
      <c r="D462" t="inlineStr">
        <is>
          <t>Daily Deposit</t>
        </is>
      </c>
      <c r="E462" t="inlineStr">
        <is>
          <t>04/30/2026 Daily Deposit</t>
        </is>
      </c>
      <c r="F462" t="inlineStr">
        <is>
          <t>RP : ACH Deposit 04/29/2026</t>
        </is>
      </c>
      <c r="G462" s="5" t="n">
        <v>1847.72</v>
      </c>
      <c r="I462" s="5" t="n">
        <v>113374.45</v>
      </c>
      <c r="J462" s="4" t="n">
        <v>46142</v>
      </c>
      <c r="K462" t="n">
        <v>2</v>
      </c>
    </row>
    <row r="463">
      <c r="A463" t="inlineStr">
        <is>
          <t>Bay City</t>
        </is>
      </c>
      <c r="B463" s="4" t="n">
        <v>46142</v>
      </c>
      <c r="C463" t="inlineStr">
        <is>
          <t>J-365490</t>
        </is>
      </c>
      <c r="D463" t="inlineStr">
        <is>
          <t>Daily Deposit</t>
        </is>
      </c>
      <c r="E463" t="inlineStr">
        <is>
          <t>04/30/2026 Daily Deposit</t>
        </is>
      </c>
      <c r="F463" t="inlineStr">
        <is>
          <t>RP : CC Deposit 04/30/2026</t>
        </is>
      </c>
      <c r="G463" s="5" t="n">
        <v>718.38</v>
      </c>
      <c r="I463" s="5" t="n">
        <v>114092.83</v>
      </c>
      <c r="K463" t="n">
        <v>1</v>
      </c>
    </row>
    <row r="464">
      <c r="A464" t="inlineStr">
        <is>
          <t>Bay City</t>
        </is>
      </c>
      <c r="B464" s="4" t="n">
        <v>46142</v>
      </c>
      <c r="C464" t="inlineStr">
        <is>
          <t>J-367912</t>
        </is>
      </c>
      <c r="D464" t="inlineStr">
        <is>
          <t>Park Mgmt Fees Apr 2026</t>
        </is>
      </c>
      <c r="E464" t="inlineStr">
        <is>
          <t>:Reversed by J-368059</t>
        </is>
      </c>
      <c r="F464" t="inlineStr">
        <is>
          <t>:Reversed by J-368059</t>
        </is>
      </c>
      <c r="H464" s="5" t="n">
        <v>20088.08</v>
      </c>
      <c r="I464" s="5" t="n">
        <v>94004.75</v>
      </c>
      <c r="K464" t="n">
        <v>-1</v>
      </c>
    </row>
    <row r="465">
      <c r="G465" s="5">
        <f>SUM(G91:G464)</f>
        <v/>
      </c>
      <c r="H465" s="5">
        <f>SUM(H91:H464)</f>
        <v/>
      </c>
      <c r="I465" s="5">
        <f>I4+G465-H465</f>
        <v/>
      </c>
    </row>
    <row r="467">
      <c r="F467" t="n">
        <v>1</v>
      </c>
      <c r="G467" s="5">
        <f>+SUMIF(K6:K464,1,G6:G464)+SUMIF(K6:K464,1,H6:H464)</f>
        <v/>
      </c>
      <c r="H467" t="inlineStr">
        <is>
          <t>Un-Recorded deposits</t>
        </is>
      </c>
    </row>
    <row r="469">
      <c r="F469" t="n">
        <v>-1</v>
      </c>
      <c r="G469" s="5">
        <f>+SUMIF(K6:K464,-1,G6:G464)+SUMIF(K6:K464,-1,H6:H464)</f>
        <v/>
      </c>
      <c r="H469" t="inlineStr">
        <is>
          <t>Un-Recorded withdrawal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8" customWidth="1" min="4" max="4"/>
    <col width="50" customWidth="1" min="5" max="5"/>
    <col width="50" customWidth="1" min="6" max="6"/>
    <col width="13" customWidth="1" min="7" max="7"/>
    <col width="9" customWidth="1" min="8" max="8"/>
  </cols>
  <sheetData>
    <row r="1">
      <c r="A1" s="1" t="inlineStr">
        <is>
          <t>Bank Statement</t>
        </is>
      </c>
    </row>
    <row r="2">
      <c r="A2" s="1" t="inlineStr">
        <is>
          <t>Property Name</t>
        </is>
      </c>
      <c r="B2" s="1" t="inlineStr">
        <is>
          <t>Date</t>
        </is>
      </c>
      <c r="C2" s="1" t="inlineStr">
        <is>
          <t>Control</t>
        </is>
      </c>
      <c r="D2" s="1" t="inlineStr">
        <is>
          <t>Reference</t>
        </is>
      </c>
      <c r="E2" s="1" t="inlineStr">
        <is>
          <t>Descriptions</t>
        </is>
      </c>
      <c r="F2" s="1" t="inlineStr">
        <is>
          <t>Remarks</t>
        </is>
      </c>
      <c r="G2" s="1" t="inlineStr">
        <is>
          <t>Amount</t>
        </is>
      </c>
      <c r="H2" s="1" t="inlineStr">
        <is>
          <t>Comments</t>
        </is>
      </c>
    </row>
    <row r="3">
      <c r="A3" t="inlineStr">
        <is>
          <t>Bay City</t>
        </is>
      </c>
      <c r="B3" s="4" t="n">
        <v>46113</v>
      </c>
      <c r="D3" t="inlineStr"/>
      <c r="F3" t="inlineStr">
        <is>
          <t>ACH ORIGINATION - Bay City MHC - FILE EDIMN00004 COID LAK3642339 LAK3642339 FILE EDIMN00004 0S00000091003852621874N</t>
        </is>
      </c>
      <c r="G3" s="5" t="n">
        <v>-3702.24</v>
      </c>
      <c r="H3" t="inlineStr">
        <is>
          <t>AP</t>
        </is>
      </c>
    </row>
    <row r="4">
      <c r="A4" t="inlineStr">
        <is>
          <t>Bay City</t>
        </is>
      </c>
      <c r="B4" s="4" t="n">
        <v>46115</v>
      </c>
      <c r="D4" t="inlineStr"/>
      <c r="F4" t="inlineStr">
        <is>
          <t>ACH ORIGINATION - Bay City MHC - FILE EDIMN00004 COID LAK3642339 LAK3642339 FILE EDIMN00004 0S00000091003934073006N</t>
        </is>
      </c>
      <c r="G4" s="5" t="n">
        <v>-13244.09</v>
      </c>
      <c r="H4" t="inlineStr">
        <is>
          <t>AP</t>
        </is>
      </c>
    </row>
    <row r="5">
      <c r="A5" t="inlineStr">
        <is>
          <t>Bay City</t>
        </is>
      </c>
      <c r="B5" s="4" t="n">
        <v>46115</v>
      </c>
      <c r="D5" t="inlineStr"/>
      <c r="F5" t="inlineStr">
        <is>
          <t>BNKCD SETTLE MERCH DEP 260403 286768420002857 LAKESHORE BAY CITY 1043763809 286768420002857 R00000091003838493219N</t>
        </is>
      </c>
      <c r="G5" s="5" t="n">
        <v>5548.18</v>
      </c>
      <c r="H5" t="inlineStr">
        <is>
          <t>AR</t>
        </is>
      </c>
    </row>
    <row r="6">
      <c r="A6" t="inlineStr">
        <is>
          <t>Bay City</t>
        </is>
      </c>
      <c r="B6" s="4" t="n">
        <v>46142</v>
      </c>
      <c r="D6" t="inlineStr"/>
      <c r="F6" t="inlineStr">
        <is>
          <t>STAGECOACH SWEEP DEBIT</t>
        </is>
      </c>
      <c r="G6" s="5" t="n">
        <v>-215978.85</v>
      </c>
      <c r="H6" t="inlineStr">
        <is>
          <t>AP</t>
        </is>
      </c>
    </row>
    <row r="7">
      <c r="G7" s="5">
        <f>SUM(G3:G6)</f>
        <v/>
      </c>
    </row>
    <row r="9">
      <c r="A9" s="1" t="inlineStr">
        <is>
          <t>General Ledger</t>
        </is>
      </c>
    </row>
    <row r="10">
      <c r="A10" s="1" t="inlineStr">
        <is>
          <t>Property Name</t>
        </is>
      </c>
      <c r="B10" s="1" t="inlineStr">
        <is>
          <t>Date</t>
        </is>
      </c>
      <c r="C10" s="1" t="inlineStr">
        <is>
          <t>Control</t>
        </is>
      </c>
      <c r="D10" s="1" t="inlineStr">
        <is>
          <t>Reference</t>
        </is>
      </c>
      <c r="E10" s="1" t="inlineStr">
        <is>
          <t>Description</t>
        </is>
      </c>
      <c r="F10" s="1" t="inlineStr">
        <is>
          <t>Remarks</t>
        </is>
      </c>
      <c r="G10" s="1" t="inlineStr">
        <is>
          <t>Amount</t>
        </is>
      </c>
      <c r="H10" s="1" t="inlineStr">
        <is>
          <t>Comments</t>
        </is>
      </c>
    </row>
    <row r="11">
      <c r="A11" t="inlineStr">
        <is>
          <t>Bay City</t>
        </is>
      </c>
      <c r="B11" s="4" t="n">
        <v>46112</v>
      </c>
      <c r="C11" t="inlineStr">
        <is>
          <t>J-359040</t>
        </is>
      </c>
      <c r="E11" t="inlineStr">
        <is>
          <t>Accrue Casa Verde MAR 2026 swap PB :Reversed by J-359045</t>
        </is>
      </c>
      <c r="F11" t="inlineStr">
        <is>
          <t>Accrue (161) Casa Verde MAR 2026 swap PB</t>
        </is>
      </c>
      <c r="G11" s="5" t="n">
        <v>49435.06</v>
      </c>
      <c r="H11" t="inlineStr">
        <is>
          <t>AR</t>
        </is>
      </c>
    </row>
    <row r="12">
      <c r="A12" t="inlineStr">
        <is>
          <t>Bay City</t>
        </is>
      </c>
      <c r="B12" s="4" t="n">
        <v>46113</v>
      </c>
      <c r="C12" t="inlineStr">
        <is>
          <t>J-360442</t>
        </is>
      </c>
      <c r="D12" t="inlineStr">
        <is>
          <t>Daily Deposit</t>
        </is>
      </c>
      <c r="E12" t="inlineStr">
        <is>
          <t>04/01/2026 Daily Deposit</t>
        </is>
      </c>
      <c r="F12" t="inlineStr">
        <is>
          <t>RP : CC Deposit 04/01/2026</t>
        </is>
      </c>
      <c r="G12" s="5" t="n">
        <v>3698.18</v>
      </c>
      <c r="H12" t="inlineStr">
        <is>
          <t>AR</t>
        </is>
      </c>
    </row>
    <row r="13">
      <c r="A13" t="inlineStr">
        <is>
          <t>Bay City</t>
        </is>
      </c>
      <c r="B13" s="4" t="n">
        <v>46113</v>
      </c>
      <c r="C13" t="inlineStr">
        <is>
          <t>J-360866</t>
        </is>
      </c>
      <c r="D13" t="inlineStr">
        <is>
          <t>:Reversal of J-360719</t>
        </is>
      </c>
      <c r="E13" t="inlineStr">
        <is>
          <t>:Reversal of J-360719</t>
        </is>
      </c>
      <c r="F13" t="inlineStr">
        <is>
          <t>:Reversal of J-360719</t>
        </is>
      </c>
      <c r="G13" s="5" t="n">
        <v>12356.33</v>
      </c>
      <c r="H13" t="inlineStr">
        <is>
          <t>AR</t>
        </is>
      </c>
    </row>
    <row r="14">
      <c r="A14" t="inlineStr">
        <is>
          <t>Bay City</t>
        </is>
      </c>
      <c r="B14" s="4" t="n">
        <v>46126</v>
      </c>
      <c r="C14" t="inlineStr">
        <is>
          <t>J-364975</t>
        </is>
      </c>
      <c r="D14" t="inlineStr">
        <is>
          <t>PB from LSM refund B&amp;B</t>
        </is>
      </c>
      <c r="E14" t="inlineStr">
        <is>
          <t>PB from LSM refund B&amp;B</t>
        </is>
      </c>
      <c r="F14" t="inlineStr">
        <is>
          <t>PB from LSM for refund of Brown &amp; Brown 2025 premium</t>
        </is>
      </c>
      <c r="G14" s="5" t="n">
        <v>878</v>
      </c>
      <c r="H14" t="inlineStr">
        <is>
          <t>AR</t>
        </is>
      </c>
    </row>
    <row r="15">
      <c r="A15" t="inlineStr">
        <is>
          <t>Bay City</t>
        </is>
      </c>
      <c r="B15" s="4" t="n">
        <v>46133</v>
      </c>
      <c r="C15" t="inlineStr">
        <is>
          <t>J-365175</t>
        </is>
      </c>
      <c r="D15" t="inlineStr">
        <is>
          <t>Daily Deposit</t>
        </is>
      </c>
      <c r="E15" t="inlineStr">
        <is>
          <t>04/21/2026 Daily Deposit</t>
        </is>
      </c>
      <c r="F15" t="inlineStr">
        <is>
          <t>RP : CC Deposit 04/21/2026</t>
        </is>
      </c>
      <c r="G15" s="5" t="n">
        <v>1850</v>
      </c>
      <c r="H15" t="inlineStr">
        <is>
          <t>AR</t>
        </is>
      </c>
    </row>
    <row r="16">
      <c r="A16" t="inlineStr">
        <is>
          <t>Bay City</t>
        </is>
      </c>
      <c r="B16" s="4" t="n">
        <v>46142</v>
      </c>
      <c r="C16" t="inlineStr">
        <is>
          <t>J-365370</t>
        </is>
      </c>
      <c r="E16" t="inlineStr">
        <is>
          <t>Accrue Casa Verde APR 2026 swap PB :Reversed by J-365376</t>
        </is>
      </c>
      <c r="F16" t="inlineStr">
        <is>
          <t>Accrue (161) Casa Verde APR 2026 swap PB</t>
        </is>
      </c>
      <c r="G16" s="5" t="n">
        <v>49107.23</v>
      </c>
      <c r="H16" t="inlineStr">
        <is>
          <t>AR</t>
        </is>
      </c>
    </row>
    <row r="17">
      <c r="A17" t="inlineStr">
        <is>
          <t>Bay City</t>
        </is>
      </c>
      <c r="B17" s="4" t="n">
        <v>46142</v>
      </c>
      <c r="C17" t="inlineStr">
        <is>
          <t>J-365490</t>
        </is>
      </c>
      <c r="D17" t="inlineStr">
        <is>
          <t>Daily Deposit</t>
        </is>
      </c>
      <c r="E17" t="inlineStr">
        <is>
          <t>04/30/2026 Daily Deposit</t>
        </is>
      </c>
      <c r="F17" t="inlineStr">
        <is>
          <t>CKS 04/30/2026 Batch 356fde6e-e42f-4014-a563-3f1da59dea8c</t>
        </is>
      </c>
      <c r="G17" s="5" t="n">
        <v>1196</v>
      </c>
      <c r="H17" t="inlineStr">
        <is>
          <t>AR</t>
        </is>
      </c>
    </row>
    <row r="18">
      <c r="A18" t="inlineStr">
        <is>
          <t>Bay City</t>
        </is>
      </c>
      <c r="B18" s="4" t="n">
        <v>46142</v>
      </c>
      <c r="C18" t="inlineStr">
        <is>
          <t>J-365490</t>
        </is>
      </c>
      <c r="D18" t="inlineStr">
        <is>
          <t>Daily Deposit</t>
        </is>
      </c>
      <c r="E18" t="inlineStr">
        <is>
          <t>04/30/2026 Daily Deposit</t>
        </is>
      </c>
      <c r="F18" t="inlineStr">
        <is>
          <t>CKS 04/30/2026 Batch 5a6e2dac-e26e-42da-b91f-2600735fa6b6</t>
        </is>
      </c>
      <c r="G18" s="5" t="n">
        <v>10425.97</v>
      </c>
      <c r="H18" t="inlineStr">
        <is>
          <t>AR</t>
        </is>
      </c>
    </row>
    <row r="19">
      <c r="A19" t="inlineStr">
        <is>
          <t>Bay City</t>
        </is>
      </c>
      <c r="B19" s="4" t="n">
        <v>46142</v>
      </c>
      <c r="C19" t="inlineStr">
        <is>
          <t>J-365490</t>
        </is>
      </c>
      <c r="D19" t="inlineStr">
        <is>
          <t>Daily Deposit</t>
        </is>
      </c>
      <c r="E19" t="inlineStr">
        <is>
          <t>04/30/2026 Daily Deposit</t>
        </is>
      </c>
      <c r="F19" t="inlineStr">
        <is>
          <t>RP : CC Deposit 04/30/2026</t>
        </is>
      </c>
      <c r="G19" s="5" t="n">
        <v>718.38</v>
      </c>
      <c r="H19" t="inlineStr">
        <is>
          <t>AR</t>
        </is>
      </c>
    </row>
    <row r="20">
      <c r="G20" s="5">
        <f>SUM(G11:G19)</f>
        <v/>
      </c>
    </row>
    <row r="22">
      <c r="A22" t="inlineStr">
        <is>
          <t>Bay City</t>
        </is>
      </c>
      <c r="B22" s="4" t="n">
        <v>46083</v>
      </c>
      <c r="C22" t="inlineStr">
        <is>
          <t>K-535324</t>
        </is>
      </c>
      <c r="D22" t="inlineStr">
        <is>
          <t>1766</t>
        </is>
      </c>
      <c r="E22" t="inlineStr">
        <is>
          <t>Lakeshore Management Inc (v0000666)</t>
        </is>
      </c>
      <c r="F22" t="inlineStr">
        <is>
          <t>Gloria  Lamonaca</t>
        </is>
      </c>
      <c r="G22" s="5" t="n">
        <v>-210.25</v>
      </c>
      <c r="H22" t="inlineStr">
        <is>
          <t>AP</t>
        </is>
      </c>
    </row>
    <row r="23">
      <c r="A23" t="inlineStr">
        <is>
          <t>Bay City</t>
        </is>
      </c>
      <c r="B23" s="4" t="n">
        <v>46083</v>
      </c>
      <c r="C23" t="inlineStr">
        <is>
          <t>K-535324</t>
        </is>
      </c>
      <c r="D23" t="inlineStr">
        <is>
          <t>1766</t>
        </is>
      </c>
      <c r="E23" t="inlineStr">
        <is>
          <t>Lakeshore Management Inc (v0000666)</t>
        </is>
      </c>
      <c r="F23" t="inlineStr">
        <is>
          <t>Lakeshore</t>
        </is>
      </c>
      <c r="G23" s="5" t="n">
        <v>-164.45</v>
      </c>
      <c r="H23" t="inlineStr">
        <is>
          <t>AP</t>
        </is>
      </c>
    </row>
    <row r="24">
      <c r="A24" t="inlineStr">
        <is>
          <t>Bay City</t>
        </is>
      </c>
      <c r="B24" s="4" t="n">
        <v>46083</v>
      </c>
      <c r="C24" t="inlineStr">
        <is>
          <t>K-535324</t>
        </is>
      </c>
      <c r="D24" t="inlineStr">
        <is>
          <t>1766</t>
        </is>
      </c>
      <c r="E24" t="inlineStr">
        <is>
          <t>Lakeshore Management Inc (v0000666)</t>
        </is>
      </c>
      <c r="F24" t="inlineStr">
        <is>
          <t>Rocco Ameduri</t>
        </is>
      </c>
      <c r="G24" s="5" t="n">
        <v>-179.8</v>
      </c>
      <c r="H24" t="inlineStr">
        <is>
          <t>AP</t>
        </is>
      </c>
    </row>
    <row r="25">
      <c r="A25" t="inlineStr">
        <is>
          <t>Bay City</t>
        </is>
      </c>
      <c r="B25" s="4" t="n">
        <v>46100</v>
      </c>
      <c r="C25" t="inlineStr">
        <is>
          <t>K-541552</t>
        </is>
      </c>
      <c r="D25" t="inlineStr">
        <is>
          <t>1792</t>
        </is>
      </c>
      <c r="E25" t="inlineStr">
        <is>
          <t>Barb Tumas (v0011814)</t>
        </is>
      </c>
      <c r="F25" t="inlineStr">
        <is>
          <t>161 Credit Balance Refund Boat-E87</t>
        </is>
      </c>
      <c r="G25" s="5" t="n">
        <v>-100</v>
      </c>
      <c r="H25" t="inlineStr">
        <is>
          <t>AP</t>
        </is>
      </c>
    </row>
    <row r="26">
      <c r="A26" t="inlineStr">
        <is>
          <t>Bay City</t>
        </is>
      </c>
      <c r="B26" s="4" t="n">
        <v>46112</v>
      </c>
      <c r="C26" t="inlineStr">
        <is>
          <t>K-544798</t>
        </is>
      </c>
      <c r="D26" t="inlineStr">
        <is>
          <t>22665</t>
        </is>
      </c>
      <c r="E26" t="inlineStr">
        <is>
          <t>Lakeshore Management Inc (v0000666)</t>
        </is>
      </c>
      <c r="F26" t="inlineStr"/>
      <c r="G26" s="5" t="n">
        <v>-12.12</v>
      </c>
      <c r="H26" t="inlineStr">
        <is>
          <t>AP</t>
        </is>
      </c>
    </row>
    <row r="27">
      <c r="A27" t="inlineStr">
        <is>
          <t>Bay City</t>
        </is>
      </c>
      <c r="B27" s="4" t="n">
        <v>46112</v>
      </c>
      <c r="C27" t="inlineStr">
        <is>
          <t>K-544969</t>
        </is>
      </c>
      <c r="D27" t="inlineStr">
        <is>
          <t>22666</t>
        </is>
      </c>
      <c r="E27" t="inlineStr">
        <is>
          <t>Lakeshore Management Inc (v0000666)</t>
        </is>
      </c>
      <c r="F27" t="inlineStr">
        <is>
          <t>candy for the office</t>
        </is>
      </c>
      <c r="G27" s="5" t="n">
        <v>-126.95</v>
      </c>
      <c r="H27" t="inlineStr">
        <is>
          <t>AP</t>
        </is>
      </c>
    </row>
    <row r="28">
      <c r="A28" t="inlineStr">
        <is>
          <t>Bay City</t>
        </is>
      </c>
      <c r="B28" s="4" t="n">
        <v>46112</v>
      </c>
      <c r="C28" t="inlineStr">
        <is>
          <t>K-544969</t>
        </is>
      </c>
      <c r="D28" t="inlineStr">
        <is>
          <t>22666</t>
        </is>
      </c>
      <c r="E28" t="inlineStr">
        <is>
          <t>Lakeshore Management Inc (v0000666)</t>
        </is>
      </c>
      <c r="F28" t="inlineStr">
        <is>
          <t>Security cameras</t>
        </is>
      </c>
      <c r="G28" s="5" t="n">
        <v>-427.04</v>
      </c>
      <c r="H28" t="inlineStr">
        <is>
          <t>AP</t>
        </is>
      </c>
    </row>
    <row r="29">
      <c r="A29" t="inlineStr">
        <is>
          <t>Bay City</t>
        </is>
      </c>
      <c r="B29" s="4" t="n">
        <v>46112</v>
      </c>
      <c r="C29" t="inlineStr">
        <is>
          <t>K-544969</t>
        </is>
      </c>
      <c r="D29" t="inlineStr">
        <is>
          <t>22666</t>
        </is>
      </c>
      <c r="E29" t="inlineStr">
        <is>
          <t>Lakeshore Management Inc (v0000666)</t>
        </is>
      </c>
      <c r="F29" t="inlineStr">
        <is>
          <t>Ring doorbell subscription</t>
        </is>
      </c>
      <c r="G29" s="5" t="n">
        <v>-99.98999999999999</v>
      </c>
      <c r="H29" t="inlineStr">
        <is>
          <t>AP</t>
        </is>
      </c>
    </row>
    <row r="30">
      <c r="A30" t="inlineStr">
        <is>
          <t>Bay City</t>
        </is>
      </c>
      <c r="B30" s="4" t="n">
        <v>46112</v>
      </c>
      <c r="C30" t="inlineStr">
        <is>
          <t>K-544969</t>
        </is>
      </c>
      <c r="D30" t="inlineStr">
        <is>
          <t>22666</t>
        </is>
      </c>
      <c r="E30" t="inlineStr">
        <is>
          <t>Lakeshore Management Inc (v0000666)</t>
        </is>
      </c>
      <c r="F30" t="inlineStr">
        <is>
          <t>QBR breakfast</t>
        </is>
      </c>
      <c r="G30" s="5" t="n">
        <v>-59.58</v>
      </c>
      <c r="H30" t="inlineStr">
        <is>
          <t>AP</t>
        </is>
      </c>
    </row>
    <row r="31">
      <c r="A31" t="inlineStr">
        <is>
          <t>Bay City</t>
        </is>
      </c>
      <c r="B31" s="4" t="n">
        <v>46112</v>
      </c>
      <c r="C31" t="inlineStr">
        <is>
          <t>K-544969</t>
        </is>
      </c>
      <c r="D31" t="inlineStr">
        <is>
          <t>22666</t>
        </is>
      </c>
      <c r="E31" t="inlineStr">
        <is>
          <t>Lakeshore Management Inc (v0000666)</t>
        </is>
      </c>
      <c r="F31" t="inlineStr">
        <is>
          <t>lunch</t>
        </is>
      </c>
      <c r="G31" s="5" t="n">
        <v>-208.77</v>
      </c>
      <c r="H31" t="inlineStr">
        <is>
          <t>AP</t>
        </is>
      </c>
    </row>
    <row r="32">
      <c r="A32" t="inlineStr">
        <is>
          <t>Bay City</t>
        </is>
      </c>
      <c r="B32" s="4" t="n">
        <v>46112</v>
      </c>
      <c r="C32" t="inlineStr">
        <is>
          <t>K-544969</t>
        </is>
      </c>
      <c r="D32" t="inlineStr">
        <is>
          <t>22666</t>
        </is>
      </c>
      <c r="E32" t="inlineStr">
        <is>
          <t>Lakeshore Management Inc (v0000666)</t>
        </is>
      </c>
      <c r="F32" t="inlineStr">
        <is>
          <t>Yard of the Month Gift Card</t>
        </is>
      </c>
      <c r="G32" s="5" t="n">
        <v>-50</v>
      </c>
      <c r="H32" t="inlineStr">
        <is>
          <t>AP</t>
        </is>
      </c>
    </row>
    <row r="33">
      <c r="A33" t="inlineStr">
        <is>
          <t>Bay City</t>
        </is>
      </c>
      <c r="B33" s="4" t="n">
        <v>46112</v>
      </c>
      <c r="C33" t="inlineStr">
        <is>
          <t>K-544969</t>
        </is>
      </c>
      <c r="D33" t="inlineStr">
        <is>
          <t>22666</t>
        </is>
      </c>
      <c r="E33" t="inlineStr">
        <is>
          <t>Lakeshore Management Inc (v0000666)</t>
        </is>
      </c>
      <c r="F33" t="inlineStr">
        <is>
          <t>Flashlight for safety board</t>
        </is>
      </c>
      <c r="G33" s="5" t="n">
        <v>-32.98</v>
      </c>
      <c r="H33" t="inlineStr">
        <is>
          <t>AP</t>
        </is>
      </c>
    </row>
    <row r="34">
      <c r="A34" t="inlineStr">
        <is>
          <t>Bay City</t>
        </is>
      </c>
      <c r="B34" s="4" t="n">
        <v>46112</v>
      </c>
      <c r="C34" t="inlineStr">
        <is>
          <t>K-544969</t>
        </is>
      </c>
      <c r="D34" t="inlineStr">
        <is>
          <t>22666</t>
        </is>
      </c>
      <c r="E34" t="inlineStr">
        <is>
          <t>Lakeshore Management Inc (v0000666)</t>
        </is>
      </c>
      <c r="F34" t="inlineStr">
        <is>
          <t>Lumber for mailboxes</t>
        </is>
      </c>
      <c r="G34" s="5" t="n">
        <v>-69.44</v>
      </c>
      <c r="H34" t="inlineStr">
        <is>
          <t>AP</t>
        </is>
      </c>
    </row>
    <row r="35">
      <c r="A35" t="inlineStr">
        <is>
          <t>Bay City</t>
        </is>
      </c>
      <c r="B35" s="4" t="n">
        <v>46112</v>
      </c>
      <c r="C35" t="inlineStr">
        <is>
          <t>K-544969</t>
        </is>
      </c>
      <c r="D35" t="inlineStr">
        <is>
          <t>22666</t>
        </is>
      </c>
      <c r="E35" t="inlineStr">
        <is>
          <t>Lakeshore Management Inc (v0000666)</t>
        </is>
      </c>
      <c r="F35" t="inlineStr">
        <is>
          <t>Mailboxes and screws</t>
        </is>
      </c>
      <c r="G35" s="5" t="n">
        <v>-209.65</v>
      </c>
      <c r="H35" t="inlineStr">
        <is>
          <t>AP</t>
        </is>
      </c>
    </row>
    <row r="36">
      <c r="A36" t="inlineStr">
        <is>
          <t>Bay City</t>
        </is>
      </c>
      <c r="B36" s="4" t="n">
        <v>46112</v>
      </c>
      <c r="C36" t="inlineStr">
        <is>
          <t>K-544969</t>
        </is>
      </c>
      <c r="D36" t="inlineStr">
        <is>
          <t>22666</t>
        </is>
      </c>
      <c r="E36" t="inlineStr">
        <is>
          <t>Lakeshore Management Inc (v0000666)</t>
        </is>
      </c>
      <c r="F36" t="inlineStr">
        <is>
          <t>Window sign holders</t>
        </is>
      </c>
      <c r="G36" s="5" t="n">
        <v>-19.99</v>
      </c>
      <c r="H36" t="inlineStr">
        <is>
          <t>AP</t>
        </is>
      </c>
    </row>
    <row r="37">
      <c r="A37" t="inlineStr">
        <is>
          <t>Bay City</t>
        </is>
      </c>
      <c r="B37" s="4" t="n">
        <v>46112</v>
      </c>
      <c r="C37" t="inlineStr">
        <is>
          <t>K-544969</t>
        </is>
      </c>
      <c r="D37" t="inlineStr">
        <is>
          <t>22666</t>
        </is>
      </c>
      <c r="E37" t="inlineStr">
        <is>
          <t>Lakeshore Management Inc (v0000666)</t>
        </is>
      </c>
      <c r="F37" t="inlineStr">
        <is>
          <t>Window sign holders</t>
        </is>
      </c>
      <c r="G37" s="5" t="n">
        <v>-45.6</v>
      </c>
      <c r="H37" t="inlineStr">
        <is>
          <t>AP</t>
        </is>
      </c>
    </row>
    <row r="38">
      <c r="A38" t="inlineStr">
        <is>
          <t>Bay City</t>
        </is>
      </c>
      <c r="B38" s="4" t="n">
        <v>46112</v>
      </c>
      <c r="C38" t="inlineStr">
        <is>
          <t>K-544969</t>
        </is>
      </c>
      <c r="D38" t="inlineStr">
        <is>
          <t>22666</t>
        </is>
      </c>
      <c r="E38" t="inlineStr">
        <is>
          <t>Lakeshore Management Inc (v0000666)</t>
        </is>
      </c>
      <c r="F38" t="inlineStr">
        <is>
          <t>Diesel Fuel for tractors</t>
        </is>
      </c>
      <c r="G38" s="5" t="n">
        <v>-34.47</v>
      </c>
      <c r="H38" t="inlineStr">
        <is>
          <t>AP</t>
        </is>
      </c>
    </row>
    <row r="39">
      <c r="A39" t="inlineStr">
        <is>
          <t>Bay City</t>
        </is>
      </c>
      <c r="B39" s="4" t="n">
        <v>46112</v>
      </c>
      <c r="C39" t="inlineStr">
        <is>
          <t>K-544969</t>
        </is>
      </c>
      <c r="D39" t="inlineStr">
        <is>
          <t>22666</t>
        </is>
      </c>
      <c r="E39" t="inlineStr">
        <is>
          <t>Lakeshore Management Inc (v0000666)</t>
        </is>
      </c>
      <c r="F39" t="inlineStr">
        <is>
          <t>Diesel Fuel for tractors</t>
        </is>
      </c>
      <c r="G39" s="5" t="n">
        <v>-34.95</v>
      </c>
      <c r="H39" t="inlineStr">
        <is>
          <t>AP</t>
        </is>
      </c>
    </row>
    <row r="40">
      <c r="A40" t="inlineStr">
        <is>
          <t>Bay City</t>
        </is>
      </c>
      <c r="B40" s="4" t="n">
        <v>46112</v>
      </c>
      <c r="C40" t="inlineStr">
        <is>
          <t>K-544969</t>
        </is>
      </c>
      <c r="D40" t="inlineStr">
        <is>
          <t>22666</t>
        </is>
      </c>
      <c r="E40" t="inlineStr">
        <is>
          <t>Lakeshore Management Inc (v0000666)</t>
        </is>
      </c>
      <c r="F40" t="inlineStr">
        <is>
          <t>Drinkssnacks for the office</t>
        </is>
      </c>
      <c r="G40" s="5" t="n">
        <v>-64.44</v>
      </c>
      <c r="H40" t="inlineStr">
        <is>
          <t>AP</t>
        </is>
      </c>
    </row>
    <row r="41">
      <c r="A41" t="inlineStr">
        <is>
          <t>Bay City</t>
        </is>
      </c>
      <c r="B41" s="4" t="n">
        <v>46112</v>
      </c>
      <c r="C41" t="inlineStr">
        <is>
          <t>K-544969</t>
        </is>
      </c>
      <c r="D41" t="inlineStr">
        <is>
          <t>22666</t>
        </is>
      </c>
      <c r="E41" t="inlineStr">
        <is>
          <t>Lakeshore Management Inc (v0000666)</t>
        </is>
      </c>
      <c r="F41" t="inlineStr">
        <is>
          <t>Purchase water due to frozen water pipes in office</t>
        </is>
      </c>
      <c r="G41" s="5" t="n">
        <v>-13.95</v>
      </c>
      <c r="H41" t="inlineStr">
        <is>
          <t>AP</t>
        </is>
      </c>
    </row>
    <row r="42">
      <c r="A42" t="inlineStr">
        <is>
          <t>Bay City</t>
        </is>
      </c>
      <c r="B42" s="4" t="n">
        <v>46112</v>
      </c>
      <c r="C42" t="inlineStr">
        <is>
          <t>K-544969</t>
        </is>
      </c>
      <c r="D42" t="inlineStr">
        <is>
          <t>22666</t>
        </is>
      </c>
      <c r="E42" t="inlineStr">
        <is>
          <t>Lakeshore Management Inc (v0000666)</t>
        </is>
      </c>
      <c r="F42" t="inlineStr">
        <is>
          <t>Mailed rental increase certified mail</t>
        </is>
      </c>
      <c r="G42" s="5" t="n">
        <v>-5.3</v>
      </c>
      <c r="H42" t="inlineStr">
        <is>
          <t>AP</t>
        </is>
      </c>
    </row>
    <row r="43">
      <c r="A43" t="inlineStr">
        <is>
          <t>Bay City</t>
        </is>
      </c>
      <c r="B43" s="4" t="n">
        <v>46112</v>
      </c>
      <c r="C43" t="inlineStr">
        <is>
          <t>K-544969</t>
        </is>
      </c>
      <c r="D43" t="inlineStr">
        <is>
          <t>22666</t>
        </is>
      </c>
      <c r="E43" t="inlineStr">
        <is>
          <t>Lakeshore Management Inc (v0000666)</t>
        </is>
      </c>
      <c r="F43" t="inlineStr">
        <is>
          <t>Mailed violation letters</t>
        </is>
      </c>
      <c r="G43" s="5" t="n">
        <v>-2.4</v>
      </c>
      <c r="H43" t="inlineStr">
        <is>
          <t>AP</t>
        </is>
      </c>
    </row>
    <row r="44">
      <c r="A44" t="inlineStr">
        <is>
          <t>Bay City</t>
        </is>
      </c>
      <c r="B44" s="4" t="n">
        <v>46112</v>
      </c>
      <c r="C44" t="inlineStr">
        <is>
          <t>K-544969</t>
        </is>
      </c>
      <c r="D44" t="inlineStr">
        <is>
          <t>22666</t>
        </is>
      </c>
      <c r="E44" t="inlineStr">
        <is>
          <t>Lakeshore Management Inc (v0000666)</t>
        </is>
      </c>
      <c r="F44" t="inlineStr">
        <is>
          <t>Mailed Resident Application</t>
        </is>
      </c>
      <c r="G44" s="5" t="n">
        <v>-2.72</v>
      </c>
      <c r="H44" t="inlineStr">
        <is>
          <t>AP</t>
        </is>
      </c>
    </row>
    <row r="45">
      <c r="A45" t="inlineStr">
        <is>
          <t>Bay City</t>
        </is>
      </c>
      <c r="B45" s="4" t="n">
        <v>46112</v>
      </c>
      <c r="C45" t="inlineStr">
        <is>
          <t>K-544969</t>
        </is>
      </c>
      <c r="D45" t="inlineStr">
        <is>
          <t>22666</t>
        </is>
      </c>
      <c r="E45" t="inlineStr">
        <is>
          <t>Lakeshore Management Inc (v0000666)</t>
        </is>
      </c>
      <c r="F45" t="inlineStr">
        <is>
          <t>QBR lunch</t>
        </is>
      </c>
      <c r="G45" s="5" t="n">
        <v>-49.97</v>
      </c>
      <c r="H45" t="inlineStr">
        <is>
          <t>AP</t>
        </is>
      </c>
    </row>
    <row r="46">
      <c r="A46" t="inlineStr">
        <is>
          <t>Bay City</t>
        </is>
      </c>
      <c r="B46" s="4" t="n">
        <v>46112</v>
      </c>
      <c r="C46" t="inlineStr">
        <is>
          <t>K-544969</t>
        </is>
      </c>
      <c r="D46" t="inlineStr">
        <is>
          <t>22666</t>
        </is>
      </c>
      <c r="E46" t="inlineStr">
        <is>
          <t>Lakeshore Management Inc (v0000666)</t>
        </is>
      </c>
      <c r="F46" t="inlineStr">
        <is>
          <t>Gift Card for Resident Raffle</t>
        </is>
      </c>
      <c r="G46" s="5" t="n">
        <v>-50</v>
      </c>
      <c r="H46" t="inlineStr">
        <is>
          <t>AP</t>
        </is>
      </c>
    </row>
    <row r="47">
      <c r="A47" t="inlineStr">
        <is>
          <t>Bay City</t>
        </is>
      </c>
      <c r="B47" s="4" t="n">
        <v>46112</v>
      </c>
      <c r="C47" t="inlineStr">
        <is>
          <t>K-544969</t>
        </is>
      </c>
      <c r="D47" t="inlineStr">
        <is>
          <t>22666</t>
        </is>
      </c>
      <c r="E47" t="inlineStr">
        <is>
          <t>Lakeshore Management Inc (v0000666)</t>
        </is>
      </c>
      <c r="F47" t="inlineStr">
        <is>
          <t>Remove and dispose of debris from the Community</t>
        </is>
      </c>
      <c r="G47" s="5" t="n">
        <v>-7.5</v>
      </c>
      <c r="H47" t="inlineStr">
        <is>
          <t>AP</t>
        </is>
      </c>
    </row>
    <row r="48">
      <c r="A48" t="inlineStr">
        <is>
          <t>Bay City</t>
        </is>
      </c>
      <c r="B48" s="4" t="n">
        <v>46112</v>
      </c>
      <c r="C48" t="inlineStr">
        <is>
          <t>K-544969</t>
        </is>
      </c>
      <c r="D48" t="inlineStr">
        <is>
          <t>22666</t>
        </is>
      </c>
      <c r="E48" t="inlineStr">
        <is>
          <t>Lakeshore Management Inc (v0000666)</t>
        </is>
      </c>
      <c r="F48" t="inlineStr">
        <is>
          <t>Remove and dispose of debris from the Community</t>
        </is>
      </c>
      <c r="G48" s="5" t="n">
        <v>-7.5</v>
      </c>
      <c r="H48" t="inlineStr">
        <is>
          <t>AP</t>
        </is>
      </c>
    </row>
    <row r="49">
      <c r="A49" t="inlineStr">
        <is>
          <t>Bay City</t>
        </is>
      </c>
      <c r="B49" s="4" t="n">
        <v>46112</v>
      </c>
      <c r="C49" t="inlineStr">
        <is>
          <t>K-544969</t>
        </is>
      </c>
      <c r="D49" t="inlineStr">
        <is>
          <t>22666</t>
        </is>
      </c>
      <c r="E49" t="inlineStr">
        <is>
          <t>Lakeshore Management Inc (v0000666)</t>
        </is>
      </c>
      <c r="F49" t="inlineStr">
        <is>
          <t>Remove and dispose of debris from the Community</t>
        </is>
      </c>
      <c r="G49" s="5" t="n">
        <v>-7.5</v>
      </c>
      <c r="H49" t="inlineStr">
        <is>
          <t>AP</t>
        </is>
      </c>
    </row>
    <row r="50">
      <c r="A50" t="inlineStr">
        <is>
          <t>Bay City</t>
        </is>
      </c>
      <c r="B50" s="4" t="n">
        <v>46112</v>
      </c>
      <c r="C50" t="inlineStr">
        <is>
          <t>K-544969</t>
        </is>
      </c>
      <c r="D50" t="inlineStr">
        <is>
          <t>22666</t>
        </is>
      </c>
      <c r="E50" t="inlineStr">
        <is>
          <t>Lakeshore Management Inc (v0000666)</t>
        </is>
      </c>
      <c r="F50" t="inlineStr">
        <is>
          <t>Remove and dispose of debris from the Community</t>
        </is>
      </c>
      <c r="G50" s="5" t="n">
        <v>-8</v>
      </c>
      <c r="H50" t="inlineStr">
        <is>
          <t>AP</t>
        </is>
      </c>
    </row>
    <row r="51">
      <c r="A51" t="inlineStr">
        <is>
          <t>Bay City</t>
        </is>
      </c>
      <c r="B51" s="4" t="n">
        <v>46112</v>
      </c>
      <c r="C51" t="inlineStr">
        <is>
          <t>K-544969</t>
        </is>
      </c>
      <c r="D51" t="inlineStr">
        <is>
          <t>22666</t>
        </is>
      </c>
      <c r="E51" t="inlineStr">
        <is>
          <t>Lakeshore Management Inc (v0000666)</t>
        </is>
      </c>
      <c r="F51" t="inlineStr">
        <is>
          <t>Remove and dispose of debris from the Community</t>
        </is>
      </c>
      <c r="G51" s="5" t="n">
        <v>-8</v>
      </c>
      <c r="H51" t="inlineStr">
        <is>
          <t>AP</t>
        </is>
      </c>
    </row>
    <row r="52">
      <c r="A52" t="inlineStr">
        <is>
          <t>Bay City</t>
        </is>
      </c>
      <c r="B52" s="4" t="n">
        <v>46112</v>
      </c>
      <c r="C52" t="inlineStr">
        <is>
          <t>K-544969</t>
        </is>
      </c>
      <c r="D52" t="inlineStr">
        <is>
          <t>22666</t>
        </is>
      </c>
      <c r="E52" t="inlineStr">
        <is>
          <t>Lakeshore Management Inc (v0000666)</t>
        </is>
      </c>
      <c r="F52" t="inlineStr">
        <is>
          <t>Propane gas</t>
        </is>
      </c>
      <c r="G52" s="5" t="n">
        <v>-20</v>
      </c>
      <c r="H52" t="inlineStr">
        <is>
          <t>AP</t>
        </is>
      </c>
    </row>
    <row r="53">
      <c r="A53" t="inlineStr">
        <is>
          <t>Bay City</t>
        </is>
      </c>
      <c r="B53" s="4" t="n">
        <v>46112</v>
      </c>
      <c r="C53" t="inlineStr">
        <is>
          <t>K-544969</t>
        </is>
      </c>
      <c r="D53" t="inlineStr">
        <is>
          <t>22666</t>
        </is>
      </c>
      <c r="E53" t="inlineStr">
        <is>
          <t>Lakeshore Management Inc (v0000666)</t>
        </is>
      </c>
      <c r="F53" t="inlineStr">
        <is>
          <t>Car wash for maintenance truck</t>
        </is>
      </c>
      <c r="G53" s="5" t="n">
        <v>-10</v>
      </c>
      <c r="H53" t="inlineStr">
        <is>
          <t>AP</t>
        </is>
      </c>
    </row>
    <row r="54">
      <c r="A54" t="inlineStr">
        <is>
          <t>Bay City</t>
        </is>
      </c>
      <c r="B54" s="4" t="n">
        <v>46112</v>
      </c>
      <c r="C54" t="inlineStr">
        <is>
          <t>K-544969</t>
        </is>
      </c>
      <c r="D54" t="inlineStr">
        <is>
          <t>22666</t>
        </is>
      </c>
      <c r="E54" t="inlineStr">
        <is>
          <t>Lakeshore Management Inc (v0000666)</t>
        </is>
      </c>
      <c r="F54" t="inlineStr">
        <is>
          <t>Hydrolic fluid for the Tractor</t>
        </is>
      </c>
      <c r="G54" s="5" t="n">
        <v>-22.99</v>
      </c>
      <c r="H54" t="inlineStr">
        <is>
          <t>AP</t>
        </is>
      </c>
    </row>
    <row r="55">
      <c r="A55" t="inlineStr">
        <is>
          <t>Bay City</t>
        </is>
      </c>
      <c r="B55" s="4" t="n">
        <v>46112</v>
      </c>
      <c r="C55" t="inlineStr">
        <is>
          <t>K-544969</t>
        </is>
      </c>
      <c r="D55" t="inlineStr">
        <is>
          <t>22666</t>
        </is>
      </c>
      <c r="E55" t="inlineStr">
        <is>
          <t>Lakeshore Management Inc (v0000666)</t>
        </is>
      </c>
      <c r="F55" t="inlineStr">
        <is>
          <t>Blade saw for eqpt</t>
        </is>
      </c>
      <c r="G55" s="5" t="n">
        <v>-45.98</v>
      </c>
      <c r="H55" t="inlineStr">
        <is>
          <t>AP</t>
        </is>
      </c>
    </row>
    <row r="56">
      <c r="A56" t="inlineStr">
        <is>
          <t>Bay City</t>
        </is>
      </c>
      <c r="B56" s="4" t="n">
        <v>46112</v>
      </c>
      <c r="C56" t="inlineStr">
        <is>
          <t>K-544969</t>
        </is>
      </c>
      <c r="D56" t="inlineStr">
        <is>
          <t>22666</t>
        </is>
      </c>
      <c r="E56" t="inlineStr">
        <is>
          <t>Lakeshore Management Inc (v0000666)</t>
        </is>
      </c>
      <c r="F56" t="inlineStr">
        <is>
          <t>equipment maintenance supplies</t>
        </is>
      </c>
      <c r="G56" s="5" t="n">
        <v>-157.03</v>
      </c>
      <c r="H56" t="inlineStr">
        <is>
          <t>AP</t>
        </is>
      </c>
    </row>
    <row r="57">
      <c r="A57" t="inlineStr">
        <is>
          <t>Bay City</t>
        </is>
      </c>
      <c r="B57" s="4" t="n">
        <v>46112</v>
      </c>
      <c r="C57" t="inlineStr">
        <is>
          <t>K-544969</t>
        </is>
      </c>
      <c r="D57" t="inlineStr">
        <is>
          <t>22666</t>
        </is>
      </c>
      <c r="E57" t="inlineStr">
        <is>
          <t>Lakeshore Management Inc (v0000666)</t>
        </is>
      </c>
      <c r="F57" t="inlineStr">
        <is>
          <t>Folding sawhorse</t>
        </is>
      </c>
      <c r="G57" s="5" t="n">
        <v>-74.98</v>
      </c>
      <c r="H57" t="inlineStr">
        <is>
          <t>AP</t>
        </is>
      </c>
    </row>
    <row r="58">
      <c r="A58" t="inlineStr">
        <is>
          <t>Bay City</t>
        </is>
      </c>
      <c r="B58" s="4" t="n">
        <v>46112</v>
      </c>
      <c r="C58" t="inlineStr">
        <is>
          <t>K-544969</t>
        </is>
      </c>
      <c r="D58" t="inlineStr">
        <is>
          <t>22666</t>
        </is>
      </c>
      <c r="E58" t="inlineStr">
        <is>
          <t>Lakeshore Management Inc (v0000666)</t>
        </is>
      </c>
      <c r="F58" t="inlineStr">
        <is>
          <t>Circular saw blades for dock work</t>
        </is>
      </c>
      <c r="G58" s="5" t="n">
        <v>-12.99</v>
      </c>
      <c r="H58" t="inlineStr">
        <is>
          <t>AP</t>
        </is>
      </c>
    </row>
    <row r="59">
      <c r="A59" t="inlineStr">
        <is>
          <t>Bay City</t>
        </is>
      </c>
      <c r="B59" s="4" t="n">
        <v>46112</v>
      </c>
      <c r="C59" t="inlineStr">
        <is>
          <t>K-544969</t>
        </is>
      </c>
      <c r="D59" t="inlineStr">
        <is>
          <t>22666</t>
        </is>
      </c>
      <c r="E59" t="inlineStr">
        <is>
          <t>Lakeshore Management Inc (v0000666)</t>
        </is>
      </c>
      <c r="F59" t="inlineStr">
        <is>
          <t>Treated lumber for new mailboxes</t>
        </is>
      </c>
      <c r="G59" s="5" t="n">
        <v>-155.73</v>
      </c>
      <c r="H59" t="inlineStr">
        <is>
          <t>AP</t>
        </is>
      </c>
    </row>
    <row r="60">
      <c r="A60" t="inlineStr">
        <is>
          <t>Bay City</t>
        </is>
      </c>
      <c r="B60" s="4" t="n">
        <v>46112</v>
      </c>
      <c r="C60" t="inlineStr">
        <is>
          <t>K-544969</t>
        </is>
      </c>
      <c r="D60" t="inlineStr">
        <is>
          <t>22666</t>
        </is>
      </c>
      <c r="E60" t="inlineStr">
        <is>
          <t>Lakeshore Management Inc (v0000666)</t>
        </is>
      </c>
      <c r="F60" t="inlineStr">
        <is>
          <t>For mailbox installation</t>
        </is>
      </c>
      <c r="G60" s="5" t="n">
        <v>-16.47</v>
      </c>
      <c r="H60" t="inlineStr">
        <is>
          <t>AP</t>
        </is>
      </c>
    </row>
    <row r="61">
      <c r="A61" t="inlineStr">
        <is>
          <t>Bay City</t>
        </is>
      </c>
      <c r="B61" s="4" t="n">
        <v>46112</v>
      </c>
      <c r="C61" t="inlineStr">
        <is>
          <t>K-544969</t>
        </is>
      </c>
      <c r="D61" t="inlineStr">
        <is>
          <t>22666</t>
        </is>
      </c>
      <c r="E61" t="inlineStr">
        <is>
          <t>Lakeshore Management Inc (v0000666)</t>
        </is>
      </c>
      <c r="F61" t="inlineStr">
        <is>
          <t>Crush and run gravel for maintenance equipment area</t>
        </is>
      </c>
      <c r="G61" s="5" t="n">
        <v>-138.16</v>
      </c>
      <c r="H61" t="inlineStr">
        <is>
          <t>AP</t>
        </is>
      </c>
    </row>
    <row r="62">
      <c r="A62" t="inlineStr">
        <is>
          <t>Bay City</t>
        </is>
      </c>
      <c r="B62" s="4" t="n">
        <v>46112</v>
      </c>
      <c r="C62" t="inlineStr">
        <is>
          <t>K-544969</t>
        </is>
      </c>
      <c r="D62" t="inlineStr">
        <is>
          <t>22666</t>
        </is>
      </c>
      <c r="E62" t="inlineStr">
        <is>
          <t>Lakeshore Management Inc (v0000666)</t>
        </is>
      </c>
      <c r="F62" t="inlineStr">
        <is>
          <t>Stone for maintenance equipment area</t>
        </is>
      </c>
      <c r="G62" s="5" t="n">
        <v>-162.93</v>
      </c>
      <c r="H62" t="inlineStr">
        <is>
          <t>AP</t>
        </is>
      </c>
    </row>
    <row r="63">
      <c r="A63" t="inlineStr">
        <is>
          <t>Bay City</t>
        </is>
      </c>
      <c r="B63" s="4" t="n">
        <v>46112</v>
      </c>
      <c r="C63" t="inlineStr">
        <is>
          <t>K-544969</t>
        </is>
      </c>
      <c r="D63" t="inlineStr">
        <is>
          <t>22666</t>
        </is>
      </c>
      <c r="E63" t="inlineStr">
        <is>
          <t>Lakeshore Management Inc (v0000666)</t>
        </is>
      </c>
      <c r="F63" t="inlineStr">
        <is>
          <t>Stone for maintenance equipment area</t>
        </is>
      </c>
      <c r="G63" s="5" t="n">
        <v>-154.64</v>
      </c>
      <c r="H63" t="inlineStr">
        <is>
          <t>AP</t>
        </is>
      </c>
    </row>
    <row r="64">
      <c r="A64" t="inlineStr">
        <is>
          <t>Bay City</t>
        </is>
      </c>
      <c r="B64" s="4" t="n">
        <v>46112</v>
      </c>
      <c r="C64" t="inlineStr">
        <is>
          <t>K-544969</t>
        </is>
      </c>
      <c r="D64" t="inlineStr">
        <is>
          <t>22666</t>
        </is>
      </c>
      <c r="E64" t="inlineStr">
        <is>
          <t>Lakeshore Management Inc (v0000666)</t>
        </is>
      </c>
      <c r="F64" t="inlineStr">
        <is>
          <t>Treated lumber for new mailboxes</t>
        </is>
      </c>
      <c r="G64" s="5" t="n">
        <v>-98.39</v>
      </c>
      <c r="H64" t="inlineStr">
        <is>
          <t>AP</t>
        </is>
      </c>
    </row>
    <row r="65">
      <c r="A65" t="inlineStr">
        <is>
          <t>Bay City</t>
        </is>
      </c>
      <c r="B65" s="4" t="n">
        <v>46112</v>
      </c>
      <c r="C65" t="inlineStr">
        <is>
          <t>K-544969</t>
        </is>
      </c>
      <c r="D65" t="inlineStr">
        <is>
          <t>22666</t>
        </is>
      </c>
      <c r="E65" t="inlineStr">
        <is>
          <t>Lakeshore Management Inc (v0000666)</t>
        </is>
      </c>
      <c r="F65" t="inlineStr">
        <is>
          <t>Treated lumber for new mailboxes</t>
        </is>
      </c>
      <c r="G65" s="5" t="n">
        <v>-124.74</v>
      </c>
      <c r="H65" t="inlineStr">
        <is>
          <t>AP</t>
        </is>
      </c>
    </row>
    <row r="66">
      <c r="A66" t="inlineStr">
        <is>
          <t>Bay City</t>
        </is>
      </c>
      <c r="B66" s="4" t="n">
        <v>46112</v>
      </c>
      <c r="C66" t="inlineStr">
        <is>
          <t>K-544969</t>
        </is>
      </c>
      <c r="D66" t="inlineStr">
        <is>
          <t>22666</t>
        </is>
      </c>
      <c r="E66" t="inlineStr">
        <is>
          <t>Lakeshore Management Inc (v0000666)</t>
        </is>
      </c>
      <c r="F66" t="inlineStr">
        <is>
          <t>gas for vehicle</t>
        </is>
      </c>
      <c r="G66" s="5" t="n">
        <v>-71.78</v>
      </c>
      <c r="H66" t="inlineStr">
        <is>
          <t>AP</t>
        </is>
      </c>
    </row>
    <row r="67">
      <c r="A67" t="inlineStr">
        <is>
          <t>Bay City</t>
        </is>
      </c>
      <c r="B67" s="4" t="n">
        <v>46112</v>
      </c>
      <c r="C67" t="inlineStr">
        <is>
          <t>K-544969</t>
        </is>
      </c>
      <c r="D67" t="inlineStr">
        <is>
          <t>22666</t>
        </is>
      </c>
      <c r="E67" t="inlineStr">
        <is>
          <t>Lakeshore Management Inc (v0000666)</t>
        </is>
      </c>
      <c r="F67" t="inlineStr">
        <is>
          <t>gas for vehicle</t>
        </is>
      </c>
      <c r="G67" s="5" t="n">
        <v>-69.59</v>
      </c>
      <c r="H67" t="inlineStr">
        <is>
          <t>AP</t>
        </is>
      </c>
    </row>
    <row r="68">
      <c r="A68" t="inlineStr">
        <is>
          <t>Bay City</t>
        </is>
      </c>
      <c r="B68" s="4" t="n">
        <v>46112</v>
      </c>
      <c r="C68" t="inlineStr">
        <is>
          <t>K-544969</t>
        </is>
      </c>
      <c r="D68" t="inlineStr">
        <is>
          <t>22666</t>
        </is>
      </c>
      <c r="E68" t="inlineStr">
        <is>
          <t>Lakeshore Management Inc (v0000666)</t>
        </is>
      </c>
      <c r="F68" t="inlineStr">
        <is>
          <t>gas for vehicle</t>
        </is>
      </c>
      <c r="G68" s="5" t="n">
        <v>-74.63</v>
      </c>
      <c r="H68" t="inlineStr">
        <is>
          <t>AP</t>
        </is>
      </c>
    </row>
    <row r="69">
      <c r="A69" t="inlineStr">
        <is>
          <t>Bay City</t>
        </is>
      </c>
      <c r="B69" s="4" t="n">
        <v>46112</v>
      </c>
      <c r="C69" t="inlineStr">
        <is>
          <t>K-544969</t>
        </is>
      </c>
      <c r="D69" t="inlineStr">
        <is>
          <t>22666</t>
        </is>
      </c>
      <c r="E69" t="inlineStr">
        <is>
          <t>Lakeshore Management Inc (v0000666)</t>
        </is>
      </c>
      <c r="F69" t="inlineStr">
        <is>
          <t>gas for vehicle</t>
        </is>
      </c>
      <c r="G69" s="5" t="n">
        <v>-52.5</v>
      </c>
      <c r="H69" t="inlineStr">
        <is>
          <t>AP</t>
        </is>
      </c>
    </row>
    <row r="70">
      <c r="A70" t="inlineStr">
        <is>
          <t>Bay City</t>
        </is>
      </c>
      <c r="B70" s="4" t="n">
        <v>46112</v>
      </c>
      <c r="C70" t="inlineStr">
        <is>
          <t>K-544969</t>
        </is>
      </c>
      <c r="D70" t="inlineStr">
        <is>
          <t>22666</t>
        </is>
      </c>
      <c r="E70" t="inlineStr">
        <is>
          <t>Lakeshore Management Inc (v0000666)</t>
        </is>
      </c>
      <c r="F70" t="inlineStr">
        <is>
          <t>gas for vehicle</t>
        </is>
      </c>
      <c r="G70" s="5" t="n">
        <v>-52.58</v>
      </c>
      <c r="H70" t="inlineStr">
        <is>
          <t>AP</t>
        </is>
      </c>
    </row>
    <row r="71">
      <c r="A71" t="inlineStr">
        <is>
          <t>Bay City</t>
        </is>
      </c>
      <c r="B71" s="4" t="n">
        <v>46112</v>
      </c>
      <c r="C71" t="inlineStr">
        <is>
          <t>K-544969</t>
        </is>
      </c>
      <c r="D71" t="inlineStr">
        <is>
          <t>22666</t>
        </is>
      </c>
      <c r="E71" t="inlineStr">
        <is>
          <t>Lakeshore Management Inc (v0000666)</t>
        </is>
      </c>
      <c r="F71" t="inlineStr">
        <is>
          <t>diesel fuel</t>
        </is>
      </c>
      <c r="G71" s="5" t="n">
        <v>-15.15</v>
      </c>
      <c r="H71" t="inlineStr">
        <is>
          <t>AP</t>
        </is>
      </c>
    </row>
    <row r="72">
      <c r="A72" t="inlineStr">
        <is>
          <t>Bay City</t>
        </is>
      </c>
      <c r="B72" s="4" t="n">
        <v>46112</v>
      </c>
      <c r="C72" t="inlineStr">
        <is>
          <t>K-544969</t>
        </is>
      </c>
      <c r="D72" t="inlineStr">
        <is>
          <t>22666</t>
        </is>
      </c>
      <c r="E72" t="inlineStr">
        <is>
          <t>Lakeshore Management Inc (v0000666)</t>
        </is>
      </c>
      <c r="F72" t="inlineStr">
        <is>
          <t>Nextiva VoIP Feb</t>
        </is>
      </c>
      <c r="G72" s="5" t="n">
        <v>-20</v>
      </c>
      <c r="H72" t="inlineStr">
        <is>
          <t>AP</t>
        </is>
      </c>
    </row>
    <row r="73">
      <c r="A73" t="inlineStr">
        <is>
          <t>Bay City</t>
        </is>
      </c>
      <c r="B73" s="4" t="n">
        <v>46112</v>
      </c>
      <c r="C73" t="inlineStr">
        <is>
          <t>K-544969</t>
        </is>
      </c>
      <c r="D73" t="inlineStr">
        <is>
          <t>22666</t>
        </is>
      </c>
      <c r="E73" t="inlineStr">
        <is>
          <t>Lakeshore Management Inc (v0000666)</t>
        </is>
      </c>
      <c r="F73" t="inlineStr">
        <is>
          <t>AMBS Call Center Feb</t>
        </is>
      </c>
      <c r="G73" s="5" t="n">
        <v>-17.83</v>
      </c>
      <c r="H73" t="inlineStr">
        <is>
          <t>AP</t>
        </is>
      </c>
    </row>
    <row r="74">
      <c r="A74" t="inlineStr">
        <is>
          <t>Bay City</t>
        </is>
      </c>
      <c r="B74" s="4" t="n">
        <v>46112</v>
      </c>
      <c r="C74" t="inlineStr">
        <is>
          <t>K-544969</t>
        </is>
      </c>
      <c r="D74" t="inlineStr">
        <is>
          <t>22666</t>
        </is>
      </c>
      <c r="E74" t="inlineStr">
        <is>
          <t>Lakeshore Management Inc (v0000666)</t>
        </is>
      </c>
      <c r="F74" t="inlineStr">
        <is>
          <t>1st Qrt snowstorm site vistes</t>
        </is>
      </c>
      <c r="G74" s="5" t="n">
        <v>-163.94</v>
      </c>
      <c r="H74" t="inlineStr">
        <is>
          <t>AP</t>
        </is>
      </c>
    </row>
    <row r="75">
      <c r="A75" t="inlineStr">
        <is>
          <t>Bay City</t>
        </is>
      </c>
      <c r="B75" s="4" t="n">
        <v>46112</v>
      </c>
      <c r="C75" t="inlineStr">
        <is>
          <t>K-544969</t>
        </is>
      </c>
      <c r="D75" t="inlineStr">
        <is>
          <t>22666</t>
        </is>
      </c>
      <c r="E75" t="inlineStr">
        <is>
          <t>Lakeshore Management Inc (v0000666)</t>
        </is>
      </c>
      <c r="F75" t="inlineStr">
        <is>
          <t>1st Qrt snowstorm site vistes</t>
        </is>
      </c>
      <c r="G75" s="5" t="n">
        <v>-2</v>
      </c>
      <c r="H75" t="inlineStr">
        <is>
          <t>AP</t>
        </is>
      </c>
    </row>
    <row r="76">
      <c r="A76" t="inlineStr">
        <is>
          <t>Bay City</t>
        </is>
      </c>
      <c r="B76" s="4" t="n">
        <v>46112</v>
      </c>
      <c r="C76" t="inlineStr">
        <is>
          <t>K-544969</t>
        </is>
      </c>
      <c r="D76" t="inlineStr">
        <is>
          <t>22666</t>
        </is>
      </c>
      <c r="E76" t="inlineStr">
        <is>
          <t>Lakeshore Management Inc (v0000666)</t>
        </is>
      </c>
      <c r="F76" t="inlineStr">
        <is>
          <t>Mail Increase NoticesLeases</t>
        </is>
      </c>
      <c r="G76" s="5" t="n">
        <v>-11.48</v>
      </c>
      <c r="H76" t="inlineStr">
        <is>
          <t>AP</t>
        </is>
      </c>
    </row>
    <row r="77">
      <c r="A77" t="inlineStr">
        <is>
          <t>Bay City</t>
        </is>
      </c>
      <c r="B77" s="4" t="n">
        <v>46112</v>
      </c>
      <c r="C77" t="inlineStr">
        <is>
          <t>K-544969</t>
        </is>
      </c>
      <c r="D77" t="inlineStr">
        <is>
          <t>22666</t>
        </is>
      </c>
      <c r="E77" t="inlineStr">
        <is>
          <t>Lakeshore Management Inc (v0000666)</t>
        </is>
      </c>
      <c r="F77" t="inlineStr">
        <is>
          <t>Mail Increase NoticesLeases</t>
        </is>
      </c>
      <c r="G77" s="5" t="n">
        <v>-15.66</v>
      </c>
      <c r="H77" t="inlineStr">
        <is>
          <t>AP</t>
        </is>
      </c>
    </row>
    <row r="78">
      <c r="A78" t="inlineStr">
        <is>
          <t>Bay City</t>
        </is>
      </c>
      <c r="B78" s="4" t="n">
        <v>46112</v>
      </c>
      <c r="C78" t="inlineStr">
        <is>
          <t>K-544969</t>
        </is>
      </c>
      <c r="D78" t="inlineStr">
        <is>
          <t>22666</t>
        </is>
      </c>
      <c r="E78" t="inlineStr">
        <is>
          <t>Lakeshore Management Inc (v0000666)</t>
        </is>
      </c>
      <c r="F78" t="inlineStr">
        <is>
          <t>Mail Increase NoticesLeases</t>
        </is>
      </c>
      <c r="G78" s="5" t="n">
        <v>-7.83</v>
      </c>
      <c r="H78" t="inlineStr">
        <is>
          <t>AP</t>
        </is>
      </c>
    </row>
    <row r="79">
      <c r="A79" t="inlineStr">
        <is>
          <t>Bay City</t>
        </is>
      </c>
      <c r="B79" s="4" t="n">
        <v>46112</v>
      </c>
      <c r="C79" t="inlineStr">
        <is>
          <t>K-544969</t>
        </is>
      </c>
      <c r="D79" t="inlineStr">
        <is>
          <t>22666</t>
        </is>
      </c>
      <c r="E79" t="inlineStr">
        <is>
          <t>Lakeshore Management Inc (v0000666)</t>
        </is>
      </c>
      <c r="F79" t="inlineStr">
        <is>
          <t>Mail Increase NoticesLeases</t>
        </is>
      </c>
      <c r="G79" s="5" t="n">
        <v>-11.48</v>
      </c>
      <c r="H79" t="inlineStr">
        <is>
          <t>AP</t>
        </is>
      </c>
    </row>
    <row r="80">
      <c r="A80" t="inlineStr">
        <is>
          <t>Bay City</t>
        </is>
      </c>
      <c r="B80" s="4" t="n">
        <v>46112</v>
      </c>
      <c r="C80" t="inlineStr">
        <is>
          <t>K-544969</t>
        </is>
      </c>
      <c r="D80" t="inlineStr">
        <is>
          <t>22666</t>
        </is>
      </c>
      <c r="E80" t="inlineStr">
        <is>
          <t>Lakeshore Management Inc (v0000666)</t>
        </is>
      </c>
      <c r="F80" t="inlineStr">
        <is>
          <t>lunch site visit</t>
        </is>
      </c>
      <c r="G80" s="5" t="n">
        <v>-13.69</v>
      </c>
      <c r="H80" t="inlineStr">
        <is>
          <t>AP</t>
        </is>
      </c>
    </row>
    <row r="81">
      <c r="A81" t="inlineStr">
        <is>
          <t>Bay City</t>
        </is>
      </c>
      <c r="B81" s="4" t="n">
        <v>46112</v>
      </c>
      <c r="C81" t="inlineStr">
        <is>
          <t>K-544969</t>
        </is>
      </c>
      <c r="D81" t="inlineStr">
        <is>
          <t>22666</t>
        </is>
      </c>
      <c r="E81" t="inlineStr">
        <is>
          <t>Lakeshore Management Inc (v0000666)</t>
        </is>
      </c>
      <c r="F81" t="inlineStr">
        <is>
          <t>Breakfast</t>
        </is>
      </c>
      <c r="G81" s="5" t="n">
        <v>-12.55</v>
      </c>
      <c r="H81" t="inlineStr">
        <is>
          <t>AP</t>
        </is>
      </c>
    </row>
    <row r="82">
      <c r="A82" t="inlineStr">
        <is>
          <t>Bay City</t>
        </is>
      </c>
      <c r="B82" s="4" t="n">
        <v>46112</v>
      </c>
      <c r="C82" t="inlineStr">
        <is>
          <t>K-544969</t>
        </is>
      </c>
      <c r="D82" t="inlineStr">
        <is>
          <t>22666</t>
        </is>
      </c>
      <c r="E82" t="inlineStr">
        <is>
          <t>Lakeshore Management Inc (v0000666)</t>
        </is>
      </c>
      <c r="F82" t="inlineStr">
        <is>
          <t>lunchdinner during property visit for new homes</t>
        </is>
      </c>
      <c r="G82" s="5" t="n">
        <v>-30.57</v>
      </c>
      <c r="H82" t="inlineStr">
        <is>
          <t>AP</t>
        </is>
      </c>
    </row>
    <row r="83">
      <c r="A83" t="inlineStr">
        <is>
          <t>Bay City</t>
        </is>
      </c>
      <c r="B83" s="4" t="n">
        <v>46112</v>
      </c>
      <c r="C83" t="inlineStr">
        <is>
          <t>K-544969</t>
        </is>
      </c>
      <c r="D83" t="inlineStr">
        <is>
          <t>22666</t>
        </is>
      </c>
      <c r="E83" t="inlineStr">
        <is>
          <t>Lakeshore Management Inc (v0000666)</t>
        </is>
      </c>
      <c r="F83" t="inlineStr">
        <is>
          <t>lunch during property visit for new homes</t>
        </is>
      </c>
      <c r="G83" s="5" t="n">
        <v>-13.73</v>
      </c>
      <c r="H83" t="inlineStr">
        <is>
          <t>AP</t>
        </is>
      </c>
    </row>
    <row r="84">
      <c r="A84" t="inlineStr">
        <is>
          <t>Bay City</t>
        </is>
      </c>
      <c r="B84" s="4" t="n">
        <v>46112</v>
      </c>
      <c r="C84" t="inlineStr">
        <is>
          <t>K-544969</t>
        </is>
      </c>
      <c r="D84" t="inlineStr">
        <is>
          <t>22666</t>
        </is>
      </c>
      <c r="E84" t="inlineStr">
        <is>
          <t>Lakeshore Management Inc (v0000666)</t>
        </is>
      </c>
      <c r="F84" t="inlineStr">
        <is>
          <t>lunch during property visit for new homes</t>
        </is>
      </c>
      <c r="G84" s="5" t="n">
        <v>-14.97</v>
      </c>
      <c r="H84" t="inlineStr">
        <is>
          <t>AP</t>
        </is>
      </c>
    </row>
    <row r="85">
      <c r="A85" t="inlineStr">
        <is>
          <t>Bay City</t>
        </is>
      </c>
      <c r="B85" s="4" t="n">
        <v>46112</v>
      </c>
      <c r="C85" t="inlineStr">
        <is>
          <t>K-544969</t>
        </is>
      </c>
      <c r="D85" t="inlineStr">
        <is>
          <t>22666</t>
        </is>
      </c>
      <c r="E85" t="inlineStr">
        <is>
          <t>Lakeshore Management Inc (v0000666)</t>
        </is>
      </c>
      <c r="F85" t="inlineStr">
        <is>
          <t>stakes to mark new electric pedestal placement</t>
        </is>
      </c>
      <c r="G85" s="5" t="n">
        <v>-6.36</v>
      </c>
      <c r="H85" t="inlineStr">
        <is>
          <t>AP</t>
        </is>
      </c>
    </row>
    <row r="86">
      <c r="A86" t="inlineStr">
        <is>
          <t>Bay City</t>
        </is>
      </c>
      <c r="B86" s="4" t="n">
        <v>46112</v>
      </c>
      <c r="C86" t="inlineStr">
        <is>
          <t>K-544969</t>
        </is>
      </c>
      <c r="D86" t="inlineStr">
        <is>
          <t>22666</t>
        </is>
      </c>
      <c r="E86" t="inlineStr">
        <is>
          <t>Lakeshore Management Inc (v0000666)</t>
        </is>
      </c>
      <c r="F86" t="inlineStr">
        <is>
          <t>Staging inventory home towels pillows comforter glass ware vase</t>
        </is>
      </c>
      <c r="G86" s="5" t="n">
        <v>-59.25</v>
      </c>
      <c r="H86" t="inlineStr">
        <is>
          <t>AP</t>
        </is>
      </c>
    </row>
    <row r="87">
      <c r="A87" t="inlineStr">
        <is>
          <t>Bay City</t>
        </is>
      </c>
      <c r="B87" s="4" t="n">
        <v>46112</v>
      </c>
      <c r="C87" t="inlineStr">
        <is>
          <t>K-544969</t>
        </is>
      </c>
      <c r="D87" t="inlineStr">
        <is>
          <t>22666</t>
        </is>
      </c>
      <c r="E87" t="inlineStr">
        <is>
          <t>Lakeshore Management Inc (v0000666)</t>
        </is>
      </c>
      <c r="F87" t="inlineStr">
        <is>
          <t>Center Card regional allocation</t>
        </is>
      </c>
      <c r="G87" s="5" t="n">
        <v>-13.53</v>
      </c>
      <c r="H87" t="inlineStr">
        <is>
          <t>AP</t>
        </is>
      </c>
    </row>
    <row r="88">
      <c r="A88" t="inlineStr">
        <is>
          <t>Bay City</t>
        </is>
      </c>
      <c r="B88" s="4" t="n">
        <v>46112</v>
      </c>
      <c r="C88" t="inlineStr">
        <is>
          <t>K-544969</t>
        </is>
      </c>
      <c r="D88" t="inlineStr">
        <is>
          <t>22666</t>
        </is>
      </c>
      <c r="E88" t="inlineStr">
        <is>
          <t>Lakeshore Management Inc (v0000666)</t>
        </is>
      </c>
      <c r="F88" t="inlineStr">
        <is>
          <t>Center Card regional allocation</t>
        </is>
      </c>
      <c r="G88" s="5" t="n">
        <v>-97.3</v>
      </c>
      <c r="H88" t="inlineStr">
        <is>
          <t>AP</t>
        </is>
      </c>
    </row>
    <row r="89">
      <c r="A89" t="inlineStr">
        <is>
          <t>Bay City</t>
        </is>
      </c>
      <c r="B89" s="4" t="n">
        <v>46112</v>
      </c>
      <c r="C89" t="inlineStr">
        <is>
          <t>J-360719</t>
        </is>
      </c>
      <c r="D89" t="inlineStr">
        <is>
          <t>Park Mgmt Fees Mar 2026</t>
        </is>
      </c>
      <c r="E89" t="inlineStr">
        <is>
          <t>Park Mgmt Fees Mar 2026 :Reversed by J-360866</t>
        </is>
      </c>
      <c r="F89" t="inlineStr">
        <is>
          <t>Park Mgmt Fees Mar 2026 :Reversed by J-360866</t>
        </is>
      </c>
      <c r="G89" s="5" t="n">
        <v>-12356.33</v>
      </c>
      <c r="H89" t="inlineStr">
        <is>
          <t>AP</t>
        </is>
      </c>
    </row>
    <row r="90">
      <c r="A90" t="inlineStr">
        <is>
          <t>Bay City</t>
        </is>
      </c>
      <c r="B90" s="4" t="n">
        <v>46113</v>
      </c>
      <c r="C90" t="inlineStr">
        <is>
          <t>K-545525</t>
        </is>
      </c>
      <c r="D90" t="inlineStr">
        <is>
          <t>22667</t>
        </is>
      </c>
      <c r="E90" t="inlineStr">
        <is>
          <t>Lakeshore Management Inc (v0000666)</t>
        </is>
      </c>
      <c r="F90" t="inlineStr">
        <is>
          <t>WC 11-2025 to 11-2026</t>
        </is>
      </c>
      <c r="G90" s="5" t="n">
        <v>-639.52</v>
      </c>
      <c r="H90" t="inlineStr">
        <is>
          <t>AP</t>
        </is>
      </c>
    </row>
    <row r="91">
      <c r="A91" t="inlineStr">
        <is>
          <t>Bay City</t>
        </is>
      </c>
      <c r="B91" s="4" t="n">
        <v>46113</v>
      </c>
      <c r="C91" t="inlineStr">
        <is>
          <t>J-359045</t>
        </is>
      </c>
      <c r="D91" t="inlineStr">
        <is>
          <t>:Reversal of J-359040</t>
        </is>
      </c>
      <c r="E91" t="inlineStr">
        <is>
          <t>:Reversal of J-359040</t>
        </is>
      </c>
      <c r="F91" t="inlineStr">
        <is>
          <t>Accrue (161) Casa Verde MAR 2026 swap PB</t>
        </is>
      </c>
      <c r="G91" s="5" t="n">
        <v>-49435.06</v>
      </c>
      <c r="H91" t="inlineStr">
        <is>
          <t>AP</t>
        </is>
      </c>
    </row>
    <row r="92">
      <c r="A92" t="inlineStr">
        <is>
          <t>Bay City</t>
        </is>
      </c>
      <c r="B92" s="4" t="n">
        <v>46114</v>
      </c>
      <c r="C92" t="inlineStr">
        <is>
          <t>K-546195</t>
        </is>
      </c>
      <c r="D92" t="inlineStr">
        <is>
          <t>22669</t>
        </is>
      </c>
      <c r="E92" t="inlineStr">
        <is>
          <t>Lakeshore Management Inc (v0000666)</t>
        </is>
      </c>
      <c r="F92" t="inlineStr">
        <is>
          <t>MOBILE MEDICAL DEVICES 2026</t>
        </is>
      </c>
      <c r="G92" s="5" t="n">
        <v>-887.76</v>
      </c>
      <c r="H92" t="inlineStr">
        <is>
          <t>AP</t>
        </is>
      </c>
    </row>
    <row r="93">
      <c r="A93" t="inlineStr">
        <is>
          <t>Bay City</t>
        </is>
      </c>
      <c r="B93" s="4" t="n">
        <v>46114</v>
      </c>
      <c r="C93" t="inlineStr">
        <is>
          <t>K-546552</t>
        </is>
      </c>
      <c r="D93" t="inlineStr">
        <is>
          <t>22670</t>
        </is>
      </c>
      <c r="E93" t="inlineStr">
        <is>
          <t>LAKESHORE MANAGEMENT (v0004320)</t>
        </is>
      </c>
      <c r="F93" t="inlineStr">
        <is>
          <t>Management Fees</t>
        </is>
      </c>
      <c r="G93" s="5" t="n">
        <v>-12356.33</v>
      </c>
      <c r="H93" t="inlineStr">
        <is>
          <t>AP</t>
        </is>
      </c>
    </row>
    <row r="94">
      <c r="A94" t="inlineStr">
        <is>
          <t>Bay City</t>
        </is>
      </c>
      <c r="B94" s="4" t="n">
        <v>46121</v>
      </c>
      <c r="C94" t="inlineStr">
        <is>
          <t>K-548883</t>
        </is>
      </c>
      <c r="D94" t="inlineStr">
        <is>
          <t>22679</t>
        </is>
      </c>
      <c r="E94" t="inlineStr">
        <is>
          <t>BAY CITY MHC LLC (v0007539)</t>
        </is>
      </c>
      <c r="F94" t="inlineStr">
        <is>
          <t>PB PARKS FOR REFUND OF BROWN &amp; BROWN 2025 PREMIUM</t>
        </is>
      </c>
      <c r="G94" s="5" t="n">
        <v>-878</v>
      </c>
      <c r="H94" t="inlineStr">
        <is>
          <t>AP</t>
        </is>
      </c>
    </row>
    <row r="95">
      <c r="A95" t="inlineStr">
        <is>
          <t>Bay City</t>
        </is>
      </c>
      <c r="B95" s="4" t="n">
        <v>46126</v>
      </c>
      <c r="C95" t="inlineStr">
        <is>
          <t>K-549939</t>
        </is>
      </c>
      <c r="D95" t="inlineStr">
        <is>
          <t>1813</t>
        </is>
      </c>
      <c r="E95" t="inlineStr">
        <is>
          <t>Sussex County (v0007778)</t>
        </is>
      </c>
      <c r="F95" t="inlineStr">
        <is>
          <t>04/01/2026-06/30/2026-Sewer-08-02-034-89-SEWER 1-25818 BERRY ST BAY CITY LOT 89</t>
        </is>
      </c>
      <c r="G95" s="5" t="n">
        <v>-88</v>
      </c>
      <c r="H95" t="inlineStr">
        <is>
          <t>AP</t>
        </is>
      </c>
    </row>
    <row r="96">
      <c r="A96" t="inlineStr">
        <is>
          <t>Bay City</t>
        </is>
      </c>
      <c r="B96" s="4" t="n">
        <v>46126</v>
      </c>
      <c r="C96" t="inlineStr">
        <is>
          <t>K-549939</t>
        </is>
      </c>
      <c r="D96" t="inlineStr">
        <is>
          <t>1813</t>
        </is>
      </c>
      <c r="E96" t="inlineStr">
        <is>
          <t>Sussex County (v0007778)</t>
        </is>
      </c>
      <c r="F96" t="inlineStr">
        <is>
          <t>04/01/2026-06/30/2026-Sewer-08-02-034-0-SEWER 17-BAY CITY LOT 0</t>
        </is>
      </c>
      <c r="G96" s="5" t="n">
        <v>-88</v>
      </c>
      <c r="H96" t="inlineStr">
        <is>
          <t>AP</t>
        </is>
      </c>
    </row>
    <row r="97">
      <c r="A97" t="inlineStr">
        <is>
          <t>Bay City</t>
        </is>
      </c>
      <c r="B97" s="4" t="n">
        <v>46127</v>
      </c>
      <c r="C97" t="inlineStr">
        <is>
          <t>K-550563</t>
        </is>
      </c>
      <c r="D97" t="inlineStr">
        <is>
          <t>1817</t>
        </is>
      </c>
      <c r="E97" t="inlineStr">
        <is>
          <t>Sussex County (v0007778)</t>
        </is>
      </c>
      <c r="F97" t="inlineStr">
        <is>
          <t>04/01/2026-06/30/2026-Sewer-08-02-034-D21-SEWER 21-35264 5TH ST BAY CITY LOT D21</t>
        </is>
      </c>
      <c r="G97" s="5" t="n">
        <v>-168.26</v>
      </c>
      <c r="H97" t="inlineStr">
        <is>
          <t>AP</t>
        </is>
      </c>
    </row>
    <row r="98">
      <c r="A98" t="inlineStr">
        <is>
          <t>Bay City</t>
        </is>
      </c>
      <c r="B98" s="4" t="n">
        <v>46127</v>
      </c>
      <c r="C98" t="inlineStr">
        <is>
          <t>K-550563</t>
        </is>
      </c>
      <c r="D98" t="inlineStr">
        <is>
          <t>1817</t>
        </is>
      </c>
      <c r="E98" t="inlineStr">
        <is>
          <t>Sussex County (v0007778)</t>
        </is>
      </c>
      <c r="F98" t="inlineStr">
        <is>
          <t>04/01/2026-06/30/2026-Sewer-08-02-034-E17-SEWER 17-BAY CITY LOT E17</t>
        </is>
      </c>
      <c r="G98" s="5" t="n">
        <v>-88</v>
      </c>
      <c r="H98" t="inlineStr">
        <is>
          <t>AP</t>
        </is>
      </c>
    </row>
    <row r="99">
      <c r="A99" t="inlineStr">
        <is>
          <t>Bay City</t>
        </is>
      </c>
      <c r="B99" s="4" t="n">
        <v>46129</v>
      </c>
      <c r="C99" t="inlineStr">
        <is>
          <t>K-551516</t>
        </is>
      </c>
      <c r="D99" t="inlineStr">
        <is>
          <t>1822</t>
        </is>
      </c>
      <c r="E99" t="inlineStr">
        <is>
          <t>A-1 Sanitation Service Inc. (v0008040)</t>
        </is>
      </c>
      <c r="F99" t="inlineStr">
        <is>
          <t>HANDICAP UNIT</t>
        </is>
      </c>
      <c r="G99" s="5" t="n">
        <v>-250.46</v>
      </c>
      <c r="H99" t="inlineStr">
        <is>
          <t>AP</t>
        </is>
      </c>
    </row>
    <row r="100">
      <c r="A100" t="inlineStr">
        <is>
          <t>Bay City</t>
        </is>
      </c>
      <c r="B100" s="4" t="n">
        <v>46136</v>
      </c>
      <c r="C100" t="inlineStr">
        <is>
          <t>K-553075</t>
        </is>
      </c>
      <c r="D100" t="inlineStr">
        <is>
          <t>1826</t>
        </is>
      </c>
      <c r="E100" t="inlineStr">
        <is>
          <t>Sign It Quick (v0000981)</t>
        </is>
      </c>
      <c r="F100" t="inlineStr">
        <is>
          <t>Signs</t>
        </is>
      </c>
      <c r="G100" s="5" t="n">
        <v>-171.25</v>
      </c>
      <c r="H100" t="inlineStr">
        <is>
          <t>AP</t>
        </is>
      </c>
    </row>
    <row r="101">
      <c r="A101" t="inlineStr">
        <is>
          <t>Bay City</t>
        </is>
      </c>
      <c r="B101" s="4" t="n">
        <v>46136</v>
      </c>
      <c r="C101" t="inlineStr">
        <is>
          <t>K-553076</t>
        </is>
      </c>
      <c r="D101" t="inlineStr">
        <is>
          <t>1827</t>
        </is>
      </c>
      <c r="E101" t="inlineStr">
        <is>
          <t>Guardian Property Services (v0011491)</t>
        </is>
      </c>
      <c r="F101" t="inlineStr">
        <is>
          <t>Office gutters</t>
        </is>
      </c>
      <c r="G101" s="5" t="n">
        <v>-853.5</v>
      </c>
      <c r="H101" t="inlineStr">
        <is>
          <t>AP</t>
        </is>
      </c>
    </row>
    <row r="102">
      <c r="A102" t="inlineStr">
        <is>
          <t>Bay City</t>
        </is>
      </c>
      <c r="B102" s="4" t="n">
        <v>46139</v>
      </c>
      <c r="C102" t="inlineStr">
        <is>
          <t>K-553649</t>
        </is>
      </c>
      <c r="D102" t="inlineStr">
        <is>
          <t>1828</t>
        </is>
      </c>
      <c r="E102" t="inlineStr">
        <is>
          <t>Core Integrated Marketing (v0000301)</t>
        </is>
      </c>
      <c r="F102" t="inlineStr">
        <is>
          <t>CAT ENV, MAIL SERVICE/PREP AND LETTER 1 SIDED.</t>
        </is>
      </c>
      <c r="G102" s="5" t="n">
        <v>-190.28</v>
      </c>
      <c r="H102" t="inlineStr">
        <is>
          <t>AP</t>
        </is>
      </c>
    </row>
    <row r="103">
      <c r="A103" t="inlineStr">
        <is>
          <t>Bay City</t>
        </is>
      </c>
      <c r="B103" s="4" t="n">
        <v>46139</v>
      </c>
      <c r="C103" t="inlineStr">
        <is>
          <t>K-553649</t>
        </is>
      </c>
      <c r="D103" t="inlineStr">
        <is>
          <t>1828</t>
        </is>
      </c>
      <c r="E103" t="inlineStr">
        <is>
          <t>Core Integrated Marketing (v0000301)</t>
        </is>
      </c>
      <c r="F103" t="inlineStr">
        <is>
          <t>CAT ENV, MAIL SERVICE/PREP AND N LETTER1 SIDED.</t>
        </is>
      </c>
      <c r="G103" s="5" t="n">
        <v>-468.76</v>
      </c>
      <c r="H103" t="inlineStr">
        <is>
          <t>AP</t>
        </is>
      </c>
    </row>
    <row r="104">
      <c r="A104" t="inlineStr">
        <is>
          <t>Bay City</t>
        </is>
      </c>
      <c r="B104" s="4" t="n">
        <v>46139</v>
      </c>
      <c r="C104" t="inlineStr">
        <is>
          <t>K-553676</t>
        </is>
      </c>
      <c r="D104" t="inlineStr">
        <is>
          <t>1829</t>
        </is>
      </c>
      <c r="E104" t="inlineStr">
        <is>
          <t>Staples Bus (v0001011)</t>
        </is>
      </c>
      <c r="F104" t="inlineStr">
        <is>
          <t>ORDER# 7914809779-000-001 BY GLORIA LAMONACA</t>
        </is>
      </c>
      <c r="G104" s="5" t="n">
        <v>-1231.82</v>
      </c>
      <c r="H104" t="inlineStr">
        <is>
          <t>AP</t>
        </is>
      </c>
    </row>
    <row r="105">
      <c r="A105" t="inlineStr">
        <is>
          <t>Bay City</t>
        </is>
      </c>
      <c r="B105" s="4" t="n">
        <v>46139</v>
      </c>
      <c r="C105" t="inlineStr">
        <is>
          <t>K-553676</t>
        </is>
      </c>
      <c r="D105" t="inlineStr">
        <is>
          <t>1829</t>
        </is>
      </c>
      <c r="E105" t="inlineStr">
        <is>
          <t>Staples Bus (v0001011)</t>
        </is>
      </c>
      <c r="F105" t="inlineStr">
        <is>
          <t>ORDER# 7679035254-000-001 BY TINA CARLTON</t>
        </is>
      </c>
      <c r="G105" s="5" t="n">
        <v>-389.21</v>
      </c>
      <c r="H105" t="inlineStr">
        <is>
          <t>AP</t>
        </is>
      </c>
    </row>
    <row r="106">
      <c r="A106" t="inlineStr">
        <is>
          <t>Bay City</t>
        </is>
      </c>
      <c r="B106" s="4" t="n">
        <v>46139</v>
      </c>
      <c r="C106" t="inlineStr">
        <is>
          <t>K-553676</t>
        </is>
      </c>
      <c r="D106" t="inlineStr">
        <is>
          <t>1829</t>
        </is>
      </c>
      <c r="E106" t="inlineStr">
        <is>
          <t>Staples Bus (v0001011)</t>
        </is>
      </c>
      <c r="F106" t="inlineStr">
        <is>
          <t>ORDER# 7679035254-000-002 BY TINA CARLTON</t>
        </is>
      </c>
      <c r="G106" s="5" t="n">
        <v>-45.99</v>
      </c>
      <c r="H106" t="inlineStr">
        <is>
          <t>AP</t>
        </is>
      </c>
    </row>
    <row r="107">
      <c r="A107" t="inlineStr">
        <is>
          <t>Bay City</t>
        </is>
      </c>
      <c r="B107" s="4" t="n">
        <v>46141</v>
      </c>
      <c r="C107" t="inlineStr">
        <is>
          <t>K-554152</t>
        </is>
      </c>
      <c r="D107" t="inlineStr">
        <is>
          <t>1831</t>
        </is>
      </c>
      <c r="E107" t="inlineStr">
        <is>
          <t>Delaware Electric Cooperative Inc (v0007699)</t>
        </is>
      </c>
      <c r="F107" t="inlineStr">
        <is>
          <t>03/26/2026-04/24/2026-Electric-5220205-ELECTRIC 1-BAY CITY</t>
        </is>
      </c>
      <c r="G107" s="5" t="n">
        <v>-718.85</v>
      </c>
      <c r="H107" t="inlineStr">
        <is>
          <t>AP</t>
        </is>
      </c>
    </row>
    <row r="108">
      <c r="A108" t="inlineStr">
        <is>
          <t>Bay City</t>
        </is>
      </c>
      <c r="B108" s="4" t="n">
        <v>46142</v>
      </c>
      <c r="C108" t="inlineStr">
        <is>
          <t>K-554198</t>
        </is>
      </c>
      <c r="D108" t="inlineStr">
        <is>
          <t>22695</t>
        </is>
      </c>
      <c r="E108" t="inlineStr">
        <is>
          <t>BAY CITY SD NT (v0008241)</t>
        </is>
      </c>
      <c r="F108" t="inlineStr">
        <is>
          <t>04-2026 transfer funds for SD activity</t>
        </is>
      </c>
      <c r="G108" s="5" t="n">
        <v>-1000</v>
      </c>
      <c r="H108" t="inlineStr">
        <is>
          <t>AP</t>
        </is>
      </c>
    </row>
    <row r="109">
      <c r="A109" t="inlineStr">
        <is>
          <t>Bay City</t>
        </is>
      </c>
      <c r="B109" s="4" t="n">
        <v>46142</v>
      </c>
      <c r="C109" t="inlineStr">
        <is>
          <t>K-554354</t>
        </is>
      </c>
      <c r="D109" t="inlineStr">
        <is>
          <t>22696</t>
        </is>
      </c>
      <c r="E109" t="inlineStr">
        <is>
          <t>AMX-PB LAKESHORE MANAGEMENT INC. (v0001555)</t>
        </is>
      </c>
      <c r="F109" t="inlineStr">
        <is>
          <t>mh village ads 03.07.26</t>
        </is>
      </c>
      <c r="G109" s="5" t="n">
        <v>-22.85</v>
      </c>
      <c r="H109" t="inlineStr">
        <is>
          <t>AP</t>
        </is>
      </c>
    </row>
    <row r="110">
      <c r="A110" t="inlineStr">
        <is>
          <t>Bay City</t>
        </is>
      </c>
      <c r="B110" s="4" t="n">
        <v>46142</v>
      </c>
      <c r="C110" t="inlineStr">
        <is>
          <t>K-554354</t>
        </is>
      </c>
      <c r="D110" t="inlineStr">
        <is>
          <t>22696</t>
        </is>
      </c>
      <c r="E110" t="inlineStr">
        <is>
          <t>AMX-PB LAKESHORE MANAGEMENT INC. (v0001555)</t>
        </is>
      </c>
      <c r="F110" t="inlineStr">
        <is>
          <t>Amex PB W2165149 DR431CL DR431CL DRUM UNIT MFCL8610CDW L-SUPL SUPL Gloria Lamonaca 161bct</t>
        </is>
      </c>
      <c r="G110" s="5" t="n">
        <v>-184.28</v>
      </c>
      <c r="H110" t="inlineStr">
        <is>
          <t>AP</t>
        </is>
      </c>
    </row>
    <row r="111">
      <c r="A111" t="inlineStr">
        <is>
          <t>Bay City</t>
        </is>
      </c>
      <c r="B111" s="4" t="n">
        <v>46142</v>
      </c>
      <c r="C111" t="inlineStr">
        <is>
          <t>K-554718</t>
        </is>
      </c>
      <c r="D111" t="inlineStr">
        <is>
          <t>1832</t>
        </is>
      </c>
      <c r="E111" t="inlineStr">
        <is>
          <t>Yes Energy Management, Inc. (v0002908)</t>
        </is>
      </c>
      <c r="F111" t="inlineStr">
        <is>
          <t>Utility Invoice Processing (UEM) 03/01/2026 - 03/31/2026 Inv# 1413826</t>
        </is>
      </c>
      <c r="G111" s="5" t="n">
        <v>-49</v>
      </c>
      <c r="H111" t="inlineStr">
        <is>
          <t>AP</t>
        </is>
      </c>
    </row>
    <row r="112">
      <c r="A112" t="inlineStr">
        <is>
          <t>Bay City</t>
        </is>
      </c>
      <c r="B112" s="4" t="n">
        <v>46142</v>
      </c>
      <c r="C112" t="inlineStr">
        <is>
          <t>K-554853</t>
        </is>
      </c>
      <c r="D112" t="inlineStr">
        <is>
          <t>22697</t>
        </is>
      </c>
      <c r="E112" t="inlineStr">
        <is>
          <t>Lakeshore Management Inc (v0000666)</t>
        </is>
      </c>
      <c r="F112" t="inlineStr">
        <is>
          <t>Feather flag pole kits</t>
        </is>
      </c>
      <c r="G112" s="5" t="n">
        <v>-495.92</v>
      </c>
      <c r="H112" t="inlineStr">
        <is>
          <t>AP</t>
        </is>
      </c>
    </row>
    <row r="113">
      <c r="A113" t="inlineStr">
        <is>
          <t>Bay City</t>
        </is>
      </c>
      <c r="B113" s="4" t="n">
        <v>46142</v>
      </c>
      <c r="C113" t="inlineStr">
        <is>
          <t>K-554853</t>
        </is>
      </c>
      <c r="D113" t="inlineStr">
        <is>
          <t>22697</t>
        </is>
      </c>
      <c r="E113" t="inlineStr">
        <is>
          <t>Lakeshore Management Inc (v0000666)</t>
        </is>
      </c>
      <c r="F113" t="inlineStr">
        <is>
          <t>Paper towels chips chocolate and microwave for clubhouse</t>
        </is>
      </c>
      <c r="G113" s="5" t="n">
        <v>-136.79</v>
      </c>
      <c r="H113" t="inlineStr">
        <is>
          <t>AP</t>
        </is>
      </c>
    </row>
    <row r="114">
      <c r="A114" t="inlineStr">
        <is>
          <t>Bay City</t>
        </is>
      </c>
      <c r="B114" s="4" t="n">
        <v>46142</v>
      </c>
      <c r="C114" t="inlineStr">
        <is>
          <t>K-554853</t>
        </is>
      </c>
      <c r="D114" t="inlineStr">
        <is>
          <t>22697</t>
        </is>
      </c>
      <c r="E114" t="inlineStr">
        <is>
          <t>Lakeshore Management Inc (v0000666)</t>
        </is>
      </c>
      <c r="F114" t="inlineStr">
        <is>
          <t>lunch</t>
        </is>
      </c>
      <c r="G114" s="5" t="n">
        <v>-100.13</v>
      </c>
      <c r="H114" t="inlineStr">
        <is>
          <t>AP</t>
        </is>
      </c>
    </row>
    <row r="115">
      <c r="A115" t="inlineStr">
        <is>
          <t>Bay City</t>
        </is>
      </c>
      <c r="B115" s="4" t="n">
        <v>46142</v>
      </c>
      <c r="C115" t="inlineStr">
        <is>
          <t>K-554853</t>
        </is>
      </c>
      <c r="D115" t="inlineStr">
        <is>
          <t>22697</t>
        </is>
      </c>
      <c r="E115" t="inlineStr">
        <is>
          <t>Lakeshore Management Inc (v0000666)</t>
        </is>
      </c>
      <c r="F115" t="inlineStr">
        <is>
          <t>Plant for new homeowner</t>
        </is>
      </c>
      <c r="G115" s="5" t="n">
        <v>-39.99</v>
      </c>
      <c r="H115" t="inlineStr">
        <is>
          <t>AP</t>
        </is>
      </c>
    </row>
    <row r="116">
      <c r="A116" t="inlineStr">
        <is>
          <t>Bay City</t>
        </is>
      </c>
      <c r="B116" s="4" t="n">
        <v>46142</v>
      </c>
      <c r="C116" t="inlineStr">
        <is>
          <t>K-554853</t>
        </is>
      </c>
      <c r="D116" t="inlineStr">
        <is>
          <t>22697</t>
        </is>
      </c>
      <c r="E116" t="inlineStr">
        <is>
          <t>Lakeshore Management Inc (v0000666)</t>
        </is>
      </c>
      <c r="F116" t="inlineStr">
        <is>
          <t>Resident luncheon</t>
        </is>
      </c>
      <c r="G116" s="5" t="n">
        <v>-81.27</v>
      </c>
      <c r="H116" t="inlineStr">
        <is>
          <t>AP</t>
        </is>
      </c>
    </row>
    <row r="117">
      <c r="A117" t="inlineStr">
        <is>
          <t>Bay City</t>
        </is>
      </c>
      <c r="B117" s="4" t="n">
        <v>46142</v>
      </c>
      <c r="C117" t="inlineStr">
        <is>
          <t>K-554853</t>
        </is>
      </c>
      <c r="D117" t="inlineStr">
        <is>
          <t>22697</t>
        </is>
      </c>
      <c r="E117" t="inlineStr">
        <is>
          <t>Lakeshore Management Inc (v0000666)</t>
        </is>
      </c>
      <c r="F117" t="inlineStr">
        <is>
          <t>Resident luncheon</t>
        </is>
      </c>
      <c r="G117" s="5" t="n">
        <v>-23.2</v>
      </c>
      <c r="H117" t="inlineStr">
        <is>
          <t>AP</t>
        </is>
      </c>
    </row>
    <row r="118">
      <c r="A118" t="inlineStr">
        <is>
          <t>Bay City</t>
        </is>
      </c>
      <c r="B118" s="4" t="n">
        <v>46142</v>
      </c>
      <c r="C118" t="inlineStr">
        <is>
          <t>K-554853</t>
        </is>
      </c>
      <c r="D118" t="inlineStr">
        <is>
          <t>22697</t>
        </is>
      </c>
      <c r="E118" t="inlineStr">
        <is>
          <t>Lakeshore Management Inc (v0000666)</t>
        </is>
      </c>
      <c r="F118" t="inlineStr">
        <is>
          <t>Resident luncheon</t>
        </is>
      </c>
      <c r="G118" s="5" t="n">
        <v>-64.98999999999999</v>
      </c>
      <c r="H118" t="inlineStr">
        <is>
          <t>AP</t>
        </is>
      </c>
    </row>
    <row r="119">
      <c r="A119" t="inlineStr">
        <is>
          <t>Bay City</t>
        </is>
      </c>
      <c r="B119" s="4" t="n">
        <v>46142</v>
      </c>
      <c r="C119" t="inlineStr">
        <is>
          <t>K-554853</t>
        </is>
      </c>
      <c r="D119" t="inlineStr">
        <is>
          <t>22697</t>
        </is>
      </c>
      <c r="E119" t="inlineStr">
        <is>
          <t>Lakeshore Management Inc (v0000666)</t>
        </is>
      </c>
      <c r="F119" t="inlineStr">
        <is>
          <t>Basket for family of resident who passed away</t>
        </is>
      </c>
      <c r="G119" s="5" t="n">
        <v>-144.98</v>
      </c>
      <c r="H119" t="inlineStr">
        <is>
          <t>AP</t>
        </is>
      </c>
    </row>
    <row r="120">
      <c r="A120" t="inlineStr">
        <is>
          <t>Bay City</t>
        </is>
      </c>
      <c r="B120" s="4" t="n">
        <v>46142</v>
      </c>
      <c r="C120" t="inlineStr">
        <is>
          <t>K-554853</t>
        </is>
      </c>
      <c r="D120" t="inlineStr">
        <is>
          <t>22697</t>
        </is>
      </c>
      <c r="E120" t="inlineStr">
        <is>
          <t>Lakeshore Management Inc (v0000666)</t>
        </is>
      </c>
      <c r="F120" t="inlineStr">
        <is>
          <t>Dump debris from community</t>
        </is>
      </c>
      <c r="G120" s="5" t="n">
        <v>-21.6</v>
      </c>
      <c r="H120" t="inlineStr">
        <is>
          <t>AP</t>
        </is>
      </c>
    </row>
    <row r="121">
      <c r="A121" t="inlineStr">
        <is>
          <t>Bay City</t>
        </is>
      </c>
      <c r="B121" s="4" t="n">
        <v>46142</v>
      </c>
      <c r="C121" t="inlineStr">
        <is>
          <t>K-554853</t>
        </is>
      </c>
      <c r="D121" t="inlineStr">
        <is>
          <t>22697</t>
        </is>
      </c>
      <c r="E121" t="inlineStr">
        <is>
          <t>Lakeshore Management Inc (v0000666)</t>
        </is>
      </c>
      <c r="F121" t="inlineStr">
        <is>
          <t>Dump debris from community</t>
        </is>
      </c>
      <c r="G121" s="5" t="n">
        <v>-32.8</v>
      </c>
      <c r="H121" t="inlineStr">
        <is>
          <t>AP</t>
        </is>
      </c>
    </row>
    <row r="122">
      <c r="A122" t="inlineStr">
        <is>
          <t>Bay City</t>
        </is>
      </c>
      <c r="B122" s="4" t="n">
        <v>46142</v>
      </c>
      <c r="C122" t="inlineStr">
        <is>
          <t>K-554853</t>
        </is>
      </c>
      <c r="D122" t="inlineStr">
        <is>
          <t>22697</t>
        </is>
      </c>
      <c r="E122" t="inlineStr">
        <is>
          <t>Lakeshore Management Inc (v0000666)</t>
        </is>
      </c>
      <c r="F122" t="inlineStr">
        <is>
          <t>Dump debris from community</t>
        </is>
      </c>
      <c r="G122" s="5" t="n">
        <v>-12.8</v>
      </c>
      <c r="H122" t="inlineStr">
        <is>
          <t>AP</t>
        </is>
      </c>
    </row>
    <row r="123">
      <c r="A123" t="inlineStr">
        <is>
          <t>Bay City</t>
        </is>
      </c>
      <c r="B123" s="4" t="n">
        <v>46142</v>
      </c>
      <c r="C123" t="inlineStr">
        <is>
          <t>K-554853</t>
        </is>
      </c>
      <c r="D123" t="inlineStr">
        <is>
          <t>22697</t>
        </is>
      </c>
      <c r="E123" t="inlineStr">
        <is>
          <t>Lakeshore Management Inc (v0000666)</t>
        </is>
      </c>
      <c r="F123" t="inlineStr">
        <is>
          <t>truck wash</t>
        </is>
      </c>
      <c r="G123" s="5" t="n">
        <v>-29.99</v>
      </c>
      <c r="H123" t="inlineStr">
        <is>
          <t>AP</t>
        </is>
      </c>
    </row>
    <row r="124">
      <c r="A124" t="inlineStr">
        <is>
          <t>Bay City</t>
        </is>
      </c>
      <c r="B124" s="4" t="n">
        <v>46142</v>
      </c>
      <c r="C124" t="inlineStr">
        <is>
          <t>K-554853</t>
        </is>
      </c>
      <c r="D124" t="inlineStr">
        <is>
          <t>22697</t>
        </is>
      </c>
      <c r="E124" t="inlineStr">
        <is>
          <t>Lakeshore Management Inc (v0000666)</t>
        </is>
      </c>
      <c r="F124" t="inlineStr">
        <is>
          <t>Interior truck cleaning</t>
        </is>
      </c>
      <c r="G124" s="5" t="n">
        <v>-10</v>
      </c>
      <c r="H124" t="inlineStr">
        <is>
          <t>AP</t>
        </is>
      </c>
    </row>
    <row r="125">
      <c r="A125" t="inlineStr">
        <is>
          <t>Bay City</t>
        </is>
      </c>
      <c r="B125" s="4" t="n">
        <v>46142</v>
      </c>
      <c r="C125" t="inlineStr">
        <is>
          <t>K-554853</t>
        </is>
      </c>
      <c r="D125" t="inlineStr">
        <is>
          <t>22697</t>
        </is>
      </c>
      <c r="E125" t="inlineStr">
        <is>
          <t>Lakeshore Management Inc (v0000666)</t>
        </is>
      </c>
      <c r="F125" t="inlineStr">
        <is>
          <t>Bumper repair</t>
        </is>
      </c>
      <c r="G125" s="5" t="n">
        <v>-1357.85</v>
      </c>
      <c r="H125" t="inlineStr">
        <is>
          <t>AP</t>
        </is>
      </c>
    </row>
    <row r="126">
      <c r="A126" t="inlineStr">
        <is>
          <t>Bay City</t>
        </is>
      </c>
      <c r="B126" s="4" t="n">
        <v>46142</v>
      </c>
      <c r="C126" t="inlineStr">
        <is>
          <t>K-554853</t>
        </is>
      </c>
      <c r="D126" t="inlineStr">
        <is>
          <t>22697</t>
        </is>
      </c>
      <c r="E126" t="inlineStr">
        <is>
          <t>Lakeshore Management Inc (v0000666)</t>
        </is>
      </c>
      <c r="F126" t="inlineStr">
        <is>
          <t>Hydraulic jack</t>
        </is>
      </c>
      <c r="G126" s="5" t="n">
        <v>-62.98</v>
      </c>
      <c r="H126" t="inlineStr">
        <is>
          <t>AP</t>
        </is>
      </c>
    </row>
    <row r="127">
      <c r="A127" t="inlineStr">
        <is>
          <t>Bay City</t>
        </is>
      </c>
      <c r="B127" s="4" t="n">
        <v>46142</v>
      </c>
      <c r="C127" t="inlineStr">
        <is>
          <t>K-554853</t>
        </is>
      </c>
      <c r="D127" t="inlineStr">
        <is>
          <t>22697</t>
        </is>
      </c>
      <c r="E127" t="inlineStr">
        <is>
          <t>Lakeshore Management Inc (v0000666)</t>
        </is>
      </c>
      <c r="F127" t="inlineStr">
        <is>
          <t>Tools</t>
        </is>
      </c>
      <c r="G127" s="5" t="n">
        <v>-53.92</v>
      </c>
      <c r="H127" t="inlineStr">
        <is>
          <t>AP</t>
        </is>
      </c>
    </row>
    <row r="128">
      <c r="A128" t="inlineStr">
        <is>
          <t>Bay City</t>
        </is>
      </c>
      <c r="B128" s="4" t="n">
        <v>46142</v>
      </c>
      <c r="C128" t="inlineStr">
        <is>
          <t>K-554853</t>
        </is>
      </c>
      <c r="D128" t="inlineStr">
        <is>
          <t>22697</t>
        </is>
      </c>
      <c r="E128" t="inlineStr">
        <is>
          <t>Lakeshore Management Inc (v0000666)</t>
        </is>
      </c>
      <c r="F128" t="inlineStr">
        <is>
          <t>Dock screws</t>
        </is>
      </c>
      <c r="G128" s="5" t="n">
        <v>-1345</v>
      </c>
      <c r="H128" t="inlineStr">
        <is>
          <t>AP</t>
        </is>
      </c>
    </row>
    <row r="129">
      <c r="A129" t="inlineStr">
        <is>
          <t>Bay City</t>
        </is>
      </c>
      <c r="B129" s="4" t="n">
        <v>46142</v>
      </c>
      <c r="C129" t="inlineStr">
        <is>
          <t>K-554853</t>
        </is>
      </c>
      <c r="D129" t="inlineStr">
        <is>
          <t>22697</t>
        </is>
      </c>
      <c r="E129" t="inlineStr">
        <is>
          <t>Lakeshore Management Inc (v0000666)</t>
        </is>
      </c>
      <c r="F129" t="inlineStr">
        <is>
          <t>New mailboxes for Main St</t>
        </is>
      </c>
      <c r="G129" s="5" t="n">
        <v>-498.25</v>
      </c>
      <c r="H129" t="inlineStr">
        <is>
          <t>AP</t>
        </is>
      </c>
    </row>
    <row r="130">
      <c r="A130" t="inlineStr">
        <is>
          <t>Bay City</t>
        </is>
      </c>
      <c r="B130" s="4" t="n">
        <v>46142</v>
      </c>
      <c r="C130" t="inlineStr">
        <is>
          <t>K-554853</t>
        </is>
      </c>
      <c r="D130" t="inlineStr">
        <is>
          <t>22697</t>
        </is>
      </c>
      <c r="E130" t="inlineStr">
        <is>
          <t>Lakeshore Management Inc (v0000666)</t>
        </is>
      </c>
      <c r="F130" t="inlineStr">
        <is>
          <t>Marine rope for docks</t>
        </is>
      </c>
      <c r="G130" s="5" t="n">
        <v>-197.98</v>
      </c>
      <c r="H130" t="inlineStr">
        <is>
          <t>AP</t>
        </is>
      </c>
    </row>
    <row r="131">
      <c r="A131" t="inlineStr">
        <is>
          <t>Bay City</t>
        </is>
      </c>
      <c r="B131" s="4" t="n">
        <v>46142</v>
      </c>
      <c r="C131" t="inlineStr">
        <is>
          <t>K-554853</t>
        </is>
      </c>
      <c r="D131" t="inlineStr">
        <is>
          <t>22697</t>
        </is>
      </c>
      <c r="E131" t="inlineStr">
        <is>
          <t>Lakeshore Management Inc (v0000666)</t>
        </is>
      </c>
      <c r="F131" t="inlineStr">
        <is>
          <t>Light bulbs for the office</t>
        </is>
      </c>
      <c r="G131" s="5" t="n">
        <v>-30.95</v>
      </c>
      <c r="H131" t="inlineStr">
        <is>
          <t>AP</t>
        </is>
      </c>
    </row>
    <row r="132">
      <c r="A132" t="inlineStr">
        <is>
          <t>Bay City</t>
        </is>
      </c>
      <c r="B132" s="4" t="n">
        <v>46142</v>
      </c>
      <c r="C132" t="inlineStr">
        <is>
          <t>K-554853</t>
        </is>
      </c>
      <c r="D132" t="inlineStr">
        <is>
          <t>22697</t>
        </is>
      </c>
      <c r="E132" t="inlineStr">
        <is>
          <t>Lakeshore Management Inc (v0000666)</t>
        </is>
      </c>
      <c r="F132" t="inlineStr">
        <is>
          <t>HVAC repairs</t>
        </is>
      </c>
      <c r="G132" s="5" t="n">
        <v>-248.5</v>
      </c>
      <c r="H132" t="inlineStr">
        <is>
          <t>AP</t>
        </is>
      </c>
    </row>
    <row r="133">
      <c r="A133" t="inlineStr">
        <is>
          <t>Bay City</t>
        </is>
      </c>
      <c r="B133" s="4" t="n">
        <v>46142</v>
      </c>
      <c r="C133" t="inlineStr">
        <is>
          <t>K-554853</t>
        </is>
      </c>
      <c r="D133" t="inlineStr">
        <is>
          <t>22697</t>
        </is>
      </c>
      <c r="E133" t="inlineStr">
        <is>
          <t>Lakeshore Management Inc (v0000666)</t>
        </is>
      </c>
      <c r="F133" t="inlineStr">
        <is>
          <t>clubhouse Shower curtain rod hooks for managers bathroom</t>
        </is>
      </c>
      <c r="G133" s="5" t="n">
        <v>-32.09</v>
      </c>
      <c r="H133" t="inlineStr">
        <is>
          <t>AP</t>
        </is>
      </c>
    </row>
    <row r="134">
      <c r="A134" t="inlineStr">
        <is>
          <t>Bay City</t>
        </is>
      </c>
      <c r="B134" s="4" t="n">
        <v>46142</v>
      </c>
      <c r="C134" t="inlineStr">
        <is>
          <t>K-554853</t>
        </is>
      </c>
      <c r="D134" t="inlineStr">
        <is>
          <t>22697</t>
        </is>
      </c>
      <c r="E134" t="inlineStr">
        <is>
          <t>Lakeshore Management Inc (v0000666)</t>
        </is>
      </c>
      <c r="F134" t="inlineStr">
        <is>
          <t>HVAC repairs</t>
        </is>
      </c>
      <c r="G134" s="5" t="n">
        <v>-159</v>
      </c>
      <c r="H134" t="inlineStr">
        <is>
          <t>AP</t>
        </is>
      </c>
    </row>
    <row r="135">
      <c r="A135" t="inlineStr">
        <is>
          <t>Bay City</t>
        </is>
      </c>
      <c r="B135" s="4" t="n">
        <v>46142</v>
      </c>
      <c r="C135" t="inlineStr">
        <is>
          <t>K-554853</t>
        </is>
      </c>
      <c r="D135" t="inlineStr">
        <is>
          <t>22697</t>
        </is>
      </c>
      <c r="E135" t="inlineStr">
        <is>
          <t>Lakeshore Management Inc (v0000666)</t>
        </is>
      </c>
      <c r="F135" t="inlineStr">
        <is>
          <t>Diesel Fuel for tractors</t>
        </is>
      </c>
      <c r="G135" s="5" t="n">
        <v>-48.2</v>
      </c>
      <c r="H135" t="inlineStr">
        <is>
          <t>AP</t>
        </is>
      </c>
    </row>
    <row r="136">
      <c r="A136" t="inlineStr">
        <is>
          <t>Bay City</t>
        </is>
      </c>
      <c r="B136" s="4" t="n">
        <v>46142</v>
      </c>
      <c r="C136" t="inlineStr">
        <is>
          <t>K-554853</t>
        </is>
      </c>
      <c r="D136" t="inlineStr">
        <is>
          <t>22697</t>
        </is>
      </c>
      <c r="E136" t="inlineStr">
        <is>
          <t>Lakeshore Management Inc (v0000666)</t>
        </is>
      </c>
      <c r="F136" t="inlineStr">
        <is>
          <t>Monthly Team Lunch</t>
        </is>
      </c>
      <c r="G136" s="5" t="n">
        <v>-70.54000000000001</v>
      </c>
      <c r="H136" t="inlineStr">
        <is>
          <t>AP</t>
        </is>
      </c>
    </row>
    <row r="137">
      <c r="A137" t="inlineStr">
        <is>
          <t>Bay City</t>
        </is>
      </c>
      <c r="B137" s="4" t="n">
        <v>46142</v>
      </c>
      <c r="C137" t="inlineStr">
        <is>
          <t>K-554853</t>
        </is>
      </c>
      <c r="D137" t="inlineStr">
        <is>
          <t>22697</t>
        </is>
      </c>
      <c r="E137" t="inlineStr">
        <is>
          <t>Lakeshore Management Inc (v0000666)</t>
        </is>
      </c>
      <c r="F137" t="inlineStr">
        <is>
          <t>Resident luncheon door prize</t>
        </is>
      </c>
      <c r="G137" s="5" t="n">
        <v>-50</v>
      </c>
      <c r="H137" t="inlineStr">
        <is>
          <t>AP</t>
        </is>
      </c>
    </row>
    <row r="138">
      <c r="A138" t="inlineStr">
        <is>
          <t>Bay City</t>
        </is>
      </c>
      <c r="B138" s="4" t="n">
        <v>46142</v>
      </c>
      <c r="C138" t="inlineStr">
        <is>
          <t>K-554853</t>
        </is>
      </c>
      <c r="D138" t="inlineStr">
        <is>
          <t>22697</t>
        </is>
      </c>
      <c r="E138" t="inlineStr">
        <is>
          <t>Lakeshore Management Inc (v0000666)</t>
        </is>
      </c>
      <c r="F138" t="inlineStr">
        <is>
          <t>Purchased drinks snacks and accessories</t>
        </is>
      </c>
      <c r="G138" s="5" t="n">
        <v>-50.84</v>
      </c>
      <c r="H138" t="inlineStr">
        <is>
          <t>AP</t>
        </is>
      </c>
    </row>
    <row r="139">
      <c r="A139" t="inlineStr">
        <is>
          <t>Bay City</t>
        </is>
      </c>
      <c r="B139" s="4" t="n">
        <v>46142</v>
      </c>
      <c r="C139" t="inlineStr">
        <is>
          <t>K-554853</t>
        </is>
      </c>
      <c r="D139" t="inlineStr">
        <is>
          <t>22697</t>
        </is>
      </c>
      <c r="E139" t="inlineStr">
        <is>
          <t>Lakeshore Management Inc (v0000666)</t>
        </is>
      </c>
      <c r="F139" t="inlineStr">
        <is>
          <t>Remove and dispose of debris from the Community</t>
        </is>
      </c>
      <c r="G139" s="5" t="n">
        <v>-35.89</v>
      </c>
      <c r="H139" t="inlineStr">
        <is>
          <t>AP</t>
        </is>
      </c>
    </row>
    <row r="140">
      <c r="A140" t="inlineStr">
        <is>
          <t>Bay City</t>
        </is>
      </c>
      <c r="B140" s="4" t="n">
        <v>46142</v>
      </c>
      <c r="C140" t="inlineStr">
        <is>
          <t>K-554853</t>
        </is>
      </c>
      <c r="D140" t="inlineStr">
        <is>
          <t>22697</t>
        </is>
      </c>
      <c r="E140" t="inlineStr">
        <is>
          <t>Lakeshore Management Inc (v0000666)</t>
        </is>
      </c>
      <c r="F140" t="inlineStr">
        <is>
          <t>Remove and dispose of debris from the Community</t>
        </is>
      </c>
      <c r="G140" s="5" t="n">
        <v>-25.6</v>
      </c>
      <c r="H140" t="inlineStr">
        <is>
          <t>AP</t>
        </is>
      </c>
    </row>
    <row r="141">
      <c r="A141" t="inlineStr">
        <is>
          <t>Bay City</t>
        </is>
      </c>
      <c r="B141" s="4" t="n">
        <v>46142</v>
      </c>
      <c r="C141" t="inlineStr">
        <is>
          <t>K-554853</t>
        </is>
      </c>
      <c r="D141" t="inlineStr">
        <is>
          <t>22697</t>
        </is>
      </c>
      <c r="E141" t="inlineStr">
        <is>
          <t>Lakeshore Management Inc (v0000666)</t>
        </is>
      </c>
      <c r="F141" t="inlineStr">
        <is>
          <t>Remove and dispose of debris from the Community</t>
        </is>
      </c>
      <c r="G141" s="5" t="n">
        <v>-20</v>
      </c>
      <c r="H141" t="inlineStr">
        <is>
          <t>AP</t>
        </is>
      </c>
    </row>
    <row r="142">
      <c r="A142" t="inlineStr">
        <is>
          <t>Bay City</t>
        </is>
      </c>
      <c r="B142" s="4" t="n">
        <v>46142</v>
      </c>
      <c r="C142" t="inlineStr">
        <is>
          <t>K-554853</t>
        </is>
      </c>
      <c r="D142" t="inlineStr">
        <is>
          <t>22697</t>
        </is>
      </c>
      <c r="E142" t="inlineStr">
        <is>
          <t>Lakeshore Management Inc (v0000666)</t>
        </is>
      </c>
      <c r="F142" t="inlineStr">
        <is>
          <t>Remove and dispose of debris from the Community</t>
        </is>
      </c>
      <c r="G142" s="5" t="n">
        <v>-17.6</v>
      </c>
      <c r="H142" t="inlineStr">
        <is>
          <t>AP</t>
        </is>
      </c>
    </row>
    <row r="143">
      <c r="A143" t="inlineStr">
        <is>
          <t>Bay City</t>
        </is>
      </c>
      <c r="B143" s="4" t="n">
        <v>46142</v>
      </c>
      <c r="C143" t="inlineStr">
        <is>
          <t>K-554853</t>
        </is>
      </c>
      <c r="D143" t="inlineStr">
        <is>
          <t>22697</t>
        </is>
      </c>
      <c r="E143" t="inlineStr">
        <is>
          <t>Lakeshore Management Inc (v0000666)</t>
        </is>
      </c>
      <c r="F143" t="inlineStr">
        <is>
          <t>Remove and dispose of debris from the Community</t>
        </is>
      </c>
      <c r="G143" s="5" t="n">
        <v>-19.2</v>
      </c>
      <c r="H143" t="inlineStr">
        <is>
          <t>AP</t>
        </is>
      </c>
    </row>
    <row r="144">
      <c r="A144" t="inlineStr">
        <is>
          <t>Bay City</t>
        </is>
      </c>
      <c r="B144" s="4" t="n">
        <v>46142</v>
      </c>
      <c r="C144" t="inlineStr">
        <is>
          <t>K-554853</t>
        </is>
      </c>
      <c r="D144" t="inlineStr">
        <is>
          <t>22697</t>
        </is>
      </c>
      <c r="E144" t="inlineStr">
        <is>
          <t>Lakeshore Management Inc (v0000666)</t>
        </is>
      </c>
      <c r="F144" t="inlineStr">
        <is>
          <t>Remove and dispose of debris from the Community</t>
        </is>
      </c>
      <c r="G144" s="5" t="n">
        <v>-18.4</v>
      </c>
      <c r="H144" t="inlineStr">
        <is>
          <t>AP</t>
        </is>
      </c>
    </row>
    <row r="145">
      <c r="A145" t="inlineStr">
        <is>
          <t>Bay City</t>
        </is>
      </c>
      <c r="B145" s="4" t="n">
        <v>46142</v>
      </c>
      <c r="C145" t="inlineStr">
        <is>
          <t>K-554853</t>
        </is>
      </c>
      <c r="D145" t="inlineStr">
        <is>
          <t>22697</t>
        </is>
      </c>
      <c r="E145" t="inlineStr">
        <is>
          <t>Lakeshore Management Inc (v0000666)</t>
        </is>
      </c>
      <c r="F145" t="inlineStr">
        <is>
          <t>Remove and dispose of debris from the Community</t>
        </is>
      </c>
      <c r="G145" s="5" t="n">
        <v>-80</v>
      </c>
      <c r="H145" t="inlineStr">
        <is>
          <t>AP</t>
        </is>
      </c>
    </row>
    <row r="146">
      <c r="A146" t="inlineStr">
        <is>
          <t>Bay City</t>
        </is>
      </c>
      <c r="B146" s="4" t="n">
        <v>46142</v>
      </c>
      <c r="C146" t="inlineStr">
        <is>
          <t>K-554853</t>
        </is>
      </c>
      <c r="D146" t="inlineStr">
        <is>
          <t>22697</t>
        </is>
      </c>
      <c r="E146" t="inlineStr">
        <is>
          <t>Lakeshore Management Inc (v0000666)</t>
        </is>
      </c>
      <c r="F146" t="inlineStr">
        <is>
          <t>Remove and dispose of debris from the Community</t>
        </is>
      </c>
      <c r="G146" s="5" t="n">
        <v>-20</v>
      </c>
      <c r="H146" t="inlineStr">
        <is>
          <t>AP</t>
        </is>
      </c>
    </row>
    <row r="147">
      <c r="A147" t="inlineStr">
        <is>
          <t>Bay City</t>
        </is>
      </c>
      <c r="B147" s="4" t="n">
        <v>46142</v>
      </c>
      <c r="C147" t="inlineStr">
        <is>
          <t>K-554853</t>
        </is>
      </c>
      <c r="D147" t="inlineStr">
        <is>
          <t>22697</t>
        </is>
      </c>
      <c r="E147" t="inlineStr">
        <is>
          <t>Lakeshore Management Inc (v0000666)</t>
        </is>
      </c>
      <c r="F147" t="inlineStr">
        <is>
          <t>Remove and dispose of debris from the Community</t>
        </is>
      </c>
      <c r="G147" s="5" t="n">
        <v>-34.4</v>
      </c>
      <c r="H147" t="inlineStr">
        <is>
          <t>AP</t>
        </is>
      </c>
    </row>
    <row r="148">
      <c r="A148" t="inlineStr">
        <is>
          <t>Bay City</t>
        </is>
      </c>
      <c r="B148" s="4" t="n">
        <v>46142</v>
      </c>
      <c r="C148" t="inlineStr">
        <is>
          <t>K-554853</t>
        </is>
      </c>
      <c r="D148" t="inlineStr">
        <is>
          <t>22697</t>
        </is>
      </c>
      <c r="E148" t="inlineStr">
        <is>
          <t>Lakeshore Management Inc (v0000666)</t>
        </is>
      </c>
      <c r="F148" t="inlineStr">
        <is>
          <t>Remove and dispose of debris from the Community</t>
        </is>
      </c>
      <c r="G148" s="5" t="n">
        <v>-20.8</v>
      </c>
      <c r="H148" t="inlineStr">
        <is>
          <t>AP</t>
        </is>
      </c>
    </row>
    <row r="149">
      <c r="A149" t="inlineStr">
        <is>
          <t>Bay City</t>
        </is>
      </c>
      <c r="B149" s="4" t="n">
        <v>46142</v>
      </c>
      <c r="C149" t="inlineStr">
        <is>
          <t>K-554853</t>
        </is>
      </c>
      <c r="D149" t="inlineStr">
        <is>
          <t>22697</t>
        </is>
      </c>
      <c r="E149" t="inlineStr">
        <is>
          <t>Lakeshore Management Inc (v0000666)</t>
        </is>
      </c>
      <c r="F149" t="inlineStr">
        <is>
          <t>Remove and dispose of debris from the Community</t>
        </is>
      </c>
      <c r="G149" s="5" t="n">
        <v>-33.6</v>
      </c>
      <c r="H149" t="inlineStr">
        <is>
          <t>AP</t>
        </is>
      </c>
    </row>
    <row r="150">
      <c r="A150" t="inlineStr">
        <is>
          <t>Bay City</t>
        </is>
      </c>
      <c r="B150" s="4" t="n">
        <v>46142</v>
      </c>
      <c r="C150" t="inlineStr">
        <is>
          <t>K-554853</t>
        </is>
      </c>
      <c r="D150" t="inlineStr">
        <is>
          <t>22697</t>
        </is>
      </c>
      <c r="E150" t="inlineStr">
        <is>
          <t>Lakeshore Management Inc (v0000666)</t>
        </is>
      </c>
      <c r="F150" t="inlineStr">
        <is>
          <t>Remove and dispose of debris from the Community</t>
        </is>
      </c>
      <c r="G150" s="5" t="n">
        <v>-20.8</v>
      </c>
      <c r="H150" t="inlineStr">
        <is>
          <t>AP</t>
        </is>
      </c>
    </row>
    <row r="151">
      <c r="A151" t="inlineStr">
        <is>
          <t>Bay City</t>
        </is>
      </c>
      <c r="B151" s="4" t="n">
        <v>46142</v>
      </c>
      <c r="C151" t="inlineStr">
        <is>
          <t>K-554853</t>
        </is>
      </c>
      <c r="D151" t="inlineStr">
        <is>
          <t>22697</t>
        </is>
      </c>
      <c r="E151" t="inlineStr">
        <is>
          <t>Lakeshore Management Inc (v0000666)</t>
        </is>
      </c>
      <c r="F151" t="inlineStr">
        <is>
          <t>Purchased flowers for front entrance</t>
        </is>
      </c>
      <c r="G151" s="5" t="n">
        <v>-77.84</v>
      </c>
      <c r="H151" t="inlineStr">
        <is>
          <t>AP</t>
        </is>
      </c>
    </row>
    <row r="152">
      <c r="A152" t="inlineStr">
        <is>
          <t>Bay City</t>
        </is>
      </c>
      <c r="B152" s="4" t="n">
        <v>46142</v>
      </c>
      <c r="C152" t="inlineStr">
        <is>
          <t>K-554853</t>
        </is>
      </c>
      <c r="D152" t="inlineStr">
        <is>
          <t>22697</t>
        </is>
      </c>
      <c r="E152" t="inlineStr">
        <is>
          <t>Lakeshore Management Inc (v0000666)</t>
        </is>
      </c>
      <c r="F152" t="inlineStr">
        <is>
          <t>Seed for Office landscaping</t>
        </is>
      </c>
      <c r="G152" s="5" t="n">
        <v>-74.98999999999999</v>
      </c>
      <c r="H152" t="inlineStr">
        <is>
          <t>AP</t>
        </is>
      </c>
    </row>
    <row r="153">
      <c r="A153" t="inlineStr">
        <is>
          <t>Bay City</t>
        </is>
      </c>
      <c r="B153" s="4" t="n">
        <v>46142</v>
      </c>
      <c r="C153" t="inlineStr">
        <is>
          <t>K-554853</t>
        </is>
      </c>
      <c r="D153" t="inlineStr">
        <is>
          <t>22697</t>
        </is>
      </c>
      <c r="E153" t="inlineStr">
        <is>
          <t>Lakeshore Management Inc (v0000666)</t>
        </is>
      </c>
      <c r="F153" t="inlineStr">
        <is>
          <t>Beach maintenance</t>
        </is>
      </c>
      <c r="G153" s="5" t="n">
        <v>-129.52</v>
      </c>
      <c r="H153" t="inlineStr">
        <is>
          <t>AP</t>
        </is>
      </c>
    </row>
    <row r="154">
      <c r="A154" t="inlineStr">
        <is>
          <t>Bay City</t>
        </is>
      </c>
      <c r="B154" s="4" t="n">
        <v>46142</v>
      </c>
      <c r="C154" t="inlineStr">
        <is>
          <t>K-554853</t>
        </is>
      </c>
      <c r="D154" t="inlineStr">
        <is>
          <t>22697</t>
        </is>
      </c>
      <c r="E154" t="inlineStr">
        <is>
          <t>Lakeshore Management Inc (v0000666)</t>
        </is>
      </c>
      <c r="F154" t="inlineStr">
        <is>
          <t>Beach maintenance</t>
        </is>
      </c>
      <c r="G154" s="5" t="n">
        <v>-126.65</v>
      </c>
      <c r="H154" t="inlineStr">
        <is>
          <t>AP</t>
        </is>
      </c>
    </row>
    <row r="155">
      <c r="A155" t="inlineStr">
        <is>
          <t>Bay City</t>
        </is>
      </c>
      <c r="B155" s="4" t="n">
        <v>46142</v>
      </c>
      <c r="C155" t="inlineStr">
        <is>
          <t>K-554853</t>
        </is>
      </c>
      <c r="D155" t="inlineStr">
        <is>
          <t>22697</t>
        </is>
      </c>
      <c r="E155" t="inlineStr">
        <is>
          <t>Lakeshore Management Inc (v0000666)</t>
        </is>
      </c>
      <c r="F155" t="inlineStr">
        <is>
          <t>Beach maintenance</t>
        </is>
      </c>
      <c r="G155" s="5" t="n">
        <v>-137.02</v>
      </c>
      <c r="H155" t="inlineStr">
        <is>
          <t>AP</t>
        </is>
      </c>
    </row>
    <row r="156">
      <c r="A156" t="inlineStr">
        <is>
          <t>Bay City</t>
        </is>
      </c>
      <c r="B156" s="4" t="n">
        <v>46142</v>
      </c>
      <c r="C156" t="inlineStr">
        <is>
          <t>K-554853</t>
        </is>
      </c>
      <c r="D156" t="inlineStr">
        <is>
          <t>22697</t>
        </is>
      </c>
      <c r="E156" t="inlineStr">
        <is>
          <t>Lakeshore Management Inc (v0000666)</t>
        </is>
      </c>
      <c r="F156" t="inlineStr">
        <is>
          <t>Beach maintenance</t>
        </is>
      </c>
      <c r="G156" s="5" t="n">
        <v>-141.68</v>
      </c>
      <c r="H156" t="inlineStr">
        <is>
          <t>AP</t>
        </is>
      </c>
    </row>
    <row r="157">
      <c r="A157" t="inlineStr">
        <is>
          <t>Bay City</t>
        </is>
      </c>
      <c r="B157" s="4" t="n">
        <v>46142</v>
      </c>
      <c r="C157" t="inlineStr">
        <is>
          <t>K-554853</t>
        </is>
      </c>
      <c r="D157" t="inlineStr">
        <is>
          <t>22697</t>
        </is>
      </c>
      <c r="E157" t="inlineStr">
        <is>
          <t>Lakeshore Management Inc (v0000666)</t>
        </is>
      </c>
      <c r="F157" t="inlineStr">
        <is>
          <t>Beach maintenance</t>
        </is>
      </c>
      <c r="G157" s="5" t="n">
        <v>-119.29</v>
      </c>
      <c r="H157" t="inlineStr">
        <is>
          <t>AP</t>
        </is>
      </c>
    </row>
    <row r="158">
      <c r="A158" t="inlineStr">
        <is>
          <t>Bay City</t>
        </is>
      </c>
      <c r="B158" s="4" t="n">
        <v>46142</v>
      </c>
      <c r="C158" t="inlineStr">
        <is>
          <t>K-554853</t>
        </is>
      </c>
      <c r="D158" t="inlineStr">
        <is>
          <t>22697</t>
        </is>
      </c>
      <c r="E158" t="inlineStr">
        <is>
          <t>Lakeshore Management Inc (v0000666)</t>
        </is>
      </c>
      <c r="F158" t="inlineStr">
        <is>
          <t>Beach maintenance</t>
        </is>
      </c>
      <c r="G158" s="5" t="n">
        <v>-149.01</v>
      </c>
      <c r="H158" t="inlineStr">
        <is>
          <t>AP</t>
        </is>
      </c>
    </row>
    <row r="159">
      <c r="A159" t="inlineStr">
        <is>
          <t>Bay City</t>
        </is>
      </c>
      <c r="B159" s="4" t="n">
        <v>46142</v>
      </c>
      <c r="C159" t="inlineStr">
        <is>
          <t>K-554853</t>
        </is>
      </c>
      <c r="D159" t="inlineStr">
        <is>
          <t>22697</t>
        </is>
      </c>
      <c r="E159" t="inlineStr">
        <is>
          <t>Lakeshore Management Inc (v0000666)</t>
        </is>
      </c>
      <c r="F159" t="inlineStr">
        <is>
          <t>Treated lumber for new mailboxes</t>
        </is>
      </c>
      <c r="G159" s="5" t="n">
        <v>-215.96</v>
      </c>
      <c r="H159" t="inlineStr">
        <is>
          <t>AP</t>
        </is>
      </c>
    </row>
    <row r="160">
      <c r="A160" t="inlineStr">
        <is>
          <t>Bay City</t>
        </is>
      </c>
      <c r="B160" s="4" t="n">
        <v>46142</v>
      </c>
      <c r="C160" t="inlineStr">
        <is>
          <t>K-554853</t>
        </is>
      </c>
      <c r="D160" t="inlineStr">
        <is>
          <t>22697</t>
        </is>
      </c>
      <c r="E160" t="inlineStr">
        <is>
          <t>Lakeshore Management Inc (v0000666)</t>
        </is>
      </c>
      <c r="F160" t="inlineStr">
        <is>
          <t>wht vnyl 4x4 sleeve</t>
        </is>
      </c>
      <c r="G160" s="5" t="n">
        <v>-139.72</v>
      </c>
      <c r="H160" t="inlineStr">
        <is>
          <t>AP</t>
        </is>
      </c>
    </row>
    <row r="161">
      <c r="A161" t="inlineStr">
        <is>
          <t>Bay City</t>
        </is>
      </c>
      <c r="B161" s="4" t="n">
        <v>46142</v>
      </c>
      <c r="C161" t="inlineStr">
        <is>
          <t>K-554853</t>
        </is>
      </c>
      <c r="D161" t="inlineStr">
        <is>
          <t>22697</t>
        </is>
      </c>
      <c r="E161" t="inlineStr">
        <is>
          <t>Lakeshore Management Inc (v0000666)</t>
        </is>
      </c>
      <c r="F161" t="inlineStr">
        <is>
          <t>start fluid and 2 Stroke oil</t>
        </is>
      </c>
      <c r="G161" s="5" t="n">
        <v>-29.01</v>
      </c>
      <c r="H161" t="inlineStr">
        <is>
          <t>AP</t>
        </is>
      </c>
    </row>
    <row r="162">
      <c r="A162" t="inlineStr">
        <is>
          <t>Bay City</t>
        </is>
      </c>
      <c r="B162" s="4" t="n">
        <v>46142</v>
      </c>
      <c r="C162" t="inlineStr">
        <is>
          <t>K-554853</t>
        </is>
      </c>
      <c r="D162" t="inlineStr">
        <is>
          <t>22697</t>
        </is>
      </c>
      <c r="E162" t="inlineStr">
        <is>
          <t>Lakeshore Management Inc (v0000666)</t>
        </is>
      </c>
      <c r="F162" t="inlineStr">
        <is>
          <t>Truck Fuel</t>
        </is>
      </c>
      <c r="G162" s="5" t="n">
        <v>-69.31</v>
      </c>
      <c r="H162" t="inlineStr">
        <is>
          <t>AP</t>
        </is>
      </c>
    </row>
    <row r="163">
      <c r="A163" t="inlineStr">
        <is>
          <t>Bay City</t>
        </is>
      </c>
      <c r="B163" s="4" t="n">
        <v>46142</v>
      </c>
      <c r="C163" t="inlineStr">
        <is>
          <t>K-554853</t>
        </is>
      </c>
      <c r="D163" t="inlineStr">
        <is>
          <t>22697</t>
        </is>
      </c>
      <c r="E163" t="inlineStr">
        <is>
          <t>Lakeshore Management Inc (v0000666)</t>
        </is>
      </c>
      <c r="F163" t="inlineStr">
        <is>
          <t>gas</t>
        </is>
      </c>
      <c r="G163" s="5" t="n">
        <v>-89</v>
      </c>
      <c r="H163" t="inlineStr">
        <is>
          <t>AP</t>
        </is>
      </c>
    </row>
    <row r="164">
      <c r="A164" t="inlineStr">
        <is>
          <t>Bay City</t>
        </is>
      </c>
      <c r="B164" s="4" t="n">
        <v>46142</v>
      </c>
      <c r="C164" t="inlineStr">
        <is>
          <t>K-554853</t>
        </is>
      </c>
      <c r="D164" t="inlineStr">
        <is>
          <t>22697</t>
        </is>
      </c>
      <c r="E164" t="inlineStr">
        <is>
          <t>Lakeshore Management Inc (v0000666)</t>
        </is>
      </c>
      <c r="F164" t="inlineStr">
        <is>
          <t>vehicle gasoline</t>
        </is>
      </c>
      <c r="G164" s="5" t="n">
        <v>-93.25</v>
      </c>
      <c r="H164" t="inlineStr">
        <is>
          <t>AP</t>
        </is>
      </c>
    </row>
    <row r="165">
      <c r="A165" t="inlineStr">
        <is>
          <t>Bay City</t>
        </is>
      </c>
      <c r="B165" s="4" t="n">
        <v>46142</v>
      </c>
      <c r="C165" t="inlineStr">
        <is>
          <t>K-554853</t>
        </is>
      </c>
      <c r="D165" t="inlineStr">
        <is>
          <t>22697</t>
        </is>
      </c>
      <c r="E165" t="inlineStr">
        <is>
          <t>Lakeshore Management Inc (v0000666)</t>
        </is>
      </c>
      <c r="F165" t="inlineStr">
        <is>
          <t>gas for vehicle</t>
        </is>
      </c>
      <c r="G165" s="5" t="n">
        <v>-94.59</v>
      </c>
      <c r="H165" t="inlineStr">
        <is>
          <t>AP</t>
        </is>
      </c>
    </row>
    <row r="166">
      <c r="A166" t="inlineStr">
        <is>
          <t>Bay City</t>
        </is>
      </c>
      <c r="B166" s="4" t="n">
        <v>46142</v>
      </c>
      <c r="C166" t="inlineStr">
        <is>
          <t>K-554853</t>
        </is>
      </c>
      <c r="D166" t="inlineStr">
        <is>
          <t>22697</t>
        </is>
      </c>
      <c r="E166" t="inlineStr">
        <is>
          <t>Lakeshore Management Inc (v0000666)</t>
        </is>
      </c>
      <c r="F166" t="inlineStr">
        <is>
          <t>Sales model furnishings</t>
        </is>
      </c>
      <c r="G166" s="5" t="n">
        <v>-309.92</v>
      </c>
      <c r="H166" t="inlineStr">
        <is>
          <t>AP</t>
        </is>
      </c>
    </row>
    <row r="167">
      <c r="A167" t="inlineStr">
        <is>
          <t>Bay City</t>
        </is>
      </c>
      <c r="B167" s="4" t="n">
        <v>46142</v>
      </c>
      <c r="C167" t="inlineStr">
        <is>
          <t>K-554853</t>
        </is>
      </c>
      <c r="D167" t="inlineStr">
        <is>
          <t>22697</t>
        </is>
      </c>
      <c r="E167" t="inlineStr">
        <is>
          <t>Lakeshore Management Inc (v0000666)</t>
        </is>
      </c>
      <c r="F167" t="inlineStr">
        <is>
          <t>Nextiva VoIP Mar</t>
        </is>
      </c>
      <c r="G167" s="5" t="n">
        <v>-20.52</v>
      </c>
      <c r="H167" t="inlineStr">
        <is>
          <t>AP</t>
        </is>
      </c>
    </row>
    <row r="168">
      <c r="A168" t="inlineStr">
        <is>
          <t>Bay City</t>
        </is>
      </c>
      <c r="B168" s="4" t="n">
        <v>46142</v>
      </c>
      <c r="C168" t="inlineStr">
        <is>
          <t>K-554853</t>
        </is>
      </c>
      <c r="D168" t="inlineStr">
        <is>
          <t>22697</t>
        </is>
      </c>
      <c r="E168" t="inlineStr">
        <is>
          <t>Lakeshore Management Inc (v0000666)</t>
        </is>
      </c>
      <c r="F168" t="inlineStr">
        <is>
          <t>AMBS Call Center Mar</t>
        </is>
      </c>
      <c r="G168" s="5" t="n">
        <v>-77.84</v>
      </c>
      <c r="H168" t="inlineStr">
        <is>
          <t>AP</t>
        </is>
      </c>
    </row>
    <row r="169">
      <c r="A169" t="inlineStr">
        <is>
          <t>Bay City</t>
        </is>
      </c>
      <c r="B169" s="4" t="n">
        <v>46142</v>
      </c>
      <c r="C169" t="inlineStr">
        <is>
          <t>K-554853</t>
        </is>
      </c>
      <c r="D169" t="inlineStr">
        <is>
          <t>22697</t>
        </is>
      </c>
      <c r="E169" t="inlineStr">
        <is>
          <t>Lakeshore Management Inc (v0000666)</t>
        </is>
      </c>
      <c r="F169" t="inlineStr">
        <is>
          <t>Booking fee for Travel for QBR</t>
        </is>
      </c>
      <c r="G169" s="5" t="n">
        <v>-10</v>
      </c>
      <c r="H169" t="inlineStr">
        <is>
          <t>AP</t>
        </is>
      </c>
    </row>
    <row r="170">
      <c r="A170" t="inlineStr">
        <is>
          <t>Bay City</t>
        </is>
      </c>
      <c r="B170" s="4" t="n">
        <v>46142</v>
      </c>
      <c r="C170" t="inlineStr">
        <is>
          <t>K-554853</t>
        </is>
      </c>
      <c r="D170" t="inlineStr">
        <is>
          <t>22697</t>
        </is>
      </c>
      <c r="E170" t="inlineStr">
        <is>
          <t>Lakeshore Management Inc (v0000666)</t>
        </is>
      </c>
      <c r="F170" t="inlineStr">
        <is>
          <t>Welcome Pots for new home Sales and rentals</t>
        </is>
      </c>
      <c r="G170" s="5" t="n">
        <v>-198</v>
      </c>
      <c r="H170" t="inlineStr">
        <is>
          <t>AP</t>
        </is>
      </c>
    </row>
    <row r="171">
      <c r="A171" t="inlineStr">
        <is>
          <t>Bay City</t>
        </is>
      </c>
      <c r="B171" s="4" t="n">
        <v>46142</v>
      </c>
      <c r="C171" t="inlineStr">
        <is>
          <t>K-554853</t>
        </is>
      </c>
      <c r="D171" t="inlineStr">
        <is>
          <t>22697</t>
        </is>
      </c>
      <c r="E171" t="inlineStr">
        <is>
          <t>Lakeshore Management Inc (v0000666)</t>
        </is>
      </c>
      <c r="F171" t="inlineStr">
        <is>
          <t>travel dinner</t>
        </is>
      </c>
      <c r="G171" s="5" t="n">
        <v>-37.76</v>
      </c>
      <c r="H171" t="inlineStr">
        <is>
          <t>AP</t>
        </is>
      </c>
    </row>
    <row r="172">
      <c r="A172" t="inlineStr">
        <is>
          <t>Bay City</t>
        </is>
      </c>
      <c r="B172" s="4" t="n">
        <v>46142</v>
      </c>
      <c r="C172" t="inlineStr">
        <is>
          <t>K-554853</t>
        </is>
      </c>
      <c r="D172" t="inlineStr">
        <is>
          <t>22697</t>
        </is>
      </c>
      <c r="E172" t="inlineStr">
        <is>
          <t>Lakeshore Management Inc (v0000666)</t>
        </is>
      </c>
      <c r="F172" t="inlineStr">
        <is>
          <t>Breakfast travel day</t>
        </is>
      </c>
      <c r="G172" s="5" t="n">
        <v>-9</v>
      </c>
      <c r="H172" t="inlineStr">
        <is>
          <t>AP</t>
        </is>
      </c>
    </row>
    <row r="173">
      <c r="A173" t="inlineStr">
        <is>
          <t>Bay City</t>
        </is>
      </c>
      <c r="B173" s="4" t="n">
        <v>46142</v>
      </c>
      <c r="C173" t="inlineStr">
        <is>
          <t>K-554853</t>
        </is>
      </c>
      <c r="D173" t="inlineStr">
        <is>
          <t>22697</t>
        </is>
      </c>
      <c r="E173" t="inlineStr">
        <is>
          <t>Lakeshore Management Inc (v0000666)</t>
        </is>
      </c>
      <c r="F173" t="inlineStr">
        <is>
          <t>rental refuel</t>
        </is>
      </c>
      <c r="G173" s="5" t="n">
        <v>-65.20999999999999</v>
      </c>
      <c r="H173" t="inlineStr">
        <is>
          <t>AP</t>
        </is>
      </c>
    </row>
    <row r="174">
      <c r="A174" t="inlineStr">
        <is>
          <t>Bay City</t>
        </is>
      </c>
      <c r="B174" s="4" t="n">
        <v>46142</v>
      </c>
      <c r="C174" t="inlineStr">
        <is>
          <t>K-554853</t>
        </is>
      </c>
      <c r="D174" t="inlineStr">
        <is>
          <t>22697</t>
        </is>
      </c>
      <c r="E174" t="inlineStr">
        <is>
          <t>Lakeshore Management Inc (v0000666)</t>
        </is>
      </c>
      <c r="F174" t="inlineStr">
        <is>
          <t>Egencia fee car rental</t>
        </is>
      </c>
      <c r="G174" s="5" t="n">
        <v>-2</v>
      </c>
      <c r="H174" t="inlineStr">
        <is>
          <t>AP</t>
        </is>
      </c>
    </row>
    <row r="175">
      <c r="A175" t="inlineStr">
        <is>
          <t>Bay City</t>
        </is>
      </c>
      <c r="B175" s="4" t="n">
        <v>46142</v>
      </c>
      <c r="C175" t="inlineStr">
        <is>
          <t>K-554853</t>
        </is>
      </c>
      <c r="D175" t="inlineStr">
        <is>
          <t>22697</t>
        </is>
      </c>
      <c r="E175" t="inlineStr">
        <is>
          <t>Lakeshore Management Inc (v0000666)</t>
        </is>
      </c>
      <c r="F175" t="inlineStr">
        <is>
          <t>site visit rental toll</t>
        </is>
      </c>
      <c r="G175" s="5" t="n">
        <v>-8.199999999999999</v>
      </c>
      <c r="H175" t="inlineStr">
        <is>
          <t>AP</t>
        </is>
      </c>
    </row>
    <row r="176">
      <c r="A176" t="inlineStr">
        <is>
          <t>Bay City</t>
        </is>
      </c>
      <c r="B176" s="4" t="n">
        <v>46142</v>
      </c>
      <c r="C176" t="inlineStr">
        <is>
          <t>K-554853</t>
        </is>
      </c>
      <c r="D176" t="inlineStr">
        <is>
          <t>22697</t>
        </is>
      </c>
      <c r="E176" t="inlineStr">
        <is>
          <t>Lakeshore Management Inc (v0000666)</t>
        </is>
      </c>
      <c r="F176" t="inlineStr">
        <is>
          <t>Vista Print  business cards for Tina Carlton</t>
        </is>
      </c>
      <c r="G176" s="5" t="n">
        <v>-41.98</v>
      </c>
      <c r="H176" t="inlineStr">
        <is>
          <t>AP</t>
        </is>
      </c>
    </row>
    <row r="177">
      <c r="A177" t="inlineStr">
        <is>
          <t>Bay City</t>
        </is>
      </c>
      <c r="B177" s="4" t="n">
        <v>46142</v>
      </c>
      <c r="C177" t="inlineStr">
        <is>
          <t>K-554853</t>
        </is>
      </c>
      <c r="D177" t="inlineStr">
        <is>
          <t>22697</t>
        </is>
      </c>
      <c r="E177" t="inlineStr">
        <is>
          <t>Lakeshore Management Inc (v0000666)</t>
        </is>
      </c>
      <c r="F177" t="inlineStr">
        <is>
          <t>Lunch Dinner from property visit for new homes and Capex</t>
        </is>
      </c>
      <c r="G177" s="5" t="n">
        <v>-22.03</v>
      </c>
      <c r="H177" t="inlineStr">
        <is>
          <t>AP</t>
        </is>
      </c>
    </row>
    <row r="178">
      <c r="A178" t="inlineStr">
        <is>
          <t>Bay City</t>
        </is>
      </c>
      <c r="B178" s="4" t="n">
        <v>46142</v>
      </c>
      <c r="C178" t="inlineStr">
        <is>
          <t>K-554853</t>
        </is>
      </c>
      <c r="D178" t="inlineStr">
        <is>
          <t>22697</t>
        </is>
      </c>
      <c r="E178" t="inlineStr">
        <is>
          <t>Lakeshore Management Inc (v0000666)</t>
        </is>
      </c>
      <c r="F178" t="inlineStr">
        <is>
          <t>lunch during property visit for new homes</t>
        </is>
      </c>
      <c r="G178" s="5" t="n">
        <v>-8.99</v>
      </c>
      <c r="H178" t="inlineStr">
        <is>
          <t>AP</t>
        </is>
      </c>
    </row>
    <row r="179">
      <c r="A179" t="inlineStr">
        <is>
          <t>Bay City</t>
        </is>
      </c>
      <c r="B179" s="4" t="n">
        <v>46142</v>
      </c>
      <c r="C179" t="inlineStr">
        <is>
          <t>K-554853</t>
        </is>
      </c>
      <c r="D179" t="inlineStr">
        <is>
          <t>22697</t>
        </is>
      </c>
      <c r="E179" t="inlineStr">
        <is>
          <t>Lakeshore Management Inc (v0000666)</t>
        </is>
      </c>
      <c r="F179" t="inlineStr">
        <is>
          <t>Office Supplies</t>
        </is>
      </c>
      <c r="G179" s="5" t="n">
        <v>-573.35</v>
      </c>
      <c r="H179" t="inlineStr">
        <is>
          <t>AP</t>
        </is>
      </c>
    </row>
    <row r="180">
      <c r="A180" t="inlineStr">
        <is>
          <t>Bay City</t>
        </is>
      </c>
      <c r="B180" s="4" t="n">
        <v>46142</v>
      </c>
      <c r="C180" t="inlineStr">
        <is>
          <t>K-554853</t>
        </is>
      </c>
      <c r="D180" t="inlineStr">
        <is>
          <t>22697</t>
        </is>
      </c>
      <c r="E180" t="inlineStr">
        <is>
          <t>Lakeshore Management Inc (v0000666)</t>
        </is>
      </c>
      <c r="F180" t="inlineStr">
        <is>
          <t>Center Card regional allocation</t>
        </is>
      </c>
      <c r="G180" s="5" t="n">
        <v>-11.12</v>
      </c>
      <c r="H180" t="inlineStr">
        <is>
          <t>AP</t>
        </is>
      </c>
    </row>
    <row r="181">
      <c r="A181" t="inlineStr">
        <is>
          <t>Bay City</t>
        </is>
      </c>
      <c r="B181" s="4" t="n">
        <v>46142</v>
      </c>
      <c r="C181" t="inlineStr">
        <is>
          <t>K-554853</t>
        </is>
      </c>
      <c r="D181" t="inlineStr">
        <is>
          <t>22697</t>
        </is>
      </c>
      <c r="E181" t="inlineStr">
        <is>
          <t>Lakeshore Management Inc (v0000666)</t>
        </is>
      </c>
      <c r="F181" t="inlineStr">
        <is>
          <t>Center Card regional allocation</t>
        </is>
      </c>
      <c r="G181" s="5" t="n">
        <v>-8.02</v>
      </c>
      <c r="H181" t="inlineStr">
        <is>
          <t>AP</t>
        </is>
      </c>
    </row>
    <row r="182">
      <c r="A182" t="inlineStr">
        <is>
          <t>Bay City</t>
        </is>
      </c>
      <c r="B182" s="4" t="n">
        <v>46142</v>
      </c>
      <c r="C182" t="inlineStr">
        <is>
          <t>K-554853</t>
        </is>
      </c>
      <c r="D182" t="inlineStr">
        <is>
          <t>22697</t>
        </is>
      </c>
      <c r="E182" t="inlineStr">
        <is>
          <t>Lakeshore Management Inc (v0000666)</t>
        </is>
      </c>
      <c r="F182" t="inlineStr">
        <is>
          <t>Center Card regional allocation</t>
        </is>
      </c>
      <c r="G182" s="5" t="n">
        <v>-60.96</v>
      </c>
      <c r="H182" t="inlineStr">
        <is>
          <t>AP</t>
        </is>
      </c>
    </row>
    <row r="183">
      <c r="A183" t="inlineStr">
        <is>
          <t>Bay City</t>
        </is>
      </c>
      <c r="B183" s="4" t="n">
        <v>46142</v>
      </c>
      <c r="C183" t="inlineStr">
        <is>
          <t>J-365388</t>
        </is>
      </c>
      <c r="D183" t="inlineStr">
        <is>
          <t>04/2026 Mortgages 120-164</t>
        </is>
      </c>
      <c r="E183" t="inlineStr">
        <is>
          <t>04/2026 Mortgages 120-164</t>
        </is>
      </c>
      <c r="F183" t="inlineStr">
        <is>
          <t>Bay City mtg pymt</t>
        </is>
      </c>
      <c r="G183" s="5" t="n">
        <v>-146900.02</v>
      </c>
      <c r="H183" t="inlineStr">
        <is>
          <t>AP</t>
        </is>
      </c>
    </row>
    <row r="184">
      <c r="A184" t="inlineStr">
        <is>
          <t>Bay City</t>
        </is>
      </c>
      <c r="B184" s="4" t="n">
        <v>46142</v>
      </c>
      <c r="C184" t="inlineStr">
        <is>
          <t>J-365388</t>
        </is>
      </c>
      <c r="D184" t="inlineStr">
        <is>
          <t>04/2026 Mortgages 120-164</t>
        </is>
      </c>
      <c r="E184" t="inlineStr">
        <is>
          <t>04/2026 Mortgages 120-164</t>
        </is>
      </c>
      <c r="F184" t="inlineStr">
        <is>
          <t>Bay City mtg pymt</t>
        </is>
      </c>
      <c r="G184" s="5" t="n">
        <v>-232.46</v>
      </c>
      <c r="H184" t="inlineStr">
        <is>
          <t>AP</t>
        </is>
      </c>
    </row>
    <row r="185">
      <c r="A185" t="inlineStr">
        <is>
          <t>Bay City</t>
        </is>
      </c>
      <c r="B185" s="4" t="n">
        <v>46142</v>
      </c>
      <c r="C185" t="inlineStr">
        <is>
          <t>J-367912</t>
        </is>
      </c>
      <c r="D185" t="inlineStr">
        <is>
          <t>Park Mgmt Fees Apr 2026</t>
        </is>
      </c>
      <c r="E185" t="inlineStr">
        <is>
          <t>:Reversed by J-368059</t>
        </is>
      </c>
      <c r="F185" t="inlineStr">
        <is>
          <t>:Reversed by J-368059</t>
        </is>
      </c>
      <c r="G185" s="5" t="n">
        <v>-20088.08</v>
      </c>
      <c r="H185" t="inlineStr">
        <is>
          <t>AP</t>
        </is>
      </c>
    </row>
    <row r="186">
      <c r="G186" s="5">
        <f>SUM(G22:G185)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2026-06-10T17:07:16Z</dcterms:created>
  <dcterms:modified xmlns:dcterms="http://purl.org/dc/terms/" xmlns:xsi="http://www.w3.org/2001/XMLSchema-instance" xsi:type="dcterms:W3CDTF">2026-06-10T17:07:16Z</dcterms:modified>
</cp:coreProperties>
</file>