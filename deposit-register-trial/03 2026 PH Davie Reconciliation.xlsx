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760" tabRatio="857"/>
  </bookViews>
  <sheets>
    <sheet name="Summary" sheetId="7" r:id="rId1"/>
    <sheet name="Bank Statement" sheetId="9" r:id="rId2"/>
    <sheet name="GL" sheetId="10" r:id="rId3"/>
    <sheet name="Un-Reconcile transactions" sheetId="11" r:id="rId4"/>
    <sheet name="Old Reconciled" sheetId="12" state="hidden" r:id="rId5"/>
    <sheet name="AR Summary" sheetId="14" state="hidden" r:id="rId6"/>
  </sheets>
  <externalReferences>
    <externalReference r:id="rId7"/>
  </externalReferences>
  <definedNames>
    <definedName name="_xlnm._FilterDatabase" localSheetId="1" hidden="1">'Bank Statement'!$A$1:$E$1</definedName>
    <definedName name="_xlnm._FilterDatabase" localSheetId="2" hidden="1">GL!$A$5:$K$666</definedName>
    <definedName name="_xlnm._FilterDatabase" localSheetId="4" hidden="1">'Old Reconciled'!$A$6:$K$89</definedName>
    <definedName name="_xlnm._FilterDatabase" localSheetId="3" hidden="1">'Un-Reconcile transactions'!$A$7:$K$7</definedName>
    <definedName name="_xlnm.Print_Area" localSheetId="0">Summary!$A$1:$K$66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7" l="1"/>
  <c r="G60" i="11"/>
  <c r="G671" i="10"/>
  <c r="G669" i="10"/>
  <c r="G4" i="11" l="1"/>
  <c r="H16" i="7" l="1"/>
  <c r="G37" i="7" l="1"/>
  <c r="G25" i="11"/>
  <c r="H22" i="7" l="1"/>
  <c r="B139" i="9" l="1"/>
  <c r="B141" i="9"/>
  <c r="H18" i="7" l="1"/>
  <c r="G43" i="14" l="1"/>
  <c r="G45" i="14" s="1"/>
  <c r="G36" i="14"/>
  <c r="G38" i="14" s="1"/>
  <c r="H25" i="14"/>
  <c r="H19" i="14"/>
  <c r="H21" i="14" s="1"/>
  <c r="G47" i="14" l="1"/>
  <c r="H49" i="14" s="1"/>
  <c r="H51" i="14" s="1"/>
  <c r="G60" i="7" l="1"/>
  <c r="H62" i="7" s="1"/>
  <c r="H64" i="7" s="1"/>
</calcChain>
</file>

<file path=xl/sharedStrings.xml><?xml version="1.0" encoding="utf-8"?>
<sst xmlns="http://schemas.openxmlformats.org/spreadsheetml/2006/main" count="5206" uniqueCount="1050">
  <si>
    <t>`</t>
  </si>
  <si>
    <t>Bank Reconciliation - PH Davie</t>
  </si>
  <si>
    <t>WFB Account number 4573468451</t>
  </si>
  <si>
    <t>Bank Information</t>
  </si>
  <si>
    <t>Balance per bank at the month end</t>
  </si>
  <si>
    <t>Outstanding Bank Deposits:</t>
  </si>
  <si>
    <t>Outstanding Bank Disbursement:</t>
  </si>
  <si>
    <t>AP</t>
  </si>
  <si>
    <t>STAGECOACH SWEEP DEBIT</t>
  </si>
  <si>
    <t>Outstanding items total</t>
  </si>
  <si>
    <t>Adjusted bank balance</t>
  </si>
  <si>
    <t>General Ledger Information - 11100113 PH Davie</t>
  </si>
  <si>
    <t xml:space="preserve"> Balance per TB at the month end</t>
  </si>
  <si>
    <t>Un-reconcile Outstanding Deposits:</t>
  </si>
  <si>
    <t>Un-reconcile Deposits:</t>
  </si>
  <si>
    <t>AR</t>
  </si>
  <si>
    <t>Credit Card On-Line Payment ; Web - Resident Services</t>
  </si>
  <si>
    <t>Debit Card On-Line Payment ; Mobile Web - Resident Services</t>
  </si>
  <si>
    <t>Debit Card On-Line Payment ; Web - Resident Services</t>
  </si>
  <si>
    <t>Online Payment - EFT Payment. Mobile Web - Resident Services</t>
  </si>
  <si>
    <t>:CHECKscan Payment</t>
  </si>
  <si>
    <t>Credit Card On-Line Payment ; Mobile Web - Resident Services</t>
  </si>
  <si>
    <t>Online Payment - EFT Payment. Web - Resident Services</t>
  </si>
  <si>
    <t>Total</t>
  </si>
  <si>
    <t xml:space="preserve"> </t>
  </si>
  <si>
    <t>Un-reconciled Outstanding Disbursement:</t>
  </si>
  <si>
    <t>Un-reconciled  Disbursement:</t>
  </si>
  <si>
    <t>KINGS III of America LLC (v0000598)</t>
  </si>
  <si>
    <t>Sub Total</t>
  </si>
  <si>
    <t>Adjusted book balance</t>
  </si>
  <si>
    <t>Variance (s/b zero)</t>
  </si>
  <si>
    <t>Date</t>
  </si>
  <si>
    <t>Amount</t>
  </si>
  <si>
    <t>Check</t>
  </si>
  <si>
    <t>Code</t>
  </si>
  <si>
    <t>Description</t>
  </si>
  <si>
    <t/>
  </si>
  <si>
    <t>CHECK</t>
  </si>
  <si>
    <t>STAGECOACH SWEEP INTEREST PAYMENT</t>
  </si>
  <si>
    <t>STAGECOACH SWEEP CREDIT</t>
  </si>
  <si>
    <t>Un-Reconciled Deposits</t>
  </si>
  <si>
    <t>Un-Reconciled Withdrawals</t>
  </si>
  <si>
    <t>General Ledger</t>
  </si>
  <si>
    <t>Property: East Pine Ridge(114epr), Palm Haven (113phv)</t>
  </si>
  <si>
    <t>11100113 PH Davie - Ops - WFB   (Bank Account)</t>
  </si>
  <si>
    <t>Property Name</t>
  </si>
  <si>
    <t>Control</t>
  </si>
  <si>
    <t>Reference</t>
  </si>
  <si>
    <t>Remarks</t>
  </si>
  <si>
    <t>Debit</t>
  </si>
  <si>
    <t>Credit</t>
  </si>
  <si>
    <t>Balance</t>
  </si>
  <si>
    <t xml:space="preserve">Reconcile Date </t>
  </si>
  <si>
    <t>Palm Haven</t>
  </si>
  <si>
    <t>Valiente Rodriguez (t0000813)</t>
  </si>
  <si>
    <t>:ACH-WEB</t>
  </si>
  <si>
    <t>Ortiz (t0000848)</t>
  </si>
  <si>
    <t>Online Payment - EFT Payment. Mobile App - Resident Services</t>
  </si>
  <si>
    <t>:prepay</t>
  </si>
  <si>
    <t>Joseph (t0000780)</t>
  </si>
  <si>
    <t>:Prog Gen prepayment transfer</t>
  </si>
  <si>
    <t>Tabali (t0000786)</t>
  </si>
  <si>
    <t>McKeehen (t0000788)</t>
  </si>
  <si>
    <t>Ho (t0000797)</t>
  </si>
  <si>
    <t>Ramos (t0000800)</t>
  </si>
  <si>
    <t>Albin (t0000805)</t>
  </si>
  <si>
    <t>Rosales (t0000807)</t>
  </si>
  <si>
    <t>Truong (t0000821)</t>
  </si>
  <si>
    <t>Pietrzik (t0000840)</t>
  </si>
  <si>
    <t>East Pine Ridge</t>
  </si>
  <si>
    <t>Lopez (t0001169)</t>
  </si>
  <si>
    <t>Holmes (t0001180)</t>
  </si>
  <si>
    <t>Corea (t0001184)</t>
  </si>
  <si>
    <t>Radford (t0001230)</t>
  </si>
  <si>
    <t>Cannon (t0000814)</t>
  </si>
  <si>
    <t>Delson (t0000824)</t>
  </si>
  <si>
    <t>Dupuy (t0001220)</t>
  </si>
  <si>
    <t>Vo (t0001205)</t>
  </si>
  <si>
    <t>Wells (t0000842)</t>
  </si>
  <si>
    <t>Humberto (t0000831)</t>
  </si>
  <si>
    <t>Thiele (t0001204)</t>
  </si>
  <si>
    <t>Coughlin (t0001223)</t>
  </si>
  <si>
    <t>Nguyen (t0000819)</t>
  </si>
  <si>
    <t>Bobbit (t0000832)</t>
  </si>
  <si>
    <t>Nguyen (t0000781)</t>
  </si>
  <si>
    <t>Pre-Authorized Payment</t>
  </si>
  <si>
    <t>Phan (t0000785)</t>
  </si>
  <si>
    <t>Rodriguez (t0000829)</t>
  </si>
  <si>
    <t>Nguyen (t0000775)</t>
  </si>
  <si>
    <t>Steele (t0000837)</t>
  </si>
  <si>
    <t>Le (t0000776)</t>
  </si>
  <si>
    <t>Recurring Debit Card Payment ;</t>
  </si>
  <si>
    <t>Luong (t0001211)</t>
  </si>
  <si>
    <t>Aguilar (t0001216)</t>
  </si>
  <si>
    <t>Reynaga (t0001214)</t>
  </si>
  <si>
    <t>Quintana (t0001233)</t>
  </si>
  <si>
    <t>Montano (t0001210)</t>
  </si>
  <si>
    <t>Mora (t0001213)</t>
  </si>
  <si>
    <t>Pham (t0000820)</t>
  </si>
  <si>
    <t>Egidi (t0001188)</t>
  </si>
  <si>
    <t>Pagillo (t0001219)</t>
  </si>
  <si>
    <t>Katzenstein (t0000833)</t>
  </si>
  <si>
    <t>Kizeridis (t0001174)</t>
  </si>
  <si>
    <t>Bolanos (t0000796)</t>
  </si>
  <si>
    <t>Cava (t0001186)</t>
  </si>
  <si>
    <t>Yes Energy Management, Inc. (v0002908)</t>
  </si>
  <si>
    <t>Dahlin (t0000779)</t>
  </si>
  <si>
    <t>Biffi Diko (t0001225)</t>
  </si>
  <si>
    <t>De Armas (t0000783)</t>
  </si>
  <si>
    <t>Nguyen (t0001199)</t>
  </si>
  <si>
    <t>Malmierca (t0000827)</t>
  </si>
  <si>
    <t>Castellon (t0000839)</t>
  </si>
  <si>
    <t>Parker (t0000830)</t>
  </si>
  <si>
    <t>Coradin (t0000816)</t>
  </si>
  <si>
    <t>Anguiano (t0001183)</t>
  </si>
  <si>
    <t>Ribeiro (t0001168)</t>
  </si>
  <si>
    <t>Cubias (t0001198)</t>
  </si>
  <si>
    <t>Falcon (t0001173)</t>
  </si>
  <si>
    <t>Fadraga (t0000823)</t>
  </si>
  <si>
    <t>Management Fees</t>
  </si>
  <si>
    <t>Swier Jr. (t0000849)</t>
  </si>
  <si>
    <t>Gonzalez (t0001201)</t>
  </si>
  <si>
    <t>Luong (t0001202)</t>
  </si>
  <si>
    <t>Le (t0000782)</t>
  </si>
  <si>
    <t>Popascu (t0000818)</t>
  </si>
  <si>
    <t>Nguyen (t0001212)</t>
  </si>
  <si>
    <t>Diage (t0000825)</t>
  </si>
  <si>
    <t>Carsto (t0000835)</t>
  </si>
  <si>
    <t>Nguyen (t0001171)</t>
  </si>
  <si>
    <t>Duran (t0000803)</t>
  </si>
  <si>
    <t>Debit Card On-Line Payment ; Mobile App - Resident Services</t>
  </si>
  <si>
    <t>Marie West (t0001197)</t>
  </si>
  <si>
    <t>Dozois (t0001207)</t>
  </si>
  <si>
    <t>Garcia (t0000847)</t>
  </si>
  <si>
    <t>:WIPS</t>
  </si>
  <si>
    <t>Cruz (t0001163)</t>
  </si>
  <si>
    <t>Correa (t0000815)</t>
  </si>
  <si>
    <t>Olaya (t0000798)</t>
  </si>
  <si>
    <t>Cantergiani (t0001222)</t>
  </si>
  <si>
    <t>Zapata (t0000838)</t>
  </si>
  <si>
    <t>Velez (t0000787)</t>
  </si>
  <si>
    <t>Folk (t0000789)</t>
  </si>
  <si>
    <t>Celis (t0000822)</t>
  </si>
  <si>
    <t>Smith (t0000778)</t>
  </si>
  <si>
    <t>Rubino (t0001164)</t>
  </si>
  <si>
    <t>Andres (t0001185)</t>
  </si>
  <si>
    <t>Tran (t0001226)</t>
  </si>
  <si>
    <t>Ethridge (t0001170)</t>
  </si>
  <si>
    <t>King (t0001187)</t>
  </si>
  <si>
    <t>Kern (t0001194)</t>
  </si>
  <si>
    <t>West (t0001224)</t>
  </si>
  <si>
    <t>Gallegos (t0001234)</t>
  </si>
  <si>
    <t>Perrine (t0001236)</t>
  </si>
  <si>
    <t>Tran (t0001190)</t>
  </si>
  <si>
    <t>Santana (t0000774)</t>
  </si>
  <si>
    <t>Argentino (t0000826)</t>
  </si>
  <si>
    <t>Pham (t0001191)</t>
  </si>
  <si>
    <t>Oval (t0000791)</t>
  </si>
  <si>
    <t>Navarro Navarro (t0000810)</t>
  </si>
  <si>
    <t>Skiles (t0000777)</t>
  </si>
  <si>
    <t>Barra (t0000808)</t>
  </si>
  <si>
    <t>Hoyt (t0000834)</t>
  </si>
  <si>
    <t>Rimler (t0000843)</t>
  </si>
  <si>
    <t>Polites (t0001193)</t>
  </si>
  <si>
    <t>Phan (t0001208)</t>
  </si>
  <si>
    <t>Darville (t0001189)</t>
  </si>
  <si>
    <t>Cannon (t0000784)</t>
  </si>
  <si>
    <t>Lopez (t0001196)</t>
  </si>
  <si>
    <t>Kalenberg (t0001209)</t>
  </si>
  <si>
    <t>Ocampo Rodriguez (t0000771)</t>
  </si>
  <si>
    <t>Corea (t0001176)</t>
  </si>
  <si>
    <t>Martinez (t0001227)</t>
  </si>
  <si>
    <t>Gray (t0000836)</t>
  </si>
  <si>
    <t>Clelmente (t0001166)</t>
  </si>
  <si>
    <t>Perez Alvarado (t0000804)</t>
  </si>
  <si>
    <t>Gomez (t0000841)</t>
  </si>
  <si>
    <t>Miller (t0000845)</t>
  </si>
  <si>
    <t>Fallica (t0000846)</t>
  </si>
  <si>
    <t>Bryan Angulo Alarcon (t0001229)</t>
  </si>
  <si>
    <t>Truong (t0001221)</t>
  </si>
  <si>
    <t>Duong (t0001195)</t>
  </si>
  <si>
    <t>Doan (t0001238)</t>
  </si>
  <si>
    <t>Hernandez Cruz (t0001177)</t>
  </si>
  <si>
    <t>Satey (t0000799)</t>
  </si>
  <si>
    <t>Montante (t0001192)</t>
  </si>
  <si>
    <t>Medina (t0001231)</t>
  </si>
  <si>
    <t>Clark (t0000811)</t>
  </si>
  <si>
    <t>Amieba (t0000773)</t>
  </si>
  <si>
    <t>Steriti (t0001181)</t>
  </si>
  <si>
    <t>LSE (v0000665)</t>
  </si>
  <si>
    <t>Gentner (t0001232)</t>
  </si>
  <si>
    <t>FPL*** (v0000453)</t>
  </si>
  <si>
    <t>Convenient Payments</t>
  </si>
  <si>
    <t>Casa Verde MHC LLC (v0000180)</t>
  </si>
  <si>
    <t>AMX-PB LAKESHORE MANAGEMENT INC. (v0001555)</t>
  </si>
  <si>
    <t>PH Davie mtg pymt</t>
  </si>
  <si>
    <t>Total:</t>
  </si>
  <si>
    <t>Un- Reconciled Deposits</t>
  </si>
  <si>
    <t>Bank</t>
  </si>
  <si>
    <t>Comment</t>
  </si>
  <si>
    <t>Palm Haven^East Pine Ridge</t>
  </si>
  <si>
    <t>GL</t>
  </si>
  <si>
    <t>Check Number</t>
  </si>
  <si>
    <t>Reconcile Date</t>
  </si>
  <si>
    <t>01/12/2021</t>
  </si>
  <si>
    <t>PAYLEASE.COM CREDIT XXXXX2531 Lakeshore Management, 1273639005 192512531 R00000091004331490901</t>
  </si>
  <si>
    <t>Richmar Slip PayLease 01/08/21</t>
  </si>
  <si>
    <t>02/08/2021</t>
  </si>
  <si>
    <t>PAYLEASE.COM CREDIT XXXXX3524 Lakeshore Management, 1273639005 195803524 R00000091004239368670</t>
  </si>
  <si>
    <t>$450 Richmar Slip PayLease 02/04/21 $782.47 BUSH PALM HAVEN Slip PayLease 02/04/21</t>
  </si>
  <si>
    <t>03/08/2021</t>
  </si>
  <si>
    <t>PAYLEASE.COM CREDIT XXXXX6020 Lakeshore Management, 1273639005 199476020 R00000091003953926522</t>
  </si>
  <si>
    <t>$540 Richmar Slip PayLease 03/04/21 $782.39 RADSFORD 54E EAST PINE RIDGE  Slip PayLease 03/04/21</t>
  </si>
  <si>
    <t>04/06/2021</t>
  </si>
  <si>
    <t>PAYLEASE.COM CREDIT XXXXX2381 Lakeshore Management, 1273639005 203192381 R00000091004035635173</t>
  </si>
  <si>
    <t xml:space="preserve">$450 Richmar Slip PayLease 04/04/21 $1,100 LOPEZ 34E EAST PINE RIDGE Slip PayLease 04/03/21  &amp; $780 RAMOS 31P (PALM HAVEN) Slip PayLease 04/03/21 </t>
  </si>
  <si>
    <t>J-108739</t>
  </si>
  <si>
    <t>PayLease : Cash Deposit 01/04/2021</t>
  </si>
  <si>
    <t>Included in $782.79 WFB RICHMAR 01/06/21 WFB - WT Requested 06/23/21</t>
  </si>
  <si>
    <t>J-108870</t>
  </si>
  <si>
    <t>PayLease : Cash Deposit 01/05/2021</t>
  </si>
  <si>
    <t>Included in $1882.47 WFB RICHMAR 01/07/21 WFB - WT Requested 06/23/21</t>
  </si>
  <si>
    <t>J-110828</t>
  </si>
  <si>
    <t>PayLease : Cash Deposit 02/04/2021</t>
  </si>
  <si>
    <t>Included in $1232.47 WFB 02/08/21</t>
  </si>
  <si>
    <t>J-112331</t>
  </si>
  <si>
    <t>PayLease : Cash Deposit 03/04/2021</t>
  </si>
  <si>
    <t>Included in $1322.39 WFB 03/08/21</t>
  </si>
  <si>
    <t>J-113501</t>
  </si>
  <si>
    <t>PayLease : Cash Deposit 04/02/2021</t>
  </si>
  <si>
    <t>Included in $2330 WFB 04/06/21</t>
  </si>
  <si>
    <t>J-113502</t>
  </si>
  <si>
    <t>PayLease : Cash Deposit 04/03/2021</t>
  </si>
  <si>
    <t>May '21</t>
  </si>
  <si>
    <t>Diaz (t0001172)</t>
  </si>
  <si>
    <t>Moreno (t0001175)</t>
  </si>
  <si>
    <t>Suarez (t0001452)</t>
  </si>
  <si>
    <t>DESKTOP CHECK DEPOSIT</t>
  </si>
  <si>
    <t>Dozois (t0001167)</t>
  </si>
  <si>
    <t>Demand notice</t>
  </si>
  <si>
    <t>Invty loan Int payment</t>
  </si>
  <si>
    <t>Alvarado (t0001460)</t>
  </si>
  <si>
    <t>Hartman (t0001206)</t>
  </si>
  <si>
    <t>Pham (t0001438)</t>
  </si>
  <si>
    <t>Automatically generated apply prepay receipt.</t>
  </si>
  <si>
    <t>Tropical Landscaping (v0004361)</t>
  </si>
  <si>
    <t>Hayes (t0000790)</t>
  </si>
  <si>
    <t>Tran (t0001448)</t>
  </si>
  <si>
    <t>Jimenez (t0001250)</t>
  </si>
  <si>
    <t>Moody (t0001355)</t>
  </si>
  <si>
    <t>Van (t0001500)</t>
  </si>
  <si>
    <t>Credit Card On-Line Payment ; Mobile App - Resident Services</t>
  </si>
  <si>
    <t>Package 5-2025 to 4-2026</t>
  </si>
  <si>
    <t>TOWN OF DAVIE UTILITY PAYMENTS (v0001096)</t>
  </si>
  <si>
    <t>Yep (t0001449)</t>
  </si>
  <si>
    <t>Osorio (t0001494)</t>
  </si>
  <si>
    <t>Dessalines (t0001441)</t>
  </si>
  <si>
    <t>demands</t>
  </si>
  <si>
    <t>Lakeshore Management Inc (v0000666)</t>
  </si>
  <si>
    <t>Briggs (t0000792)</t>
  </si>
  <si>
    <t>Hoang (t0001459)</t>
  </si>
  <si>
    <t>Jimenez Delgado (t0001527)</t>
  </si>
  <si>
    <t>Gayed (t0001516)</t>
  </si>
  <si>
    <t>none</t>
  </si>
  <si>
    <t>Lugo Garcia (t0001178)</t>
  </si>
  <si>
    <t>LAKESHORE MANAGEMENT (v0004320)</t>
  </si>
  <si>
    <t>Westberry (t0000794)</t>
  </si>
  <si>
    <t>Rent Grow, Inc. (v0007545)</t>
  </si>
  <si>
    <t>K-509322</t>
  </si>
  <si>
    <t>1852</t>
  </si>
  <si>
    <t>Beck (t0001575)</t>
  </si>
  <si>
    <t>YARDI SYSTEMS INC (v0001189)</t>
  </si>
  <si>
    <t>Sublime Pools &amp; Spa Service &amp; Repair, Inc. (v0005483)</t>
  </si>
  <si>
    <t>WC 11-2025 to 11-2026</t>
  </si>
  <si>
    <t>PROPERTY ID# 504128-01-0310 FOLIO# 471554 2025 RE TAX</t>
  </si>
  <si>
    <t>Refunding Q-67096</t>
  </si>
  <si>
    <t>Showing outstanding status in bank</t>
  </si>
  <si>
    <t>Fitzpatrick (t0000812)</t>
  </si>
  <si>
    <t>Sarver (t0001165)</t>
  </si>
  <si>
    <t>Vaughn (t0000795)</t>
  </si>
  <si>
    <t>Bardash Jr. (t0001215)</t>
  </si>
  <si>
    <t>Mugica (t0001553)</t>
  </si>
  <si>
    <t>FLORIDA POWER AND LIGHT- (v0000445)</t>
  </si>
  <si>
    <t>:Prog Gen credit application</t>
  </si>
  <si>
    <t>K-520886</t>
  </si>
  <si>
    <t>1883</t>
  </si>
  <si>
    <t>K-527474</t>
  </si>
  <si>
    <t>1243</t>
  </si>
  <si>
    <t>Navas (t0001237)</t>
  </si>
  <si>
    <t>Lisowsky (t0000844)</t>
  </si>
  <si>
    <t>BROWARD COUNTY TAX COLLECTOR (v0000147)</t>
  </si>
  <si>
    <t>Estrada (t0001620)</t>
  </si>
  <si>
    <t>Debit Card On-Line Payment ; Roommate James Lisowsky (r0000608) ; Mobile Web - Resident Services</t>
  </si>
  <si>
    <t>Debit Card On-Line Payment ; Web - Online Leasing</t>
  </si>
  <si>
    <t>B&amp;B INV#23460362/32400 EO</t>
  </si>
  <si>
    <t>Not found in bank</t>
  </si>
  <si>
    <t>02/27/2026</t>
  </si>
  <si>
    <t>K-527574</t>
  </si>
  <si>
    <t>1244</t>
  </si>
  <si>
    <t>K-527700</t>
  </si>
  <si>
    <t>1245</t>
  </si>
  <si>
    <t>0154</t>
  </si>
  <si>
    <t>K-532506</t>
  </si>
  <si>
    <t>1901</t>
  </si>
  <si>
    <t>K-533308</t>
  </si>
  <si>
    <t>1903</t>
  </si>
  <si>
    <t>K-533680</t>
  </si>
  <si>
    <t>1904</t>
  </si>
  <si>
    <t>R-38244</t>
  </si>
  <si>
    <t>330886946</t>
  </si>
  <si>
    <t>R-38246</t>
  </si>
  <si>
    <t>330895765</t>
  </si>
  <si>
    <t>R-38595</t>
  </si>
  <si>
    <t>331016886</t>
  </si>
  <si>
    <t>R-38602</t>
  </si>
  <si>
    <t>331046722</t>
  </si>
  <si>
    <t>K-534361</t>
  </si>
  <si>
    <t>1905</t>
  </si>
  <si>
    <t>K-534504</t>
  </si>
  <si>
    <t>1260</t>
  </si>
  <si>
    <t>K-534726</t>
  </si>
  <si>
    <t>1906</t>
  </si>
  <si>
    <t>:credit</t>
  </si>
  <si>
    <t>R-38628</t>
  </si>
  <si>
    <t>331197269</t>
  </si>
  <si>
    <t>R-38640</t>
  </si>
  <si>
    <t>K-534809</t>
  </si>
  <si>
    <t>1907</t>
  </si>
  <si>
    <t>K-534887</t>
  </si>
  <si>
    <t>1261</t>
  </si>
  <si>
    <t>K-534888</t>
  </si>
  <si>
    <t>1262</t>
  </si>
  <si>
    <t>K-534889</t>
  </si>
  <si>
    <t>1263</t>
  </si>
  <si>
    <t>K-534890</t>
  </si>
  <si>
    <t>1264</t>
  </si>
  <si>
    <t>K-534891</t>
  </si>
  <si>
    <t>1265</t>
  </si>
  <si>
    <t>R-38653</t>
  </si>
  <si>
    <t>R-38666</t>
  </si>
  <si>
    <t>J-353067</t>
  </si>
  <si>
    <t>02/2026 Mortgages 97-119</t>
  </si>
  <si>
    <t>J-353137</t>
  </si>
  <si>
    <t>J-353505</t>
  </si>
  <si>
    <t>Park Mgmt Fees Feb 2026</t>
  </si>
  <si>
    <t>J-353506</t>
  </si>
  <si>
    <t>COMCAST 71211 (v0000284)</t>
  </si>
  <si>
    <t>Accrue Casa Verde FEB 2026 swap PB :Reversed by J-353139</t>
  </si>
  <si>
    <t>Park Mgmt Fees Feb 2026 :Reversed by J-355241</t>
  </si>
  <si>
    <t>Park Mgmt Fees Feb 2026 :Reversed by J-355242</t>
  </si>
  <si>
    <t>ACCT#8495 75 500 0001135  2/5-3/4</t>
  </si>
  <si>
    <t>12/30/2025-01/26/2026-Sewer-51222-002-25136827-4791 SW 82 AVE 4/Office</t>
  </si>
  <si>
    <t>12/30/2025-01/26/2026-Water-51222-002-25136827-4791 SW 82 AVE 4/Office</t>
  </si>
  <si>
    <t>ScreeningWorks - Credit Report w SSN Fraud, 01/2026- 4 Units</t>
  </si>
  <si>
    <t>ScreeningWorks - Civil Court Records, 01/2026- 4 Units</t>
  </si>
  <si>
    <t>ScreeningWorks - Premium National Criminal Base, 01/2026- 3 Units</t>
  </si>
  <si>
    <t>ScreeningWorks - Rental History, 01/2026- 4 Units</t>
  </si>
  <si>
    <t>YRS Employment Verification, 01/2026- 2 Units</t>
  </si>
  <si>
    <t>ScreeningWorks- Nova Income Verification, 01/2026- 1 Units</t>
  </si>
  <si>
    <t>ScreeningWorks - Credit Report w SSN Fraud, 01/2026- 1 Units</t>
  </si>
  <si>
    <t>ScreeningWorks - Civil Court Records, 01/2026- 1 Units</t>
  </si>
  <si>
    <t>ScreeningWorks - Premium National Criminal Base, 01/2026- 1 Units</t>
  </si>
  <si>
    <t>ScreeningWorks - Rental History, 01/2026- 1 Units</t>
  </si>
  <si>
    <t>12/30/2025-01/26/2026-Sewer-49986-002-25159806-4800 S Pine Island RD REC</t>
  </si>
  <si>
    <t>12/30/2025-01/26/2026-Water-49986-002-25159806-4800 S Pine Island RD REC</t>
  </si>
  <si>
    <t>Nextiva VoIP Jan</t>
  </si>
  <si>
    <t>AMBS Call Center Jan</t>
  </si>
  <si>
    <t>heavy duty frames for brokerage listing signs</t>
  </si>
  <si>
    <t>Toilet paper for office</t>
  </si>
  <si>
    <t>Printer paper</t>
  </si>
  <si>
    <t>Demands</t>
  </si>
  <si>
    <t>Water snacks toilet paper</t>
  </si>
  <si>
    <t>Stickers foam boards pens for community event</t>
  </si>
  <si>
    <t>Flowers colorful tapes clip art books for community event</t>
  </si>
  <si>
    <t>Sprite coke chips water for community event</t>
  </si>
  <si>
    <t>home depot gift card for yard of the month</t>
  </si>
  <si>
    <t>Homr depot gift card for tard of the month and coffee creamer for community meeting</t>
  </si>
  <si>
    <t>water for golf cart battery s</t>
  </si>
  <si>
    <t>Lunch with new MT</t>
  </si>
  <si>
    <t>fire extinguisher</t>
  </si>
  <si>
    <t>Annual fire extinguisher inspection</t>
  </si>
  <si>
    <t>Monthly Service</t>
  </si>
  <si>
    <t>8495 75 262 1962118-02/16/2026</t>
  </si>
  <si>
    <t>01/16/2026-02/17/2026-Electric-48180-57319-ACD9130-4791 SW 82ND AVE</t>
  </si>
  <si>
    <t>01/16/2026-02/17/2026-Electric-54555-21517-KCJ3648-4800 S Pine Island Rd # Rec</t>
  </si>
  <si>
    <t>01/16/2026-02/17/2026-Electric-34381-77317-ACD4199-4791 SW 82ND AVE LOT 4 OFF&amp;LAWN</t>
  </si>
  <si>
    <t>01/16/2026-02/17/2026-Electric-20632-67310-ACD7393-4759 SW 82ND AVE</t>
  </si>
  <si>
    <t>01/16/2026-02/17/2026-Electric-79566-33163-Electric 1-4800 S PINE ISLAND RD # OL</t>
  </si>
  <si>
    <t>Accrue (113) Casa Verde FEB 2026 swap PB</t>
  </si>
  <si>
    <t>Accrue (114) Casa Verde FEB 2026 swap PB</t>
  </si>
  <si>
    <t>J-357222</t>
  </si>
  <si>
    <t>J-357223</t>
  </si>
  <si>
    <t>MA February Cash Park to Home :Reversed by J-357298</t>
  </si>
  <si>
    <t>MA February Cash Park to Home :Reversed by J-357299</t>
  </si>
  <si>
    <t>MA February Cash Park to Home</t>
  </si>
  <si>
    <t>03/31/2026</t>
  </si>
  <si>
    <t>1924</t>
  </si>
  <si>
    <t>03/30/2026</t>
  </si>
  <si>
    <t>03/27/2026</t>
  </si>
  <si>
    <t>03/26/2026</t>
  </si>
  <si>
    <t>1920</t>
  </si>
  <si>
    <t>03/25/2026</t>
  </si>
  <si>
    <t>1921</t>
  </si>
  <si>
    <t>03/24/2026</t>
  </si>
  <si>
    <t>1918</t>
  </si>
  <si>
    <t>1919</t>
  </si>
  <si>
    <t>03/23/2026</t>
  </si>
  <si>
    <t>03/20/2026</t>
  </si>
  <si>
    <t>1914</t>
  </si>
  <si>
    <t>03/19/2026</t>
  </si>
  <si>
    <t>03/18/2026</t>
  </si>
  <si>
    <t>03/17/2026</t>
  </si>
  <si>
    <t>1916</t>
  </si>
  <si>
    <t>1912</t>
  </si>
  <si>
    <t>1915</t>
  </si>
  <si>
    <t>03/16/2026</t>
  </si>
  <si>
    <t>1917</t>
  </si>
  <si>
    <t>03/13/2026</t>
  </si>
  <si>
    <t>03/12/2026</t>
  </si>
  <si>
    <t>1913</t>
  </si>
  <si>
    <t>1908</t>
  </si>
  <si>
    <t>03/11/2026</t>
  </si>
  <si>
    <t>03/10/2026</t>
  </si>
  <si>
    <t>03/09/2026</t>
  </si>
  <si>
    <t>1909</t>
  </si>
  <si>
    <t>03/06/2026</t>
  </si>
  <si>
    <t>03/05/2026</t>
  </si>
  <si>
    <t>03/04/2026</t>
  </si>
  <si>
    <t>03/03/2026</t>
  </si>
  <si>
    <t>03/02/2026</t>
  </si>
  <si>
    <t>ACH ORIGINATION - Palm Haven - FILE EDIMN00004 COID LAK3642458 LAK3642458 FILE EDIMN00004 0S00000091003650223163N</t>
  </si>
  <si>
    <t>LAKESHOREMANAGEM Settlement 033126 000026641098346 Yardi Process Master 1 9000326709 000026641098346 R00000091006261177064N</t>
  </si>
  <si>
    <t>YARDI CARD DEP PHDVOCTran 033126 XXXXX6451 PHDVOC-Lakeshore Manag 9000566345 128056451 R00000091006261220846N</t>
  </si>
  <si>
    <t>YARDI CARD DEP PHDVOCTran 033126 XXXXX5869 PHDVOC-Lakeshore Manag 9000566345 128055869 R00000091006261174210N</t>
  </si>
  <si>
    <t>LAKESHOREMANAGEM Settlement 033026 000026622488158 Yardi Process Master 1 9000326709 000026622488158 R00000091005862391346N</t>
  </si>
  <si>
    <t>LAKESHOREMANAGEM Settlement 033026 000026622471558 Yardi Process Master 1 9000326709 000026622471558 R00000091005862292760N</t>
  </si>
  <si>
    <t>YARDI CARD DEP PHDVOCTran 032726 XXXXX4684 PHDVOC-Lakeshore Manag 9000566345 127964684 R00000091005664058392N</t>
  </si>
  <si>
    <t>YARDI CARD DEP PHDVOCTran 032626 XXXXX5527 PHDVOC-Lakeshore Manag 9000566345 127915527 R00000091005463614609N</t>
  </si>
  <si>
    <t>INTELLIPAY BILLING 260324 A24520078 Lakeshore - Palm Haven 27-3685152 A24520078 0R00000091004039273275N</t>
  </si>
  <si>
    <t>INTELLIPAY BILLING 260324 A24520079 Lakeshore - East Pine 27-3685152 A24520079 0R00000091004039707557N</t>
  </si>
  <si>
    <t>LAKESHOREMANAGEM Settlement 032526 000026598006182 Yardi Process Master 1 9000326709 000026598006182 R00000091004136768880N</t>
  </si>
  <si>
    <t>PHDVOC BILL PAY 032426 SMWKJL 0000Lakeshore Manage 9000820926 SMWKJL 0R00000091003738050452N</t>
  </si>
  <si>
    <t>LAKEMGT-PHDVOC Settlement 032426 000026592699546 Lakeshore Management I 9000688057 000026592699546 0R00000091003738075808N</t>
  </si>
  <si>
    <t>YARDI CARD DEP PHDVOCTran 032426 XXXXX9165 PHDVOC-Lakeshore Manag 9000566345 127769165 R00000091003738062527N</t>
  </si>
  <si>
    <t>ACH ORIGINATION - Palm Haven - FILE EDIMN00004 COID LAK3642458 LAK3642458 FILE EDIMN00004 0S00000091004553177968N</t>
  </si>
  <si>
    <t>LAKESHOREMANAGEM Settlement 032326 000026576042834 Yardi Process Master 1 9000326709 000026576042834 R00000091004053943145N</t>
  </si>
  <si>
    <t>ACH ORIGINATION - Palm Haven - FILE EDIMN00004 COID LAK3642458 LAK3642458 FILE EDIMN00004 0S00000091003953343665N</t>
  </si>
  <si>
    <t>LAKEMGT-PHDVOC Settlement 031926 000026562213398 Lakeshore Management I 9000688057 000026562213398 0R00000091006266783048N</t>
  </si>
  <si>
    <t>LAKESHOREMANAGEM Settlement 031926 000026560498190 Yardi Process Master 1 9000326709 000026560498190 R00000091006266820063N</t>
  </si>
  <si>
    <t>LAKEMGT-PHDVOC Settlement 031826 000026555235686 Lakeshore Management I 9000688057 000026555235686 0R00000091005976930121N</t>
  </si>
  <si>
    <t>WT SEQ451963 LAKESHORE EMPLOYMENT, I /BNF=LAKESHORE EMPLOYMENT, INC. SRF# PPE031426 TRN#260318451963 RFB# 14498</t>
  </si>
  <si>
    <t>LAKESHOREMANAGEM Settlement 031826 000026553176698 Yardi Process Master 1 9000326709 000026553176698 R00000091005976883060N</t>
  </si>
  <si>
    <t>YARDI CARD DEP PHDVOCTran 031826 XXXXX8875 PHDVOC-Lakeshore Manag 9000566345 127548875 R00000091005977147358N</t>
  </si>
  <si>
    <t>LAKEMGT-PHDVOC Settlement 031726 000026547682906 Lakeshore Management I 9000688057 000026547682906 0R00000091005774065767N</t>
  </si>
  <si>
    <t>LAKESHOREMANAGEM Return 031726 000026540195718 Yardi Process Master 1 9000326709 000026540195718 0R00000091005774251480N</t>
  </si>
  <si>
    <t>ACH ORIGINATION - Palm Haven - FILE EDIMN00004 COID LAK3642458 LAK3642458 FILE EDIMN00004 0S00000091005668664521N</t>
  </si>
  <si>
    <t>LAKESHOREMANAGEM Settlement 031626 000026536456818 Yardi Process Master 1 9000326709 000026536456818 R00000091005477764059N</t>
  </si>
  <si>
    <t>LAKESHOREMANAGEM Settlement 031626 000026536446110 Yardi Process Master 1 9000326709 000026536446110 R00000091005478212429N</t>
  </si>
  <si>
    <t>LAKEMGT-PHDVOC Settlement 031326 000026522675222 Lakeshore Management I 9000688057 000026522675222 0R00000091004134428556N</t>
  </si>
  <si>
    <t>YARDI CARD DEP PHDVOCTran 031226 XXXXX5541 PHDVOC-Lakeshore Manag 9000566345 127295541 R00000091003732194918N</t>
  </si>
  <si>
    <t>YARDI CARD DEP PHDVOCTran 031226 XXXXX5829 PHDVOC-Lakeshore Manag 9000566345 127295829 R00000091003732237971N</t>
  </si>
  <si>
    <t>LAKESHOREMANAGEM Return 031126 000026501720066 Yardi Process Master 1 9000326709 000026501720066 0R00000091004159456205N</t>
  </si>
  <si>
    <t>YARDI CARD DEP PHDVOCTran 031126 XXXXX0250 PHDVOC-Lakeshore Manag 9000566345 127170250 R00000091004159428494N</t>
  </si>
  <si>
    <t>YARDI CARD DEP PHDVOCTran 031126 XXXXX0076 PHDVOC-Lakeshore Manag 9000566345 127170076 R00000091004159427974N</t>
  </si>
  <si>
    <t>LAKESHOREMANAGEM Settlement 031126 000026504493350 Yardi Process Master 1 9000326709 000026504493350 R00000091004159421487N</t>
  </si>
  <si>
    <t>YARDI CARD DEP PHDVOCTran 031126 XXXXX0080 PHDVOC-Lakeshore Manag 9000566345 127170080 R00000091004159456651N</t>
  </si>
  <si>
    <t>YARDI CARD DEP PHDVOCTran 031126 XXXXX0050 PHDVOC-Lakeshore Manag 9000566345 127170050 R00000091004159402216N</t>
  </si>
  <si>
    <t>LAKESHOREMANAGEM Return 031026 000026490207074 Yardi Process Master 1 9000326709 000026490207074 0R00000091003759668778N</t>
  </si>
  <si>
    <t>YARDI CARD DEP PHDVOCTran 031026 XXXXX5816 PHDVOC-Lakeshore Manag 9000566345 127025816 R00000091003759665271N</t>
  </si>
  <si>
    <t>LAKESHOREMANAGEM Settlement 031026 000026494281470 Yardi Process Master 1 9000326709 000026494281470 R00000091003759754253N</t>
  </si>
  <si>
    <t>YARDI CARD DEP PHDVOCTran 031026 XXXXX5358 PHDVOC-Lakeshore Manag 9000566345 127025358 R00000091003759509101N</t>
  </si>
  <si>
    <t>LAKESHOREMANAGEM Return 030926 000026474206078 Yardi Process Master 1 9000326709 000026474206078 0R00000091006171884261N</t>
  </si>
  <si>
    <t>LAKESHOREMANAGEM Settlement 030926 000026478764966 Yardi Process Master 1 9000326709 000026478764966 R00000091006171897726N</t>
  </si>
  <si>
    <t>YARDI CARD DEP PHDVOCTran 030926 XXXXX9919 PHDVOC-Lakeshore Manag 9000566345 126909919 R00000091006171908293N</t>
  </si>
  <si>
    <t>YARDI CARD DEP PHDVOCTran 030926 XXXXX9499 PHDVOC-Lakeshore Manag 9000566345 126909499 R00000091006171883605N</t>
  </si>
  <si>
    <t>LAKESHOREMANAGEM Settlement 030926 000026486027210 Yardi Process Master 1 9000326709 000026486027210 R00000091006266818859N</t>
  </si>
  <si>
    <t>LAKESHOREMANAGEM Settlement 030926 000026478613090 Yardi Process Master 1 9000326709 000026478613090 R00000091006171889761N</t>
  </si>
  <si>
    <t>ACH ORIGINATION - Palm Haven - FILE EDIMN00004 COID LAK3642458 LAK3642458 FILE EDIMN00004 0S00000091005772849482N</t>
  </si>
  <si>
    <t>LAKESHOREMANAGEM Settlement 030626 000026466190842 Yardi Process Master 1 9000326709 000026466190842 R00000091005965569346N</t>
  </si>
  <si>
    <t>YARDI CARD DEP PHDVOCTran 030626 XXXXX4178 PHDVOC-Lakeshore Manag 9000566345 126804178 R00000091005965829124N</t>
  </si>
  <si>
    <t>YARDI CARD DEP PHDVOCTran 030626 XXXXX3008 PHDVOC-Lakeshore Manag 9000566345 126803008 R00000091005965466281N</t>
  </si>
  <si>
    <t>WT SEQ#10245 WELLS FARGO CRE LENDING /BNF=CASA VERDE MHC LLC SRF# LIQD000000077038 TRN#260305010245 RFB# LIQD000000077038</t>
  </si>
  <si>
    <t>WT SEQ#08786 WELLS FARGO CRE LENDING /BNF=CASA VERDE MHC LLC SRF# LIQD000000076859 TRN#260305008786 RFB# LIQD000000076859</t>
  </si>
  <si>
    <t>WT SEQ#10164 WELLS FARGO CRE LENDING /BNF=CASA VERDE MHC LLC SRF# LIQD000000076977 TRN#260305010164 RFB# LIQD000000076977</t>
  </si>
  <si>
    <t>ACH ORIGINATION - Palm Haven - FILE EDIMN00004 COID LAK3642458 LAK3642458 FILE EDIMN00004 0S00000091005772835784N</t>
  </si>
  <si>
    <t>LAKESHOREMANAGEM Settlement 030526 000026453280474 Yardi Process Master 1 9000326709 000026453280474 R00000091005762357926N</t>
  </si>
  <si>
    <t>LAKESHOREMANAGEM Settlement 030526 000026453537098 Yardi Process Master 1 9000326709 000026453537098 R00000091005762255230N</t>
  </si>
  <si>
    <t>YARDI CARD DEP PHDVOCTran 030526 XXXXX4258 PHDVOC-Lakeshore Manag 9000566345 126654258 R00000091005762342300N</t>
  </si>
  <si>
    <t>YARDI CARD DEP PHDVOCTran 030526 XXXXX7006 PHDVOC-Lakeshore Manag 9000566345 126657006 R00000091005762421395N</t>
  </si>
  <si>
    <t>WT SEQ452008 LAKESHORE EMPLOYMENT, I /BNF=LAKESHORE EMPLOYMENT, INC. SRF# PPE022826 TRN#260304452008 RFB# 14262</t>
  </si>
  <si>
    <t>WT SEQ453487 LS LEND B LLC /BNF=LS LEND B LLC SRF# WF LN Int 226 TRN#260304453487 RFB# 14347</t>
  </si>
  <si>
    <t>LAKESHOREMANAGEM Settlement 030426 000026440081862 Yardi Process Master 1 9000326709 000026440081862 R00000091005467092860N</t>
  </si>
  <si>
    <t>YARDI CARD DEP PHDVOCTran 030426 XXXXX9643 PHDVOC-Lakeshore Manag 9000566345 126439643 R00000091005467010803N</t>
  </si>
  <si>
    <t>LAKESHOREMANAGEM Settlement 030326 000026423301522 Yardi Process Master 1 9000326709 000026423301522 R00000091004335162425N</t>
  </si>
  <si>
    <t>YARDI CARD DEP PHDVOCTran 030326 XXXXX9493 PHDVOC-Lakeshore Manag 9000566345 126299493 R00000091004335225947N</t>
  </si>
  <si>
    <t>PHDVOC BILL PAY 030226 FPM5CL 0000Lakeshore Manage 9000820926 FPM5CL 0R00000091004150905778N</t>
  </si>
  <si>
    <t>LAKESHOREMANAGEM Settlement 030226 000026401751730 Yardi Process Master 1 9000326709 000026401751730 R00000091003638440676N</t>
  </si>
  <si>
    <t>LAKESHOREMANAGEM Settlement 030226 000026378172374 Yardi Process Master 1 9000326709 000026378172374 R00000091004151321583N</t>
  </si>
  <si>
    <t>YARDI CARD DEP PHDVOCTran 030226 XXXXX0067 PHDVOC-Lakeshore Manag 9000566345 126230067 R00000091004150902140N</t>
  </si>
  <si>
    <t>R-38394</t>
  </si>
  <si>
    <t>R-38395</t>
  </si>
  <si>
    <t>R-38396</t>
  </si>
  <si>
    <t>R-38397</t>
  </si>
  <si>
    <t>R-38398</t>
  </si>
  <si>
    <t>R-38399</t>
  </si>
  <si>
    <t>R-38400</t>
  </si>
  <si>
    <t>R-38401</t>
  </si>
  <si>
    <t>R-38402</t>
  </si>
  <si>
    <t>R-38423</t>
  </si>
  <si>
    <t>R-38424</t>
  </si>
  <si>
    <t>R-38425</t>
  </si>
  <si>
    <t>R-38426</t>
  </si>
  <si>
    <t>R-38427</t>
  </si>
  <si>
    <t>R-38428</t>
  </si>
  <si>
    <t>R-38429</t>
  </si>
  <si>
    <t>R-38430</t>
  </si>
  <si>
    <t>R-38443</t>
  </si>
  <si>
    <t>R-38444</t>
  </si>
  <si>
    <t>R-38449</t>
  </si>
  <si>
    <t>R-38450</t>
  </si>
  <si>
    <t>R-38451</t>
  </si>
  <si>
    <t>R-38589</t>
  </si>
  <si>
    <t>R-38762</t>
  </si>
  <si>
    <t>R-38776</t>
  </si>
  <si>
    <t>R-38801</t>
  </si>
  <si>
    <t>R-38882</t>
  </si>
  <si>
    <t>:ACH-414702</t>
  </si>
  <si>
    <t>R-38883</t>
  </si>
  <si>
    <t>:ACH-414703</t>
  </si>
  <si>
    <t>R-38884</t>
  </si>
  <si>
    <t>:ACH-414704</t>
  </si>
  <si>
    <t>R-38885</t>
  </si>
  <si>
    <t>:ACH-414705</t>
  </si>
  <si>
    <t>R-38886</t>
  </si>
  <si>
    <t>:ACH-414706</t>
  </si>
  <si>
    <t>R-38887</t>
  </si>
  <si>
    <t>:ACH-414707</t>
  </si>
  <si>
    <t>R-38888</t>
  </si>
  <si>
    <t>:ACH-414708</t>
  </si>
  <si>
    <t>R-38889</t>
  </si>
  <si>
    <t>:ACH-414709</t>
  </si>
  <si>
    <t>R-38890</t>
  </si>
  <si>
    <t>331866741</t>
  </si>
  <si>
    <t>R-38891</t>
  </si>
  <si>
    <t>331866784</t>
  </si>
  <si>
    <t>R-38892</t>
  </si>
  <si>
    <t>:ACH-414710</t>
  </si>
  <si>
    <t>R-38893</t>
  </si>
  <si>
    <t>:ACH-414711</t>
  </si>
  <si>
    <t>R-38894</t>
  </si>
  <si>
    <t>:ACH-414712</t>
  </si>
  <si>
    <t>R-38895</t>
  </si>
  <si>
    <t>331866836</t>
  </si>
  <si>
    <t>R-38897</t>
  </si>
  <si>
    <t>331866915</t>
  </si>
  <si>
    <t>R-38949</t>
  </si>
  <si>
    <t>331876249</t>
  </si>
  <si>
    <t>R-38973</t>
  </si>
  <si>
    <t>331977519</t>
  </si>
  <si>
    <t>R-38977</t>
  </si>
  <si>
    <t>331986448</t>
  </si>
  <si>
    <t>R-38996</t>
  </si>
  <si>
    <t>R-39000</t>
  </si>
  <si>
    <t>R-39005</t>
  </si>
  <si>
    <t>R-39020</t>
  </si>
  <si>
    <t>R-39024</t>
  </si>
  <si>
    <t>R-39043</t>
  </si>
  <si>
    <t>R-39047</t>
  </si>
  <si>
    <t>332116365</t>
  </si>
  <si>
    <t>R-39053</t>
  </si>
  <si>
    <t>R-39070</t>
  </si>
  <si>
    <t>332199084</t>
  </si>
  <si>
    <t>R-39080</t>
  </si>
  <si>
    <t>332219329</t>
  </si>
  <si>
    <t>R-39085</t>
  </si>
  <si>
    <t>R-39129</t>
  </si>
  <si>
    <t>332371801</t>
  </si>
  <si>
    <t>R-39131</t>
  </si>
  <si>
    <t>R-39159</t>
  </si>
  <si>
    <t>R-39162</t>
  </si>
  <si>
    <t>332435380</t>
  </si>
  <si>
    <t>R-39168</t>
  </si>
  <si>
    <t>R-39180</t>
  </si>
  <si>
    <t>332487454</t>
  </si>
  <si>
    <t>J-353139</t>
  </si>
  <si>
    <t>:Reversal of J-353137</t>
  </si>
  <si>
    <t>J-355241</t>
  </si>
  <si>
    <t>:Reversal of J-353505</t>
  </si>
  <si>
    <t>J-355242</t>
  </si>
  <si>
    <t>:Reversal of J-353506</t>
  </si>
  <si>
    <t>J-357298</t>
  </si>
  <si>
    <t>:Reversal of J-357222</t>
  </si>
  <si>
    <t>J-357299</t>
  </si>
  <si>
    <t>:Reversal of J-357223</t>
  </si>
  <si>
    <t>K-535107</t>
  </si>
  <si>
    <t>K-535275</t>
  </si>
  <si>
    <t>R-39183</t>
  </si>
  <si>
    <t>R-39188</t>
  </si>
  <si>
    <t>:ACH-414851</t>
  </si>
  <si>
    <t>R-39189</t>
  </si>
  <si>
    <t>332551826</t>
  </si>
  <si>
    <t>R-39204</t>
  </si>
  <si>
    <t>332552013</t>
  </si>
  <si>
    <t>R-39205</t>
  </si>
  <si>
    <t>332552033</t>
  </si>
  <si>
    <t>R-39206</t>
  </si>
  <si>
    <t>332552049</t>
  </si>
  <si>
    <t>R-39227</t>
  </si>
  <si>
    <t>R-39247</t>
  </si>
  <si>
    <t>R-39257</t>
  </si>
  <si>
    <t>332651212</t>
  </si>
  <si>
    <t>R-39262</t>
  </si>
  <si>
    <t>332665101</t>
  </si>
  <si>
    <t>R-39269</t>
  </si>
  <si>
    <t>R-39273</t>
  </si>
  <si>
    <t>332704112</t>
  </si>
  <si>
    <t>R-39277</t>
  </si>
  <si>
    <t>332723604</t>
  </si>
  <si>
    <t>R-39281</t>
  </si>
  <si>
    <t>R-39282</t>
  </si>
  <si>
    <t>332743852</t>
  </si>
  <si>
    <t>R-39291</t>
  </si>
  <si>
    <t>332765507</t>
  </si>
  <si>
    <t>R-39293</t>
  </si>
  <si>
    <t>R-39318</t>
  </si>
  <si>
    <t>332843362</t>
  </si>
  <si>
    <t>R-39322</t>
  </si>
  <si>
    <t>R-39372</t>
  </si>
  <si>
    <t>332872833</t>
  </si>
  <si>
    <t>R-39402</t>
  </si>
  <si>
    <t>R-39403</t>
  </si>
  <si>
    <t>J-357801</t>
  </si>
  <si>
    <t>Sweep Interest Payment - March'26</t>
  </si>
  <si>
    <t>K-536056</t>
  </si>
  <si>
    <t>1910</t>
  </si>
  <si>
    <t>K-536223</t>
  </si>
  <si>
    <t>1266</t>
  </si>
  <si>
    <t>R-39442</t>
  </si>
  <si>
    <t>332992140</t>
  </si>
  <si>
    <t>R-39455</t>
  </si>
  <si>
    <t>:ACH-415462</t>
  </si>
  <si>
    <t>R-39470</t>
  </si>
  <si>
    <t>332999455</t>
  </si>
  <si>
    <t>R-39491</t>
  </si>
  <si>
    <t>R-39492</t>
  </si>
  <si>
    <t>333019668</t>
  </si>
  <si>
    <t>R-39501</t>
  </si>
  <si>
    <t>R-39504</t>
  </si>
  <si>
    <t>R-39585</t>
  </si>
  <si>
    <t>R-39593</t>
  </si>
  <si>
    <t>333193475</t>
  </si>
  <si>
    <t>R-39606</t>
  </si>
  <si>
    <t>R-39609</t>
  </si>
  <si>
    <t>9646514298</t>
  </si>
  <si>
    <t>R-39610</t>
  </si>
  <si>
    <t>40198213976567</t>
  </si>
  <si>
    <t>R-39611</t>
  </si>
  <si>
    <t>40198213976558</t>
  </si>
  <si>
    <t>R-39612</t>
  </si>
  <si>
    <t>40198213976540</t>
  </si>
  <si>
    <t>R-39613</t>
  </si>
  <si>
    <t>40198213976531</t>
  </si>
  <si>
    <t>R-39614</t>
  </si>
  <si>
    <t>40198213976576</t>
  </si>
  <si>
    <t>R-39617</t>
  </si>
  <si>
    <t>0238</t>
  </si>
  <si>
    <t>R-39618</t>
  </si>
  <si>
    <t>40198213977530</t>
  </si>
  <si>
    <t>R-39619</t>
  </si>
  <si>
    <t>40198213977548</t>
  </si>
  <si>
    <t>R-39620</t>
  </si>
  <si>
    <t>40198213977557</t>
  </si>
  <si>
    <t>R-39621</t>
  </si>
  <si>
    <t>40198134200387</t>
  </si>
  <si>
    <t>R-39622</t>
  </si>
  <si>
    <t>40198134200378</t>
  </si>
  <si>
    <t>R-39623</t>
  </si>
  <si>
    <t>40198134200396</t>
  </si>
  <si>
    <t>R-39630</t>
  </si>
  <si>
    <t>R-39633</t>
  </si>
  <si>
    <t>333262156</t>
  </si>
  <si>
    <t>R-39637</t>
  </si>
  <si>
    <t>R-39669</t>
  </si>
  <si>
    <t>R-39670</t>
  </si>
  <si>
    <t>333336148</t>
  </si>
  <si>
    <t>R-39674</t>
  </si>
  <si>
    <t>J-353375</t>
  </si>
  <si>
    <t>Record 03.03.26 Deposit Casa Verde SWAP PB- 075</t>
  </si>
  <si>
    <t>K-536421</t>
  </si>
  <si>
    <t>1267</t>
  </si>
  <si>
    <t>K-536569</t>
  </si>
  <si>
    <t>1911</t>
  </si>
  <si>
    <t>R-39689</t>
  </si>
  <si>
    <t>R-39693</t>
  </si>
  <si>
    <t>:ACH-415831</t>
  </si>
  <si>
    <t>R-39695</t>
  </si>
  <si>
    <t>:ACH-415833</t>
  </si>
  <si>
    <t>R-39722</t>
  </si>
  <si>
    <t>333390563</t>
  </si>
  <si>
    <t>R-39732</t>
  </si>
  <si>
    <t>R-39734</t>
  </si>
  <si>
    <t>333410461</t>
  </si>
  <si>
    <t>R-39777</t>
  </si>
  <si>
    <t>333447908</t>
  </si>
  <si>
    <t>R-39791</t>
  </si>
  <si>
    <t>R-39814</t>
  </si>
  <si>
    <t>R-39825</t>
  </si>
  <si>
    <t>333518854</t>
  </si>
  <si>
    <t>R-39848</t>
  </si>
  <si>
    <t>R-39865</t>
  </si>
  <si>
    <t>333556823</t>
  </si>
  <si>
    <t>R-39889</t>
  </si>
  <si>
    <t>R-39916</t>
  </si>
  <si>
    <t>J-355025</t>
  </si>
  <si>
    <t>K-536723</t>
  </si>
  <si>
    <t>K-536854</t>
  </si>
  <si>
    <t>R-39929</t>
  </si>
  <si>
    <t>R-40018</t>
  </si>
  <si>
    <t>:ACH-416105</t>
  </si>
  <si>
    <t>R-40019</t>
  </si>
  <si>
    <t>:ACH-416106</t>
  </si>
  <si>
    <t>R-40020</t>
  </si>
  <si>
    <t>:ACH-416107</t>
  </si>
  <si>
    <t>R-40021</t>
  </si>
  <si>
    <t>:ACH-416108</t>
  </si>
  <si>
    <t>R-40054</t>
  </si>
  <si>
    <t>:ACH-416139</t>
  </si>
  <si>
    <t>R-40055</t>
  </si>
  <si>
    <t>:ACH-416140</t>
  </si>
  <si>
    <t>R-40056</t>
  </si>
  <si>
    <t>:ACH-416141</t>
  </si>
  <si>
    <t>R-40057</t>
  </si>
  <si>
    <t>:ACH-416142</t>
  </si>
  <si>
    <t>R-40058</t>
  </si>
  <si>
    <t>:ACH-416143</t>
  </si>
  <si>
    <t>R-40059</t>
  </si>
  <si>
    <t>:ACH-416144</t>
  </si>
  <si>
    <t>R-40060</t>
  </si>
  <si>
    <t>:ACH-416145</t>
  </si>
  <si>
    <t>R-40061</t>
  </si>
  <si>
    <t>:ACH-416146</t>
  </si>
  <si>
    <t>R-40062</t>
  </si>
  <si>
    <t>:ACH-416147</t>
  </si>
  <si>
    <t>R-40063</t>
  </si>
  <si>
    <t>:ACH-416148</t>
  </si>
  <si>
    <t>R-40064</t>
  </si>
  <si>
    <t>:ACH-416149</t>
  </si>
  <si>
    <t>R-40065</t>
  </si>
  <si>
    <t>333663419</t>
  </si>
  <si>
    <t>R-40214</t>
  </si>
  <si>
    <t>333670939</t>
  </si>
  <si>
    <t>R-40230</t>
  </si>
  <si>
    <t>333695206</t>
  </si>
  <si>
    <t>R-40307</t>
  </si>
  <si>
    <t>333793845</t>
  </si>
  <si>
    <t>R-40309</t>
  </si>
  <si>
    <t>333796217</t>
  </si>
  <si>
    <t>R-40327</t>
  </si>
  <si>
    <t>1094 13149440</t>
  </si>
  <si>
    <t>R-40328</t>
  </si>
  <si>
    <t>1094 13149450</t>
  </si>
  <si>
    <t>R-40329</t>
  </si>
  <si>
    <t>00445</t>
  </si>
  <si>
    <t>R-40330</t>
  </si>
  <si>
    <t>00898</t>
  </si>
  <si>
    <t>R-40331</t>
  </si>
  <si>
    <t>0155</t>
  </si>
  <si>
    <t>R-40332</t>
  </si>
  <si>
    <t>0130</t>
  </si>
  <si>
    <t>R-40334</t>
  </si>
  <si>
    <t>6613500826</t>
  </si>
  <si>
    <t>R-40335</t>
  </si>
  <si>
    <t>6613500927</t>
  </si>
  <si>
    <t>R-40338</t>
  </si>
  <si>
    <t>R-40348</t>
  </si>
  <si>
    <t>333851182</t>
  </si>
  <si>
    <t>R-40353</t>
  </si>
  <si>
    <t>333853667</t>
  </si>
  <si>
    <t>R-40426</t>
  </si>
  <si>
    <t>R-40429</t>
  </si>
  <si>
    <t>333902710</t>
  </si>
  <si>
    <t>R-40463</t>
  </si>
  <si>
    <t>333933533</t>
  </si>
  <si>
    <t>R-40468</t>
  </si>
  <si>
    <t>333936678</t>
  </si>
  <si>
    <t>R-40503</t>
  </si>
  <si>
    <t>334011526</t>
  </si>
  <si>
    <t>R-40505</t>
  </si>
  <si>
    <t>334014595</t>
  </si>
  <si>
    <t>R-40539</t>
  </si>
  <si>
    <t>334066523</t>
  </si>
  <si>
    <t>R-40542</t>
  </si>
  <si>
    <t>334101517</t>
  </si>
  <si>
    <t>R-40551</t>
  </si>
  <si>
    <t>R-40685</t>
  </si>
  <si>
    <t>R-40517</t>
  </si>
  <si>
    <t>R-40561</t>
  </si>
  <si>
    <t>R-40566</t>
  </si>
  <si>
    <t>334151871</t>
  </si>
  <si>
    <t>R-40581</t>
  </si>
  <si>
    <t>K-537645</t>
  </si>
  <si>
    <t>K-537824</t>
  </si>
  <si>
    <t>R-40592</t>
  </si>
  <si>
    <t>K-537993</t>
  </si>
  <si>
    <t>R-40653</t>
  </si>
  <si>
    <t>R-40656</t>
  </si>
  <si>
    <t>40198206301412</t>
  </si>
  <si>
    <t>R-40657</t>
  </si>
  <si>
    <t>40198206301421</t>
  </si>
  <si>
    <t>R-40658</t>
  </si>
  <si>
    <t>40198206301430</t>
  </si>
  <si>
    <t>R-40659</t>
  </si>
  <si>
    <t>40198213978160</t>
  </si>
  <si>
    <t>R-40660</t>
  </si>
  <si>
    <t>40198213978151</t>
  </si>
  <si>
    <t>R-40661</t>
  </si>
  <si>
    <t>40198213978178</t>
  </si>
  <si>
    <t>R-40662</t>
  </si>
  <si>
    <t>6613500831</t>
  </si>
  <si>
    <t>R-40652</t>
  </si>
  <si>
    <t>R-40686</t>
  </si>
  <si>
    <t>K-538768</t>
  </si>
  <si>
    <t>1268</t>
  </si>
  <si>
    <t>R-40720</t>
  </si>
  <si>
    <t>R-40721</t>
  </si>
  <si>
    <t>R-40722</t>
  </si>
  <si>
    <t>R-40804</t>
  </si>
  <si>
    <t>334550614</t>
  </si>
  <si>
    <t>J-358659</t>
  </si>
  <si>
    <t>Laundry Deposits -03/2026</t>
  </si>
  <si>
    <t>K-539095</t>
  </si>
  <si>
    <t>K-539143</t>
  </si>
  <si>
    <t>K-539244</t>
  </si>
  <si>
    <t>1269</t>
  </si>
  <si>
    <t>K-539389</t>
  </si>
  <si>
    <t>1270</t>
  </si>
  <si>
    <t>K-539524</t>
  </si>
  <si>
    <t>K-539661</t>
  </si>
  <si>
    <t>1271</t>
  </si>
  <si>
    <t>R-41166</t>
  </si>
  <si>
    <t>40198134201863</t>
  </si>
  <si>
    <t>R-41167</t>
  </si>
  <si>
    <t>40198134201872</t>
  </si>
  <si>
    <t>R-41168</t>
  </si>
  <si>
    <t>40198134201881</t>
  </si>
  <si>
    <t>R-41175</t>
  </si>
  <si>
    <t>K-539782</t>
  </si>
  <si>
    <t>K-540248</t>
  </si>
  <si>
    <t>K-540316</t>
  </si>
  <si>
    <t>1272</t>
  </si>
  <si>
    <t>R-41688</t>
  </si>
  <si>
    <t>R-41682</t>
  </si>
  <si>
    <t>K-540631</t>
  </si>
  <si>
    <t>K-540632</t>
  </si>
  <si>
    <t>K-540633</t>
  </si>
  <si>
    <t>1922</t>
  </si>
  <si>
    <t>K-540769</t>
  </si>
  <si>
    <t>1273</t>
  </si>
  <si>
    <t>R-41736</t>
  </si>
  <si>
    <t>K-540900</t>
  </si>
  <si>
    <t>K-541026</t>
  </si>
  <si>
    <t>1274</t>
  </si>
  <si>
    <t>K-541158</t>
  </si>
  <si>
    <t>K-541290</t>
  </si>
  <si>
    <t>1275</t>
  </si>
  <si>
    <t>K-541435</t>
  </si>
  <si>
    <t>1923</t>
  </si>
  <si>
    <t>R-41770</t>
  </si>
  <si>
    <t>335000668</t>
  </si>
  <si>
    <t>K-541949</t>
  </si>
  <si>
    <t>1276</t>
  </si>
  <si>
    <t>K-542072</t>
  </si>
  <si>
    <t>1277</t>
  </si>
  <si>
    <t>R-41798</t>
  </si>
  <si>
    <t>R-41799</t>
  </si>
  <si>
    <t>R-41800</t>
  </si>
  <si>
    <t>R-41801</t>
  </si>
  <si>
    <t>R-41815</t>
  </si>
  <si>
    <t>00131</t>
  </si>
  <si>
    <t>R-41825</t>
  </si>
  <si>
    <t>335111319</t>
  </si>
  <si>
    <t>K-542218</t>
  </si>
  <si>
    <t>1278</t>
  </si>
  <si>
    <t>K-542253</t>
  </si>
  <si>
    <t>1279</t>
  </si>
  <si>
    <t>K-542324</t>
  </si>
  <si>
    <t>K-542350</t>
  </si>
  <si>
    <t>1280</t>
  </si>
  <si>
    <t>K-542630</t>
  </si>
  <si>
    <t>1281</t>
  </si>
  <si>
    <t>K-542631</t>
  </si>
  <si>
    <t>1282</t>
  </si>
  <si>
    <t>K-542632</t>
  </si>
  <si>
    <t>1283</t>
  </si>
  <si>
    <t>K-542633</t>
  </si>
  <si>
    <t>1284</t>
  </si>
  <si>
    <t>K-542634</t>
  </si>
  <si>
    <t>1285</t>
  </si>
  <si>
    <t>K-542635</t>
  </si>
  <si>
    <t>1286</t>
  </si>
  <si>
    <t>K-542926</t>
  </si>
  <si>
    <t>R-41890</t>
  </si>
  <si>
    <t>335282871</t>
  </si>
  <si>
    <t>R-41912</t>
  </si>
  <si>
    <t>K-543072</t>
  </si>
  <si>
    <t>R-41995</t>
  </si>
  <si>
    <t>335424740</t>
  </si>
  <si>
    <t>K-543355</t>
  </si>
  <si>
    <t>1925</t>
  </si>
  <si>
    <t>K-543422</t>
  </si>
  <si>
    <t>1926</t>
  </si>
  <si>
    <t>R-42803</t>
  </si>
  <si>
    <t>335445222</t>
  </si>
  <si>
    <t>R-42889</t>
  </si>
  <si>
    <t>9646514512</t>
  </si>
  <si>
    <t>R-42890</t>
  </si>
  <si>
    <t>3005</t>
  </si>
  <si>
    <t>R-42939</t>
  </si>
  <si>
    <t>R-42940</t>
  </si>
  <si>
    <t>R-42941</t>
  </si>
  <si>
    <t>R-42942</t>
  </si>
  <si>
    <t>R-42943</t>
  </si>
  <si>
    <t>R-42957</t>
  </si>
  <si>
    <t>J-359023</t>
  </si>
  <si>
    <t>R-43166</t>
  </si>
  <si>
    <t>R-43170</t>
  </si>
  <si>
    <t>K-543984</t>
  </si>
  <si>
    <t>1287</t>
  </si>
  <si>
    <t>K-544210</t>
  </si>
  <si>
    <t>1288</t>
  </si>
  <si>
    <t>R-43289</t>
  </si>
  <si>
    <t>336082478</t>
  </si>
  <si>
    <t>K-544813</t>
  </si>
  <si>
    <t>1289</t>
  </si>
  <si>
    <t>K-544986</t>
  </si>
  <si>
    <t>1290</t>
  </si>
  <si>
    <t>R-43366</t>
  </si>
  <si>
    <t>0153</t>
  </si>
  <si>
    <t>R-43367</t>
  </si>
  <si>
    <t>J-359030</t>
  </si>
  <si>
    <t>03/2026 Mortgages 97-119</t>
  </si>
  <si>
    <t>J-359040</t>
  </si>
  <si>
    <t>J-359274</t>
  </si>
  <si>
    <t>Mar 2026 paybacks</t>
  </si>
  <si>
    <t>J-360670</t>
  </si>
  <si>
    <t>Park Mgmt Fees Mar 2026</t>
  </si>
  <si>
    <t>J-360671</t>
  </si>
  <si>
    <t>02-26 SWAP/PB Casa Verde-Deposit</t>
  </si>
  <si>
    <t>Beacon Protection Group LLC (v0011552)</t>
  </si>
  <si>
    <t>T/F from PARKS to LS Lend B to LSM to pay WF inventory loan interest-02/28/26</t>
  </si>
  <si>
    <t>Laundry Deposits -03/12/2026</t>
  </si>
  <si>
    <t>CSC - Corporation Service Company (v0000317)</t>
  </si>
  <si>
    <t>Lutz Bobo &amp; Telfair PA (v0001333)</t>
  </si>
  <si>
    <t>DronePhd LLC (v0011976)</t>
  </si>
  <si>
    <t>Hoang (t0004136)</t>
  </si>
  <si>
    <t>Convenient Payments Mar'26</t>
  </si>
  <si>
    <t>Accrue Casa Verde MAR 2026 swap PB :Reversed by J-359045</t>
  </si>
  <si>
    <t>Park Mgmt Fees Mar 2026 :Reversed by J-360817</t>
  </si>
  <si>
    <t>Park Mgmt Fees Mar 2026 :Reversed by J-360818</t>
  </si>
  <si>
    <t>Recurring Credit Card Payment;</t>
  </si>
  <si>
    <t>WIPS Receipt Reference Number: 966307223621</t>
  </si>
  <si>
    <t>Utility Invoice Processing (UEM) 01/01/2026 - 01/31/2026 Inv# 1376009</t>
  </si>
  <si>
    <t>Acc# G1815 Pool phones 3/01/26-3/31/26</t>
  </si>
  <si>
    <t>PB FOR RESULT TECH INV # 2500</t>
  </si>
  <si>
    <t>Online Payment - EFT Payment. Mobile App - Resident Services NSFed by ctrl# 40517 Automatic NSF B903MQ3TLJ2, Return Code: R01 Uncollected NSF</t>
  </si>
  <si>
    <t>Record 03.03.26 Deposit Casa Verde  SWAP PB-113</t>
  </si>
  <si>
    <t>Record 03.03.26 Deposit Casa Verde  SWAP PB-114</t>
  </si>
  <si>
    <t>Monitoring Intercom 02/2026</t>
  </si>
  <si>
    <t>DEPT 15130 ppe 02/28/26</t>
  </si>
  <si>
    <t>DEPT 35200 ppe 02/28/26</t>
  </si>
  <si>
    <t>Screening Residents 02/26</t>
  </si>
  <si>
    <t>PB YARDI INVOICE # 5177909 APRIL 2026</t>
  </si>
  <si>
    <t>Pre-Authorized Payment NSFed by ctrl# 40592 Automatic NSF VPCZMQ3TLJ4, Return Code: R01 Uncollected NSF</t>
  </si>
  <si>
    <t>Pre-Authorized Payment NSFed by ctrl# 41682 Automatic NSF 9RCZMQ3TLJ4, Return Code: R10 Unauthorized</t>
  </si>
  <si>
    <t>Pre-Authorized Payment NSFed by ctrl# 40652 Automatic NSF JRCZMQ3TLJ4, Return Code: R01 Uncollected NSF</t>
  </si>
  <si>
    <t>WIPS Receipt Reference Number: 827835864615</t>
  </si>
  <si>
    <t>NSF receipt Ctrl# 39501</t>
  </si>
  <si>
    <t>MARCH 2026 COMMERCIAL POOL SERVICE AND LATE FEE</t>
  </si>
  <si>
    <t>PB YARDI INVOICE #5184559 FEBRUARY 2026</t>
  </si>
  <si>
    <t>NSF receipt Ctrl# 40021</t>
  </si>
  <si>
    <t>PB FOR PAINT THE WEB INV # 1414</t>
  </si>
  <si>
    <t>NSF receipt Ctrl# 40062</t>
  </si>
  <si>
    <t>Amex MSFT ATP P1-634 W2156513 Jan 2026</t>
  </si>
  <si>
    <t>Business Essentials-254 W2156513 Jan 2026</t>
  </si>
  <si>
    <t>113phv Laundry Rev CSC Serviceworks CI CK# 0015352144 Deposited 03/12/2026</t>
  </si>
  <si>
    <t>2026 JUNE DE LLCLPGP RENEWALS</t>
  </si>
  <si>
    <t>01/27/2026-02/23/2026-Sewer-51222-002-25136827-4791 SW 82 AVE 4/Office</t>
  </si>
  <si>
    <t>01/27/2026-02/23/2026-Water-51222-002-25136827-4791 SW 82 AVE 4/Office</t>
  </si>
  <si>
    <t>Jan 26 Invoices</t>
  </si>
  <si>
    <t>PB YARDI INVOICE # 5195692 FEBRUARY 2026</t>
  </si>
  <si>
    <t>01/27/2026-02/23/2026-Sewer-49986-002-25159806-4800 S Pine Island RD REC</t>
  </si>
  <si>
    <t>01/27/2026-02/23/2026-Water-49986-002-25159806-4800 S Pine Island RD REC</t>
  </si>
  <si>
    <t>NSF receipt Ctrl# 40061</t>
  </si>
  <si>
    <t>GENERAL LEGAL REPRESENTATION</t>
  </si>
  <si>
    <t>ScreeningWorks - Credit Report w SSN Fraud, 02/2026- 1 Units</t>
  </si>
  <si>
    <t>ScreeningWorks - Civil Court Records, 02/2026- 1 Units</t>
  </si>
  <si>
    <t>ScreeningWorks - Premium National Criminal Base, 02/2026- 1 Units</t>
  </si>
  <si>
    <t>ScreeningWorks - Rental History, 02/2026- 1 Units</t>
  </si>
  <si>
    <t>YRS Employment Verification, 02/2026- 1 Units</t>
  </si>
  <si>
    <t>ScreeningWorks- Nova Income Verification, 02/2026- 2 Units</t>
  </si>
  <si>
    <t>Drone Footage</t>
  </si>
  <si>
    <t>DEPT 15130 ppe 03/14/26</t>
  </si>
  <si>
    <t>DEPT 35200 ppe 03/14/26</t>
  </si>
  <si>
    <t>PB FOR STATE LISTING INV # 20202870</t>
  </si>
  <si>
    <t>PB FOR MARCH 26?ADT</t>
  </si>
  <si>
    <t>DronePHD INV#2026-03-0056</t>
  </si>
  <si>
    <t>PB -067 Mar 2026 MTG Tax Escrow</t>
  </si>
  <si>
    <t>02/18/2026-03/18/2026-Electric-48180-57319-ACD9130-4791 SW 82ND AVE</t>
  </si>
  <si>
    <t>02/18/2026-03/18/2026-Electric-34381-77317-ACD4199-4791 SW 82ND AVE LOT 4 OFF&amp;LAWN</t>
  </si>
  <si>
    <t>02/18/2026-03/18/2026-Electric-54555-21517-KCJ3648-4800 S Pine Island Rd # Rec</t>
  </si>
  <si>
    <t>02/18/2026-03/18/2026-Electric-20632-67310-ACD7393-4759 SW 82ND AVE</t>
  </si>
  <si>
    <t>02/18/2026-03/18/2026-Electric-75476-11512-ACD7885-4800 S Pine Island Rd # PMP</t>
  </si>
  <si>
    <t>02/18/2026-03/18/2026-Electric-79566-33163-Electric 1-4800 S PINE ISLAND RD # OL</t>
  </si>
  <si>
    <t>Monthly Landscaping Maintenance for the month of the bill date.</t>
  </si>
  <si>
    <t>8495 75 262 1962118-03/16/2026</t>
  </si>
  <si>
    <t>WIPS Receipt Reference Number: 934042487935</t>
  </si>
  <si>
    <t>Enterprise Batch381316 3/30/26</t>
  </si>
  <si>
    <t>T-Mobile Invoices Through 2.28.26</t>
  </si>
  <si>
    <t>Nextiva VoIP Feb</t>
  </si>
  <si>
    <t>AMBS Call Center Feb</t>
  </si>
  <si>
    <t>Expo dry erase markers Cashier also rang up personal drinks Items were returned</t>
  </si>
  <si>
    <t>Return of drinks From accidentall scan</t>
  </si>
  <si>
    <t>Acrylic sign holder for window Acrylic brochure holder X 2</t>
  </si>
  <si>
    <t>Replace ring doorbell at palm have</t>
  </si>
  <si>
    <t>Welcome flag for community event</t>
  </si>
  <si>
    <t>Dawn dish soap for lift stations</t>
  </si>
  <si>
    <t>4 tires for the golf cart</t>
  </si>
  <si>
    <t>Items for the saftey corner</t>
  </si>
  <si>
    <t>Yellow street paint paint trays rollers to paint speed bumps</t>
  </si>
  <si>
    <t>Black trash bags white foam flat brushes painters tape roller sleves for repairs and maintenance</t>
  </si>
  <si>
    <t>4th quarter QBR 2025</t>
  </si>
  <si>
    <t>Accrue (113) Casa Verde MAR 2026 swap PB</t>
  </si>
  <si>
    <t>Accrue (114) Casa Verde MAR 2026 swap PB</t>
  </si>
  <si>
    <t>PB from Palm Haven SP for multiple BWalter Center Card charges</t>
  </si>
  <si>
    <t>Detail Date Range: 03/01/26 - 03/31/26  (accrual basis)</t>
  </si>
  <si>
    <t>Mar '26</t>
  </si>
  <si>
    <t>Will be cleared on 04/01/2026 with bank transaction</t>
  </si>
  <si>
    <t>Will be cleared on 04/02/2026 with bank transaction</t>
  </si>
  <si>
    <t>Will be reversed on 04/01/2026 with J-359045</t>
  </si>
  <si>
    <t>Will be reversed on 04/01/2026 with J-360817</t>
  </si>
  <si>
    <t>Will be reversed on 04/01/2026 with J-360818</t>
  </si>
  <si>
    <t>Will be reversed on 04/01/2026</t>
  </si>
  <si>
    <t>J-364633</t>
  </si>
  <si>
    <t>J-364634</t>
  </si>
  <si>
    <t>MA March Cash Pk to Hm Pk :Reversed by J-364722</t>
  </si>
  <si>
    <t>MA March Cash Pk to Hm Pk :Reversed by J-364723</t>
  </si>
  <si>
    <t>MA March Cash Pk to Hm Pk</t>
  </si>
  <si>
    <t>Will be cleared on 04/06/2026 with bank transaction</t>
  </si>
  <si>
    <t>Will be reversed on 04/01/2026 with J-364722</t>
  </si>
  <si>
    <t>Will be reversed on 04/01/2026 with J-364723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</si>
</sst>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mm/dd/yy"/>
    <numFmt numFmtId="166" formatCode="&quot;$&quot;#,##0.00"/>
    <numFmt numFmtId="167" formatCode="mm/dd/yyyy"/>
  </numFmts>
  <fonts count="1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0" fontId="2" fillId="0" borderId="0"/>
    <xf numFmtId="0" fontId="13" fillId="0" borderId="0"/>
    <xf numFmtId="0" fontId="2" fillId="0" borderId="0"/>
    <xf numFmtId="9" fontId="14" fillId="0" borderId="0" applyFont="0" applyFill="0" applyBorder="0" applyAlignment="0" applyProtection="0"/>
  </cellStyleXfs>
  <cellXfs count="278">
    <xf numFmtId="0" fontId="0" fillId="0" borderId="0" xfId="0" applyAlignment="1">
      <alignment horizontal="left" vertical="top"/>
    </xf>
    <xf numFmtId="0" fontId="9" fillId="0" borderId="0" xfId="3" applyFont="1" applyAlignment="1">
      <alignment horizontal="left" vertical="top"/>
    </xf>
    <xf numFmtId="0" fontId="9" fillId="0" borderId="0" xfId="0" applyFont="1" applyAlignment="1">
      <alignment vertical="top"/>
    </xf>
    <xf numFmtId="0" fontId="2" fillId="0" borderId="0" xfId="2" applyAlignment="1">
      <alignment horizontal="center"/>
    </xf>
    <xf numFmtId="40" fontId="2" fillId="0" borderId="0" xfId="6" applyNumberFormat="1" applyFont="1" applyFill="1" applyBorder="1" applyAlignment="1">
      <alignment horizontal="center"/>
    </xf>
    <xf numFmtId="0" fontId="8" fillId="3" borderId="2" xfId="2" applyFont="1" applyFill="1" applyBorder="1" applyAlignment="1">
      <alignment horizontal="center"/>
    </xf>
    <xf numFmtId="0" fontId="2" fillId="0" borderId="3" xfId="2" applyBorder="1" applyAlignment="1">
      <alignment horizontal="center"/>
    </xf>
    <xf numFmtId="0" fontId="3" fillId="0" borderId="0" xfId="4" applyFont="1" applyAlignment="1">
      <alignment horizontal="center"/>
    </xf>
    <xf numFmtId="8" fontId="3" fillId="0" borderId="0" xfId="4" applyNumberFormat="1" applyFont="1" applyAlignment="1">
      <alignment horizontal="center"/>
    </xf>
    <xf numFmtId="39" fontId="2" fillId="0" borderId="0" xfId="2" applyNumberFormat="1" applyAlignment="1">
      <alignment horizontal="center"/>
    </xf>
    <xf numFmtId="40" fontId="2" fillId="0" borderId="0" xfId="2" applyNumberFormat="1" applyAlignment="1">
      <alignment horizontal="center"/>
    </xf>
    <xf numFmtId="0" fontId="2" fillId="0" borderId="0" xfId="4" applyFont="1" applyAlignment="1">
      <alignment horizontal="center"/>
    </xf>
    <xf numFmtId="164" fontId="8" fillId="3" borderId="2" xfId="2" applyNumberFormat="1" applyFont="1" applyFill="1" applyBorder="1" applyAlignment="1">
      <alignment horizontal="center"/>
    </xf>
    <xf numFmtId="164" fontId="2" fillId="0" borderId="3" xfId="2" applyNumberFormat="1" applyBorder="1" applyAlignment="1">
      <alignment horizontal="center"/>
    </xf>
    <xf numFmtId="164" fontId="3" fillId="0" borderId="0" xfId="4" applyNumberFormat="1" applyFont="1" applyAlignment="1">
      <alignment horizontal="center"/>
    </xf>
    <xf numFmtId="164" fontId="2" fillId="0" borderId="0" xfId="4" applyNumberFormat="1" applyFont="1" applyAlignment="1">
      <alignment horizontal="center"/>
    </xf>
    <xf numFmtId="164" fontId="2" fillId="0" borderId="0" xfId="2" applyNumberFormat="1" applyAlignment="1">
      <alignment horizontal="center"/>
    </xf>
    <xf numFmtId="40" fontId="8" fillId="3" borderId="2" xfId="2" applyNumberFormat="1" applyFont="1" applyFill="1" applyBorder="1" applyAlignment="1">
      <alignment horizontal="right"/>
    </xf>
    <xf numFmtId="40" fontId="2" fillId="0" borderId="3" xfId="2" applyNumberFormat="1" applyBorder="1" applyAlignment="1">
      <alignment horizontal="right"/>
    </xf>
    <xf numFmtId="0" fontId="3" fillId="0" borderId="0" xfId="4" applyFont="1" applyAlignment="1">
      <alignment horizontal="right"/>
    </xf>
    <xf numFmtId="40" fontId="2" fillId="0" borderId="0" xfId="6" applyNumberFormat="1" applyFont="1" applyFill="1" applyBorder="1" applyAlignment="1" applyProtection="1">
      <alignment horizontal="right"/>
    </xf>
    <xf numFmtId="40" fontId="2" fillId="0" borderId="0" xfId="6" applyNumberFormat="1" applyFont="1" applyFill="1" applyBorder="1" applyAlignment="1">
      <alignment horizontal="right"/>
    </xf>
    <xf numFmtId="164" fontId="2" fillId="0" borderId="0" xfId="2" applyNumberFormat="1" applyAlignment="1">
      <alignment horizontal="right"/>
    </xf>
    <xf numFmtId="8" fontId="2" fillId="0" borderId="0" xfId="6" applyNumberFormat="1" applyFont="1" applyFill="1" applyBorder="1" applyAlignment="1">
      <alignment horizontal="right"/>
    </xf>
    <xf numFmtId="39" fontId="3" fillId="0" borderId="0" xfId="6" applyNumberFormat="1" applyFont="1" applyFill="1" applyBorder="1" applyAlignment="1" applyProtection="1">
      <alignment horizontal="right"/>
    </xf>
    <xf numFmtId="40" fontId="2" fillId="0" borderId="0" xfId="2" applyNumberFormat="1" applyAlignment="1">
      <alignment horizontal="right"/>
    </xf>
    <xf numFmtId="40" fontId="2" fillId="0" borderId="0" xfId="8" applyNumberFormat="1" applyFont="1" applyFill="1" applyBorder="1" applyAlignment="1" applyProtection="1">
      <alignment horizontal="right"/>
    </xf>
    <xf numFmtId="8" fontId="2" fillId="0" borderId="0" xfId="2" applyNumberFormat="1" applyAlignment="1">
      <alignment horizontal="right"/>
    </xf>
    <xf numFmtId="39" fontId="3" fillId="0" borderId="0" xfId="4" applyNumberFormat="1" applyFont="1" applyAlignment="1">
      <alignment horizontal="right"/>
    </xf>
    <xf numFmtId="164" fontId="2" fillId="0" borderId="0" xfId="6" applyNumberFormat="1" applyFont="1" applyFill="1" applyBorder="1" applyAlignment="1">
      <alignment horizontal="center"/>
    </xf>
    <xf numFmtId="0" fontId="9" fillId="0" borderId="0" xfId="3" applyFont="1" applyAlignment="1">
      <alignment horizontal="center" vertical="top"/>
    </xf>
    <xf numFmtId="164" fontId="9" fillId="0" borderId="0" xfId="3" applyNumberFormat="1" applyFont="1" applyAlignment="1">
      <alignment horizontal="center" vertical="top"/>
    </xf>
    <xf numFmtId="0" fontId="9" fillId="0" borderId="0" xfId="3" applyFont="1" applyAlignment="1">
      <alignment horizontal="right" vertical="top"/>
    </xf>
    <xf numFmtId="0" fontId="3" fillId="0" borderId="0" xfId="9" applyFont="1"/>
    <xf numFmtId="0" fontId="2" fillId="0" borderId="0" xfId="9" applyFont="1"/>
    <xf numFmtId="164" fontId="2" fillId="0" borderId="0" xfId="0" applyNumberFormat="1" applyFont="1" applyAlignment="1">
      <alignment horizontal="right" vertical="top"/>
    </xf>
    <xf numFmtId="40" fontId="9" fillId="0" borderId="0" xfId="0" applyNumberFormat="1" applyFont="1" applyAlignment="1">
      <alignment vertical="top"/>
    </xf>
    <xf numFmtId="40" fontId="3" fillId="0" borderId="0" xfId="2" applyNumberFormat="1" applyFont="1" applyAlignment="1">
      <alignment horizontal="center"/>
    </xf>
    <xf numFmtId="8" fontId="6" fillId="0" borderId="0" xfId="0" applyNumberFormat="1" applyFont="1"/>
    <xf numFmtId="8" fontId="6" fillId="0" borderId="1" xfId="0" applyNumberFormat="1" applyFont="1" applyBorder="1"/>
    <xf numFmtId="8" fontId="3" fillId="0" borderId="0" xfId="4" applyNumberFormat="1" applyFont="1" applyAlignment="1">
      <alignment horizontal="right"/>
    </xf>
    <xf numFmtId="0" fontId="9" fillId="0" borderId="0" xfId="0" applyFont="1"/>
    <xf numFmtId="14" fontId="9" fillId="0" borderId="0" xfId="0" applyNumberFormat="1" applyFont="1" applyAlignment="1">
      <alignment vertical="top"/>
    </xf>
    <xf numFmtId="0" fontId="9" fillId="0" borderId="0" xfId="0" applyFont="1" applyAlignment="1">
      <alignment horizontal="left" vertical="top"/>
    </xf>
    <xf numFmtId="40" fontId="9" fillId="0" borderId="0" xfId="0" applyNumberFormat="1" applyFont="1" applyAlignment="1">
      <alignment horizontal="center" vertical="top"/>
    </xf>
    <xf numFmtId="14" fontId="9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8" fontId="2" fillId="0" borderId="0" xfId="0" applyNumberFormat="1" applyFont="1" applyAlignment="1">
      <alignment horizontal="right" vertical="top"/>
    </xf>
    <xf numFmtId="164" fontId="2" fillId="0" borderId="0" xfId="9" applyNumberFormat="1" applyFont="1"/>
    <xf numFmtId="14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14" fontId="9" fillId="0" borderId="0" xfId="0" applyNumberFormat="1" applyFont="1"/>
    <xf numFmtId="0" fontId="9" fillId="0" borderId="0" xfId="0" applyFont="1" applyAlignment="1">
      <alignment horizontal="right"/>
    </xf>
    <xf numFmtId="8" fontId="9" fillId="0" borderId="0" xfId="0" applyNumberFormat="1" applyFont="1" applyAlignment="1">
      <alignment horizontal="right"/>
    </xf>
    <xf numFmtId="8" fontId="6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8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vertical="top"/>
    </xf>
    <xf numFmtId="40" fontId="2" fillId="0" borderId="0" xfId="6" applyNumberFormat="1" applyFont="1" applyFill="1" applyBorder="1" applyAlignment="1">
      <alignment horizontal="left"/>
    </xf>
    <xf numFmtId="43" fontId="9" fillId="0" borderId="0" xfId="1" applyFont="1" applyFill="1" applyBorder="1" applyAlignment="1">
      <alignment horizontal="left" vertical="top"/>
    </xf>
    <xf numFmtId="40" fontId="3" fillId="0" borderId="0" xfId="6" applyNumberFormat="1" applyFont="1" applyFill="1" applyBorder="1" applyAlignment="1">
      <alignment horizontal="right"/>
    </xf>
    <xf numFmtId="0" fontId="2" fillId="0" borderId="0" xfId="0" applyFont="1" applyAlignment="1">
      <alignment horizontal="right" vertical="top"/>
    </xf>
    <xf numFmtId="0" fontId="6" fillId="4" borderId="0" xfId="0" applyFont="1" applyFill="1" applyAlignment="1">
      <alignment vertical="top"/>
    </xf>
    <xf numFmtId="14" fontId="3" fillId="4" borderId="0" xfId="9" applyNumberFormat="1" applyFont="1" applyFill="1"/>
    <xf numFmtId="0" fontId="3" fillId="4" borderId="0" xfId="9" applyFont="1" applyFill="1"/>
    <xf numFmtId="8" fontId="3" fillId="4" borderId="0" xfId="9" applyNumberFormat="1" applyFont="1" applyFill="1"/>
    <xf numFmtId="8" fontId="3" fillId="0" borderId="5" xfId="0" applyNumberFormat="1" applyFont="1" applyBorder="1" applyAlignment="1">
      <alignment horizontal="right" vertical="top"/>
    </xf>
    <xf numFmtId="14" fontId="6" fillId="4" borderId="0" xfId="0" applyNumberFormat="1" applyFont="1" applyFill="1" applyAlignment="1">
      <alignment vertical="top"/>
    </xf>
    <xf numFmtId="40" fontId="3" fillId="4" borderId="0" xfId="9" applyNumberFormat="1" applyFont="1" applyFill="1" applyAlignment="1">
      <alignment horizontal="center"/>
    </xf>
    <xf numFmtId="8" fontId="9" fillId="0" borderId="0" xfId="3" applyNumberFormat="1" applyFont="1" applyAlignment="1">
      <alignment horizontal="left" vertical="top"/>
    </xf>
    <xf numFmtId="8" fontId="8" fillId="3" borderId="2" xfId="2" applyNumberFormat="1" applyFont="1" applyFill="1" applyBorder="1" applyAlignment="1">
      <alignment horizontal="right"/>
    </xf>
    <xf numFmtId="8" fontId="9" fillId="0" borderId="0" xfId="3" applyNumberFormat="1" applyFont="1" applyAlignment="1">
      <alignment horizontal="right" vertical="top"/>
    </xf>
    <xf numFmtId="8" fontId="3" fillId="0" borderId="0" xfId="0" applyNumberFormat="1" applyFont="1" applyAlignment="1">
      <alignment vertical="top"/>
    </xf>
    <xf numFmtId="164" fontId="2" fillId="0" borderId="0" xfId="9" applyNumberFormat="1" applyFont="1" applyAlignment="1">
      <alignment horizontal="right"/>
    </xf>
    <xf numFmtId="8" fontId="9" fillId="0" borderId="0" xfId="0" applyNumberFormat="1" applyFont="1" applyAlignment="1">
      <alignment horizontal="right" vertical="top"/>
    </xf>
    <xf numFmtId="8" fontId="2" fillId="0" borderId="0" xfId="9" applyNumberFormat="1" applyFont="1"/>
    <xf numFmtId="8" fontId="9" fillId="0" borderId="1" xfId="0" applyNumberFormat="1" applyFont="1" applyBorder="1" applyAlignment="1">
      <alignment horizontal="right" vertical="top"/>
    </xf>
    <xf numFmtId="8" fontId="2" fillId="0" borderId="0" xfId="6" applyNumberFormat="1" applyFont="1" applyFill="1" applyBorder="1" applyAlignment="1"/>
    <xf numFmtId="8" fontId="9" fillId="0" borderId="0" xfId="3" applyNumberFormat="1" applyFont="1" applyAlignment="1">
      <alignment vertical="top"/>
    </xf>
    <xf numFmtId="8" fontId="3" fillId="0" borderId="0" xfId="4" applyNumberFormat="1" applyFont="1"/>
    <xf numFmtId="8" fontId="9" fillId="0" borderId="0" xfId="0" applyNumberFormat="1" applyFont="1"/>
    <xf numFmtId="8" fontId="2" fillId="0" borderId="0" xfId="2" applyNumberFormat="1"/>
    <xf numFmtId="8" fontId="8" fillId="3" borderId="2" xfId="2" applyNumberFormat="1" applyFont="1" applyFill="1" applyBorder="1"/>
    <xf numFmtId="8" fontId="2" fillId="0" borderId="3" xfId="2" applyNumberFormat="1" applyBorder="1"/>
    <xf numFmtId="8" fontId="2" fillId="0" borderId="0" xfId="8" applyNumberFormat="1" applyFont="1" applyFill="1" applyBorder="1" applyAlignment="1" applyProtection="1"/>
    <xf numFmtId="8" fontId="2" fillId="0" borderId="4" xfId="8" applyNumberFormat="1" applyFont="1" applyFill="1" applyBorder="1" applyAlignment="1" applyProtection="1"/>
    <xf numFmtId="8" fontId="12" fillId="0" borderId="4" xfId="2" applyNumberFormat="1" applyFont="1" applyBorder="1"/>
    <xf numFmtId="8" fontId="2" fillId="0" borderId="0" xfId="6" applyNumberFormat="1" applyFont="1" applyFill="1" applyBorder="1" applyAlignment="1" applyProtection="1"/>
    <xf numFmtId="167" fontId="2" fillId="0" borderId="0" xfId="0" applyNumberFormat="1" applyFont="1" applyAlignment="1">
      <alignment vertical="top"/>
    </xf>
    <xf numFmtId="8" fontId="6" fillId="0" borderId="0" xfId="0" applyNumberFormat="1" applyFont="1" applyAlignment="1">
      <alignment horizontal="right" vertical="top"/>
    </xf>
    <xf numFmtId="8" fontId="6" fillId="0" borderId="5" xfId="0" applyNumberFormat="1" applyFont="1" applyBorder="1" applyAlignment="1">
      <alignment horizontal="right" vertical="top"/>
    </xf>
    <xf numFmtId="8" fontId="3" fillId="4" borderId="0" xfId="9" applyNumberFormat="1" applyFont="1" applyFill="1" applyAlignment="1">
      <alignment horizontal="left"/>
    </xf>
    <xf numFmtId="49" fontId="7" fillId="5" borderId="0" xfId="9" applyNumberFormat="1" applyFont="1" applyFill="1"/>
    <xf numFmtId="0" fontId="7" fillId="5" borderId="0" xfId="9" applyFont="1" applyFill="1"/>
    <xf numFmtId="164" fontId="7" fillId="5" borderId="0" xfId="9" applyNumberFormat="1" applyFont="1" applyFill="1"/>
    <xf numFmtId="0" fontId="7" fillId="5" borderId="0" xfId="0" applyFont="1" applyFill="1" applyAlignment="1">
      <alignment vertical="top"/>
    </xf>
    <xf numFmtId="14" fontId="6" fillId="0" borderId="0" xfId="0" applyNumberFormat="1" applyFont="1" applyAlignment="1">
      <alignment horizontal="left" vertical="top"/>
    </xf>
    <xf numFmtId="0" fontId="7" fillId="5" borderId="0" xfId="12" applyFont="1" applyFill="1"/>
    <xf numFmtId="49" fontId="7" fillId="5" borderId="0" xfId="9" applyNumberFormat="1" applyFont="1" applyFill="1" applyAlignment="1">
      <alignment horizontal="center"/>
    </xf>
    <xf numFmtId="164" fontId="7" fillId="5" borderId="0" xfId="9" applyNumberFormat="1" applyFont="1" applyFill="1" applyAlignment="1">
      <alignment horizontal="left"/>
    </xf>
    <xf numFmtId="49" fontId="3" fillId="0" borderId="0" xfId="0" applyNumberFormat="1" applyFont="1" applyAlignment="1">
      <alignment vertical="top"/>
    </xf>
    <xf numFmtId="8" fontId="3" fillId="0" borderId="0" xfId="0" applyNumberFormat="1" applyFont="1" applyAlignment="1">
      <alignment horizontal="right" vertical="top"/>
    </xf>
    <xf numFmtId="164" fontId="3" fillId="0" borderId="0" xfId="2" applyNumberFormat="1" applyFont="1" applyAlignment="1">
      <alignment horizontal="center"/>
    </xf>
    <xf numFmtId="9" fontId="6" fillId="0" borderId="0" xfId="13" applyFont="1" applyFill="1" applyBorder="1" applyAlignment="1">
      <alignment horizontal="left" vertical="top"/>
    </xf>
    <xf numFmtId="8" fontId="7" fillId="5" borderId="0" xfId="9" applyNumberFormat="1" applyFont="1" applyFill="1" applyAlignment="1">
      <alignment horizontal="center"/>
    </xf>
    <xf numFmtId="8" fontId="3" fillId="0" borderId="0" xfId="9" applyNumberFormat="1" applyFont="1" applyAlignment="1">
      <alignment vertical="top"/>
    </xf>
    <xf numFmtId="165" fontId="7" fillId="3" borderId="6" xfId="2" applyNumberFormat="1" applyFont="1" applyFill="1" applyBorder="1" applyAlignment="1">
      <alignment horizontal="left"/>
    </xf>
    <xf numFmtId="8" fontId="8" fillId="3" borderId="7" xfId="2" applyNumberFormat="1" applyFont="1" applyFill="1" applyBorder="1" applyAlignment="1">
      <alignment horizontal="right"/>
    </xf>
    <xf numFmtId="165" fontId="3" fillId="0" borderId="8" xfId="2" applyNumberFormat="1" applyFont="1" applyBorder="1" applyAlignment="1">
      <alignment horizontal="left"/>
    </xf>
    <xf numFmtId="8" fontId="2" fillId="0" borderId="9" xfId="2" applyNumberFormat="1" applyBorder="1"/>
    <xf numFmtId="0" fontId="2" fillId="0" borderId="10" xfId="2" applyBorder="1" applyAlignment="1">
      <alignment horizontal="left"/>
    </xf>
    <xf numFmtId="8" fontId="6" fillId="0" borderId="11" xfId="0" applyNumberFormat="1" applyFont="1" applyBorder="1" applyAlignment="1">
      <alignment vertical="top"/>
    </xf>
    <xf numFmtId="8" fontId="2" fillId="0" borderId="11" xfId="5" applyNumberFormat="1" applyFont="1" applyFill="1" applyBorder="1" applyAlignment="1" applyProtection="1"/>
    <xf numFmtId="0" fontId="5" fillId="0" borderId="10" xfId="4" applyFont="1" applyBorder="1" applyAlignment="1">
      <alignment horizontal="left"/>
    </xf>
    <xf numFmtId="0" fontId="9" fillId="0" borderId="10" xfId="0" applyFont="1" applyBorder="1" applyAlignment="1">
      <alignment horizontal="right"/>
    </xf>
    <xf numFmtId="8" fontId="2" fillId="0" borderId="11" xfId="6" applyNumberFormat="1" applyFont="1" applyFill="1" applyBorder="1" applyAlignment="1" applyProtection="1"/>
    <xf numFmtId="166" fontId="5" fillId="0" borderId="10" xfId="4" applyNumberFormat="1" applyFont="1" applyBorder="1" applyAlignment="1">
      <alignment horizontal="left"/>
    </xf>
    <xf numFmtId="8" fontId="2" fillId="0" borderId="11" xfId="6" applyNumberFormat="1" applyFont="1" applyFill="1" applyBorder="1" applyAlignment="1"/>
    <xf numFmtId="166" fontId="2" fillId="0" borderId="10" xfId="4" applyNumberFormat="1" applyFont="1" applyBorder="1" applyAlignment="1">
      <alignment horizontal="right"/>
    </xf>
    <xf numFmtId="0" fontId="2" fillId="0" borderId="10" xfId="4" applyFont="1" applyBorder="1" applyAlignment="1">
      <alignment horizontal="left"/>
    </xf>
    <xf numFmtId="8" fontId="2" fillId="0" borderId="12" xfId="6" applyNumberFormat="1" applyFont="1" applyFill="1" applyBorder="1" applyAlignment="1"/>
    <xf numFmtId="8" fontId="2" fillId="0" borderId="13" xfId="6" applyNumberFormat="1" applyFont="1" applyFill="1" applyBorder="1" applyAlignment="1"/>
    <xf numFmtId="8" fontId="2" fillId="0" borderId="11" xfId="2" applyNumberFormat="1" applyBorder="1"/>
    <xf numFmtId="0" fontId="7" fillId="3" borderId="6" xfId="2" applyFont="1" applyFill="1" applyBorder="1" applyAlignment="1">
      <alignment horizontal="left"/>
    </xf>
    <xf numFmtId="8" fontId="8" fillId="3" borderId="7" xfId="2" applyNumberFormat="1" applyFont="1" applyFill="1" applyBorder="1"/>
    <xf numFmtId="0" fontId="3" fillId="0" borderId="8" xfId="2" applyFont="1" applyBorder="1" applyAlignment="1">
      <alignment horizontal="left"/>
    </xf>
    <xf numFmtId="8" fontId="3" fillId="0" borderId="11" xfId="2" applyNumberFormat="1" applyFont="1" applyBorder="1"/>
    <xf numFmtId="0" fontId="5" fillId="0" borderId="10" xfId="4" quotePrefix="1" applyFont="1" applyBorder="1" applyAlignment="1">
      <alignment horizontal="left"/>
    </xf>
    <xf numFmtId="166" fontId="5" fillId="0" borderId="10" xfId="4" quotePrefix="1" applyNumberFormat="1" applyFont="1" applyBorder="1" applyAlignment="1">
      <alignment horizontal="left"/>
    </xf>
    <xf numFmtId="0" fontId="3" fillId="0" borderId="10" xfId="2" applyFont="1" applyBorder="1" applyAlignment="1">
      <alignment horizontal="right"/>
    </xf>
    <xf numFmtId="8" fontId="3" fillId="2" borderId="13" xfId="6" applyNumberFormat="1" applyFont="1" applyFill="1" applyBorder="1" applyAlignment="1"/>
    <xf numFmtId="0" fontId="2" fillId="0" borderId="14" xfId="2" applyBorder="1" applyAlignment="1">
      <alignment horizontal="left"/>
    </xf>
    <xf numFmtId="39" fontId="2" fillId="0" borderId="15" xfId="2" applyNumberFormat="1" applyBorder="1" applyAlignment="1">
      <alignment horizontal="center"/>
    </xf>
    <xf numFmtId="164" fontId="2" fillId="0" borderId="15" xfId="2" applyNumberFormat="1" applyBorder="1" applyAlignment="1">
      <alignment horizontal="center"/>
    </xf>
    <xf numFmtId="39" fontId="2" fillId="0" borderId="15" xfId="2" applyNumberFormat="1" applyBorder="1" applyAlignment="1">
      <alignment horizontal="right"/>
    </xf>
    <xf numFmtId="8" fontId="2" fillId="0" borderId="15" xfId="2" applyNumberFormat="1" applyBorder="1"/>
    <xf numFmtId="8" fontId="2" fillId="0" borderId="16" xfId="2" applyNumberFormat="1" applyBorder="1"/>
    <xf numFmtId="8" fontId="2" fillId="0" borderId="5" xfId="6" applyNumberFormat="1" applyFont="1" applyFill="1" applyBorder="1" applyAlignment="1"/>
    <xf numFmtId="0" fontId="5" fillId="0" borderId="0" xfId="4" applyFont="1" applyAlignment="1">
      <alignment horizontal="center"/>
    </xf>
    <xf numFmtId="167" fontId="9" fillId="0" borderId="10" xfId="0" applyNumberFormat="1" applyFont="1" applyBorder="1" applyAlignment="1">
      <alignment horizontal="right"/>
    </xf>
    <xf numFmtId="0" fontId="2" fillId="0" borderId="0" xfId="6" applyNumberFormat="1" applyFont="1" applyFill="1" applyBorder="1" applyAlignment="1" applyProtection="1">
      <alignment horizontal="right"/>
    </xf>
    <xf numFmtId="8" fontId="6" fillId="0" borderId="15" xfId="3" applyNumberFormat="1" applyFont="1" applyBorder="1" applyAlignment="1">
      <alignment horizontal="left" vertical="top"/>
    </xf>
    <xf numFmtId="167" fontId="9" fillId="0" borderId="14" xfId="0" applyNumberFormat="1" applyFont="1" applyBorder="1" applyAlignment="1">
      <alignment horizontal="right"/>
    </xf>
    <xf numFmtId="0" fontId="2" fillId="0" borderId="15" xfId="2" applyBorder="1" applyAlignment="1">
      <alignment horizontal="center"/>
    </xf>
    <xf numFmtId="0" fontId="2" fillId="0" borderId="15" xfId="4" applyFont="1" applyBorder="1" applyAlignment="1">
      <alignment horizontal="center"/>
    </xf>
    <xf numFmtId="0" fontId="2" fillId="0" borderId="15" xfId="2" applyBorder="1"/>
    <xf numFmtId="0" fontId="2" fillId="0" borderId="15" xfId="6" applyNumberFormat="1" applyFont="1" applyFill="1" applyBorder="1" applyAlignment="1" applyProtection="1">
      <alignment horizontal="right"/>
    </xf>
    <xf numFmtId="8" fontId="6" fillId="0" borderId="15" xfId="0" applyNumberFormat="1" applyFont="1" applyBorder="1" applyAlignment="1">
      <alignment horizontal="right" vertical="top"/>
    </xf>
    <xf numFmtId="8" fontId="2" fillId="0" borderId="16" xfId="6" applyNumberFormat="1" applyFont="1" applyFill="1" applyBorder="1" applyAlignment="1" applyProtection="1"/>
    <xf numFmtId="43" fontId="9" fillId="0" borderId="0" xfId="1" applyFont="1" applyFill="1" applyBorder="1" applyAlignment="1">
      <alignment horizontal="left" vertical="top" wrapText="1"/>
    </xf>
    <xf numFmtId="0" fontId="9" fillId="0" borderId="0" xfId="3" applyFont="1" applyAlignment="1">
      <alignment horizontal="left" vertical="top" wrapText="1"/>
    </xf>
    <xf numFmtId="167" fontId="9" fillId="0" borderId="14" xfId="0" applyNumberFormat="1" applyFont="1" applyBorder="1" applyAlignment="1">
      <alignment horizontal="right" vertical="center"/>
    </xf>
    <xf numFmtId="0" fontId="2" fillId="0" borderId="15" xfId="2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5" xfId="2" applyBorder="1" applyAlignment="1">
      <alignment vertical="center"/>
    </xf>
    <xf numFmtId="0" fontId="2" fillId="0" borderId="15" xfId="6" applyNumberFormat="1" applyFont="1" applyFill="1" applyBorder="1" applyAlignment="1" applyProtection="1">
      <alignment horizontal="right" vertical="center"/>
    </xf>
    <xf numFmtId="8" fontId="6" fillId="0" borderId="15" xfId="0" applyNumberFormat="1" applyFont="1" applyBorder="1" applyAlignment="1">
      <alignment horizontal="right" vertical="center"/>
    </xf>
    <xf numFmtId="8" fontId="2" fillId="0" borderId="16" xfId="6" applyNumberFormat="1" applyFont="1" applyFill="1" applyBorder="1" applyAlignment="1" applyProtection="1">
      <alignment vertical="center"/>
    </xf>
    <xf numFmtId="8" fontId="6" fillId="0" borderId="15" xfId="3" applyNumberFormat="1" applyFont="1" applyBorder="1" applyAlignment="1">
      <alignment horizontal="left" vertical="center" wrapText="1"/>
    </xf>
    <xf numFmtId="167" fontId="9" fillId="0" borderId="6" xfId="0" applyNumberFormat="1" applyFont="1" applyBorder="1" applyAlignment="1">
      <alignment horizontal="right" vertical="center"/>
    </xf>
    <xf numFmtId="0" fontId="2" fillId="0" borderId="2" xfId="2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2" xfId="2" applyBorder="1" applyAlignment="1">
      <alignment vertical="center"/>
    </xf>
    <xf numFmtId="0" fontId="2" fillId="0" borderId="2" xfId="6" applyNumberFormat="1" applyFont="1" applyFill="1" applyBorder="1" applyAlignment="1" applyProtection="1">
      <alignment horizontal="right" vertical="center"/>
    </xf>
    <xf numFmtId="8" fontId="6" fillId="0" borderId="2" xfId="0" applyNumberFormat="1" applyFont="1" applyBorder="1" applyAlignment="1">
      <alignment horizontal="right" vertical="center"/>
    </xf>
    <xf numFmtId="8" fontId="2" fillId="0" borderId="7" xfId="6" applyNumberFormat="1" applyFont="1" applyFill="1" applyBorder="1" applyAlignment="1" applyProtection="1">
      <alignment vertical="center"/>
    </xf>
    <xf numFmtId="8" fontId="6" fillId="0" borderId="2" xfId="3" applyNumberFormat="1" applyFont="1" applyBorder="1" applyAlignment="1">
      <alignment horizontal="left" vertical="center" wrapText="1"/>
    </xf>
    <xf numFmtId="167" fontId="9" fillId="0" borderId="17" xfId="0" applyNumberFormat="1" applyFont="1" applyBorder="1" applyAlignment="1">
      <alignment horizontal="right" vertical="center"/>
    </xf>
    <xf numFmtId="0" fontId="2" fillId="0" borderId="4" xfId="2" applyBorder="1" applyAlignment="1">
      <alignment horizontal="center" vertical="center"/>
    </xf>
    <xf numFmtId="0" fontId="2" fillId="0" borderId="4" xfId="4" applyFont="1" applyBorder="1" applyAlignment="1">
      <alignment horizontal="center" vertical="center"/>
    </xf>
    <xf numFmtId="0" fontId="2" fillId="0" borderId="4" xfId="2" applyBorder="1" applyAlignment="1">
      <alignment vertical="center"/>
    </xf>
    <xf numFmtId="0" fontId="2" fillId="0" borderId="4" xfId="6" applyNumberFormat="1" applyFont="1" applyFill="1" applyBorder="1" applyAlignment="1" applyProtection="1">
      <alignment horizontal="right" vertical="center"/>
    </xf>
    <xf numFmtId="8" fontId="6" fillId="0" borderId="4" xfId="0" applyNumberFormat="1" applyFont="1" applyBorder="1" applyAlignment="1">
      <alignment horizontal="right" vertical="center"/>
    </xf>
    <xf numFmtId="8" fontId="2" fillId="0" borderId="18" xfId="6" applyNumberFormat="1" applyFont="1" applyFill="1" applyBorder="1" applyAlignment="1" applyProtection="1">
      <alignment vertical="center"/>
    </xf>
    <xf numFmtId="8" fontId="6" fillId="0" borderId="4" xfId="3" applyNumberFormat="1" applyFont="1" applyBorder="1" applyAlignment="1">
      <alignment horizontal="left" vertical="center" wrapText="1"/>
    </xf>
    <xf numFmtId="43" fontId="9" fillId="0" borderId="4" xfId="1" applyFont="1" applyFill="1" applyBorder="1" applyAlignment="1">
      <alignment horizontal="left" vertical="top" wrapText="1"/>
    </xf>
    <xf numFmtId="0" fontId="7" fillId="0" borderId="6" xfId="2" applyFont="1" applyBorder="1" applyAlignment="1">
      <alignment horizontal="left"/>
    </xf>
    <xf numFmtId="0" fontId="8" fillId="0" borderId="2" xfId="2" applyFont="1" applyBorder="1" applyAlignment="1">
      <alignment horizontal="center"/>
    </xf>
    <xf numFmtId="164" fontId="8" fillId="0" borderId="2" xfId="2" applyNumberFormat="1" applyFont="1" applyBorder="1" applyAlignment="1">
      <alignment horizontal="center"/>
    </xf>
    <xf numFmtId="40" fontId="8" fillId="0" borderId="2" xfId="2" applyNumberFormat="1" applyFont="1" applyBorder="1" applyAlignment="1">
      <alignment horizontal="right"/>
    </xf>
    <xf numFmtId="8" fontId="8" fillId="0" borderId="2" xfId="2" applyNumberFormat="1" applyFont="1" applyBorder="1"/>
    <xf numFmtId="8" fontId="8" fillId="0" borderId="7" xfId="2" applyNumberFormat="1" applyFont="1" applyBorder="1"/>
    <xf numFmtId="0" fontId="2" fillId="0" borderId="0" xfId="2"/>
    <xf numFmtId="8" fontId="6" fillId="0" borderId="0" xfId="3" applyNumberFormat="1" applyFont="1" applyAlignment="1">
      <alignment horizontal="left" vertical="top"/>
    </xf>
    <xf numFmtId="8" fontId="3" fillId="0" borderId="11" xfId="6" applyNumberFormat="1" applyFont="1" applyFill="1" applyBorder="1" applyAlignment="1" applyProtection="1"/>
    <xf numFmtId="40" fontId="3" fillId="0" borderId="0" xfId="9" applyNumberFormat="1" applyFont="1"/>
    <xf numFmtId="8" fontId="2" fillId="0" borderId="5" xfId="8" applyNumberFormat="1" applyFont="1" applyFill="1" applyBorder="1" applyAlignment="1" applyProtection="1"/>
    <xf numFmtId="49" fontId="3" fillId="0" borderId="0" xfId="9" applyNumberFormat="1" applyFont="1" applyAlignment="1">
      <alignment horizontal="right" vertical="center"/>
    </xf>
    <xf numFmtId="49" fontId="2" fillId="0" borderId="0" xfId="9" applyNumberFormat="1" applyFont="1" applyAlignment="1">
      <alignment horizontal="right" vertical="center"/>
    </xf>
    <xf numFmtId="49" fontId="11" fillId="0" borderId="0" xfId="9" applyNumberFormat="1" applyFont="1" applyAlignment="1">
      <alignment horizontal="right" vertical="center"/>
    </xf>
    <xf numFmtId="8" fontId="3" fillId="0" borderId="0" xfId="0" applyNumberFormat="1" applyFont="1" applyAlignment="1">
      <alignment horizontal="right" vertical="center"/>
    </xf>
    <xf numFmtId="8" fontId="6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2" fillId="0" borderId="0" xfId="9" applyNumberFormat="1" applyFont="1" applyAlignment="1">
      <alignment horizontal="right" vertical="center"/>
    </xf>
    <xf numFmtId="164" fontId="7" fillId="5" borderId="0" xfId="9" applyNumberFormat="1" applyFont="1" applyFill="1" applyAlignment="1">
      <alignment vertical="center"/>
    </xf>
    <xf numFmtId="0" fontId="3" fillId="0" borderId="0" xfId="9" applyFont="1" applyAlignment="1">
      <alignment horizontal="right" vertical="top"/>
    </xf>
    <xf numFmtId="0" fontId="2" fillId="0" borderId="0" xfId="9" applyFont="1" applyAlignment="1">
      <alignment horizontal="right" vertical="top"/>
    </xf>
    <xf numFmtId="8" fontId="11" fillId="0" borderId="0" xfId="9" applyNumberFormat="1" applyFont="1" applyAlignment="1">
      <alignment horizontal="right" vertical="top"/>
    </xf>
    <xf numFmtId="0" fontId="3" fillId="0" borderId="0" xfId="9" applyFont="1" applyAlignment="1">
      <alignment horizontal="right"/>
    </xf>
    <xf numFmtId="0" fontId="7" fillId="5" borderId="0" xfId="9" applyFont="1" applyFill="1" applyAlignment="1">
      <alignment horizontal="right"/>
    </xf>
    <xf numFmtId="0" fontId="2" fillId="0" borderId="0" xfId="9" applyFont="1" applyAlignment="1">
      <alignment horizontal="right"/>
    </xf>
    <xf numFmtId="0" fontId="5" fillId="0" borderId="0" xfId="4" applyFont="1" applyAlignment="1">
      <alignment horizontal="left"/>
    </xf>
    <xf numFmtId="0" fontId="9" fillId="0" borderId="11" xfId="3" applyFont="1" applyBorder="1" applyAlignment="1">
      <alignment horizontal="left" vertical="top"/>
    </xf>
    <xf numFmtId="0" fontId="2" fillId="0" borderId="0" xfId="9" applyFont="1" applyAlignment="1">
      <alignment horizontal="center"/>
    </xf>
    <xf numFmtId="8" fontId="2" fillId="0" borderId="5" xfId="2" applyNumberFormat="1" applyBorder="1"/>
    <xf numFmtId="8" fontId="2" fillId="0" borderId="0" xfId="12" applyNumberFormat="1"/>
    <xf numFmtId="0" fontId="9" fillId="0" borderId="0" xfId="0" applyFont="1" applyAlignment="1">
      <alignment horizontal="right" vertical="top"/>
    </xf>
    <xf numFmtId="4" fontId="9" fillId="0" borderId="0" xfId="0" applyNumberFormat="1" applyFont="1" applyAlignment="1">
      <alignment horizontal="right" vertical="top"/>
    </xf>
    <xf numFmtId="166" fontId="5" fillId="0" borderId="0" xfId="4" quotePrefix="1" applyNumberFormat="1" applyFont="1" applyAlignment="1">
      <alignment horizontal="left"/>
    </xf>
    <xf numFmtId="166" fontId="5" fillId="0" borderId="0" xfId="4" applyNumberFormat="1" applyFont="1" applyAlignment="1">
      <alignment horizontal="left"/>
    </xf>
    <xf numFmtId="166" fontId="2" fillId="0" borderId="0" xfId="4" applyNumberFormat="1" applyFont="1" applyAlignment="1">
      <alignment horizontal="right"/>
    </xf>
    <xf numFmtId="0" fontId="2" fillId="0" borderId="0" xfId="4" applyFont="1" applyAlignment="1">
      <alignment horizontal="left"/>
    </xf>
    <xf numFmtId="0" fontId="2" fillId="0" borderId="0" xfId="2" applyAlignment="1">
      <alignment horizontal="left" vertical="top"/>
    </xf>
    <xf numFmtId="0" fontId="2" fillId="0" borderId="0" xfId="0" applyFont="1" applyAlignment="1">
      <alignment horizontal="right"/>
    </xf>
    <xf numFmtId="8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right" vertical="top"/>
    </xf>
    <xf numFmtId="8" fontId="2" fillId="0" borderId="0" xfId="0" applyNumberFormat="1" applyFont="1" applyAlignment="1">
      <alignment horizontal="right"/>
    </xf>
    <xf numFmtId="8" fontId="2" fillId="0" borderId="0" xfId="9" applyNumberFormat="1" applyFont="1" applyAlignment="1">
      <alignment horizontal="center"/>
    </xf>
    <xf numFmtId="8" fontId="2" fillId="6" borderId="0" xfId="9" applyNumberFormat="1" applyFont="1" applyFill="1"/>
    <xf numFmtId="8" fontId="9" fillId="6" borderId="0" xfId="0" applyNumberFormat="1" applyFont="1" applyFill="1" applyAlignment="1">
      <alignment horizontal="right" vertical="top"/>
    </xf>
    <xf numFmtId="8" fontId="2" fillId="0" borderId="0" xfId="0" applyNumberFormat="1" applyFont="1" applyAlignment="1">
      <alignment vertical="center"/>
    </xf>
    <xf numFmtId="8" fontId="2" fillId="0" borderId="0" xfId="0" applyNumberFormat="1" applyFont="1" applyAlignment="1">
      <alignment vertical="center"/>
    </xf>
    <xf numFmtId="0" fontId="9" fillId="0" borderId="0" xfId="0" applyFont="1" applyFill="1" applyAlignment="1">
      <alignment horizontal="right"/>
    </xf>
    <xf numFmtId="8" fontId="9" fillId="0" borderId="0" xfId="0" applyNumberFormat="1" applyFont="1" applyFill="1" applyAlignment="1">
      <alignment horizontal="right" vertical="top"/>
    </xf>
    <xf numFmtId="0" fontId="2" fillId="0" borderId="0" xfId="9" applyFont="1" applyFill="1"/>
    <xf numFmtId="8" fontId="2" fillId="0" borderId="0" xfId="9" applyNumberFormat="1" applyFont="1" applyFill="1"/>
    <xf numFmtId="167" fontId="2" fillId="0" borderId="0" xfId="0" applyNumberFormat="1" applyFont="1" applyFill="1" applyAlignment="1">
      <alignment vertical="top"/>
    </xf>
    <xf numFmtId="49" fontId="2" fillId="0" borderId="0" xfId="0" applyNumberFormat="1" applyFont="1" applyFill="1" applyAlignment="1">
      <alignment vertical="top"/>
    </xf>
    <xf numFmtId="8" fontId="2" fillId="0" borderId="0" xfId="0" applyNumberFormat="1" applyFont="1" applyFill="1" applyAlignment="1">
      <alignment horizontal="right"/>
    </xf>
    <xf numFmtId="8" fontId="2" fillId="0" borderId="0" xfId="0" applyNumberFormat="1" applyFont="1" applyFill="1" applyAlignment="1">
      <alignment vertical="top"/>
    </xf>
    <xf numFmtId="167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>
      <alignment horizontal="right"/>
    </xf>
    <xf numFmtId="0" fontId="9" fillId="0" borderId="0" xfId="0" applyNumberFormat="1" applyFont="1" applyAlignment="1">
      <alignment vertical="top"/>
    </xf>
    <xf numFmtId="8" fontId="2" fillId="2" borderId="0" xfId="9" applyNumberFormat="1" applyFont="1" applyFill="1"/>
    <xf numFmtId="8" fontId="9" fillId="2" borderId="0" xfId="0" applyNumberFormat="1" applyFont="1" applyFill="1" applyAlignment="1">
      <alignment horizontal="right" vertical="top"/>
    </xf>
    <xf numFmtId="40" fontId="9" fillId="0" borderId="0" xfId="0" applyNumberFormat="1" applyFont="1" applyAlignment="1">
      <alignment vertical="center"/>
    </xf>
    <xf numFmtId="8" fontId="2" fillId="7" borderId="0" xfId="9" applyNumberFormat="1" applyFont="1" applyFill="1"/>
    <xf numFmtId="0" fontId="9" fillId="0" borderId="0" xfId="0" applyFont="1" applyFill="1" applyAlignment="1">
      <alignment horizontal="left" vertical="top"/>
    </xf>
    <xf numFmtId="8" fontId="9" fillId="7" borderId="0" xfId="0" applyNumberFormat="1" applyFont="1" applyFill="1" applyAlignment="1">
      <alignment horizontal="right" vertical="top"/>
    </xf>
    <xf numFmtId="8" fontId="2" fillId="9" borderId="0" xfId="9" applyNumberFormat="1" applyFont="1" applyFill="1"/>
    <xf numFmtId="8" fontId="9" fillId="9" borderId="0" xfId="0" applyNumberFormat="1" applyFont="1" applyFill="1" applyAlignment="1">
      <alignment horizontal="right" vertical="top"/>
    </xf>
    <xf numFmtId="8" fontId="2" fillId="10" borderId="0" xfId="9" applyNumberFormat="1" applyFont="1" applyFill="1"/>
    <xf numFmtId="8" fontId="9" fillId="10" borderId="0" xfId="0" applyNumberFormat="1" applyFont="1" applyFill="1" applyAlignment="1">
      <alignment horizontal="right" vertical="top"/>
    </xf>
    <xf numFmtId="8" fontId="2" fillId="11" borderId="0" xfId="9" applyNumberFormat="1" applyFont="1" applyFill="1"/>
    <xf numFmtId="8" fontId="9" fillId="11" borderId="0" xfId="0" applyNumberFormat="1" applyFont="1" applyFill="1" applyAlignment="1">
      <alignment horizontal="right" vertical="top"/>
    </xf>
    <xf numFmtId="8" fontId="9" fillId="12" borderId="0" xfId="0" applyNumberFormat="1" applyFont="1" applyFill="1" applyAlignment="1">
      <alignment horizontal="right" vertical="top"/>
    </xf>
    <xf numFmtId="8" fontId="2" fillId="12" borderId="0" xfId="0" applyNumberFormat="1" applyFont="1" applyFill="1" applyAlignment="1">
      <alignment horizontal="right"/>
    </xf>
    <xf numFmtId="8" fontId="2" fillId="11" borderId="0" xfId="0" applyNumberFormat="1" applyFont="1" applyFill="1" applyAlignment="1">
      <alignment horizontal="right"/>
    </xf>
    <xf numFmtId="8" fontId="2" fillId="13" borderId="0" xfId="0" applyNumberFormat="1" applyFont="1" applyFill="1" applyAlignment="1">
      <alignment horizontal="right"/>
    </xf>
    <xf numFmtId="8" fontId="2" fillId="13" borderId="0" xfId="9" applyNumberFormat="1" applyFont="1" applyFill="1"/>
    <xf numFmtId="8" fontId="9" fillId="13" borderId="0" xfId="0" applyNumberFormat="1" applyFont="1" applyFill="1" applyAlignment="1">
      <alignment horizontal="right" vertical="top"/>
    </xf>
    <xf numFmtId="8" fontId="9" fillId="14" borderId="0" xfId="0" applyNumberFormat="1" applyFont="1" applyFill="1" applyAlignment="1">
      <alignment horizontal="right" vertical="top"/>
    </xf>
    <xf numFmtId="8" fontId="2" fillId="14" borderId="0" xfId="0" applyNumberFormat="1" applyFont="1" applyFill="1" applyAlignment="1">
      <alignment horizontal="right"/>
    </xf>
    <xf numFmtId="8" fontId="2" fillId="14" borderId="0" xfId="9" applyNumberFormat="1" applyFont="1" applyFill="1"/>
    <xf numFmtId="8" fontId="2" fillId="8" borderId="0" xfId="0" applyNumberFormat="1" applyFont="1" applyFill="1" applyAlignment="1">
      <alignment horizontal="right"/>
    </xf>
    <xf numFmtId="8" fontId="9" fillId="8" borderId="0" xfId="0" applyNumberFormat="1" applyFont="1" applyFill="1" applyAlignment="1">
      <alignment horizontal="right" vertical="top"/>
    </xf>
    <xf numFmtId="8" fontId="2" fillId="10" borderId="0" xfId="0" applyNumberFormat="1" applyFont="1" applyFill="1" applyAlignment="1">
      <alignment horizontal="right"/>
    </xf>
    <xf numFmtId="8" fontId="2" fillId="15" borderId="0" xfId="9" applyNumberFormat="1" applyFont="1" applyFill="1"/>
    <xf numFmtId="8" fontId="9" fillId="15" borderId="0" xfId="0" applyNumberFormat="1" applyFont="1" applyFill="1" applyAlignment="1">
      <alignment horizontal="right" vertical="top"/>
    </xf>
    <xf numFmtId="0" fontId="3" fillId="0" borderId="6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6" fillId="0" borderId="6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17" fontId="3" fillId="0" borderId="6" xfId="2" applyNumberFormat="1" applyFont="1" applyBorder="1" applyAlignment="1">
      <alignment horizontal="center"/>
    </xf>
    <xf numFmtId="17" fontId="3" fillId="0" borderId="2" xfId="2" applyNumberFormat="1" applyFont="1" applyBorder="1" applyAlignment="1">
      <alignment horizontal="center"/>
    </xf>
    <xf numFmtId="17" fontId="3" fillId="0" borderId="7" xfId="2" applyNumberFormat="1" applyFont="1" applyBorder="1" applyAlignment="1">
      <alignment horizontal="center"/>
    </xf>
    <xf numFmtId="49" fontId="16" fillId="0" borderId="0" xfId="9" applyNumberFormat="1" applyFont="1" applyAlignment="1">
      <alignment horizontal="center" vertical="top"/>
    </xf>
    <xf numFmtId="49" fontId="2" fillId="0" borderId="0" xfId="9" applyNumberFormat="1" applyFont="1" applyAlignment="1">
      <alignment horizontal="center" vertical="top"/>
    </xf>
    <xf numFmtId="49" fontId="11" fillId="0" borderId="0" xfId="9" applyNumberFormat="1" applyFont="1" applyAlignment="1">
      <alignment horizontal="center" vertical="top"/>
    </xf>
    <xf numFmtId="40" fontId="9" fillId="0" borderId="0" xfId="0" applyNumberFormat="1" applyFont="1" applyAlignment="1">
      <alignment horizontal="left" vertical="center"/>
    </xf>
    <xf numFmtId="8" fontId="2" fillId="0" borderId="0" xfId="0" applyNumberFormat="1" applyFont="1" applyAlignment="1">
      <alignment horizontal="left" vertical="center"/>
    </xf>
    <xf numFmtId="8" fontId="6" fillId="0" borderId="10" xfId="3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4">
    <cellStyle name="Comma" xfId="1" builtinId="3"/>
    <cellStyle name="Comma 2" xfId="6"/>
    <cellStyle name="Comma 2 10" xfId="8"/>
    <cellStyle name="Currency 2" xfId="5"/>
    <cellStyle name="Currency 2 3" xfId="7"/>
    <cellStyle name="Excel Built-in Normal" xfId="11"/>
    <cellStyle name="Normal" xfId="0" builtinId="0"/>
    <cellStyle name="Normal 12" xfId="12"/>
    <cellStyle name="Normal 2" xfId="9"/>
    <cellStyle name="Normal 2 2 2" xfId="2"/>
    <cellStyle name="Normal 2 2 2 2" xfId="10"/>
    <cellStyle name="Normal 3" xfId="3"/>
    <cellStyle name="Normal_1101BK" xfId="4"/>
    <cellStyle name="Percent" xfId="13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FF"/>
      <color rgb="FFCC99FF"/>
      <color rgb="FF00FFCC"/>
      <color rgb="FF99FF66"/>
      <color rgb="FF66FF99"/>
      <color rgb="FFB6ECDA"/>
      <color rgb="FFCCFFCC"/>
      <color rgb="FFFF99CC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andreski\BANK%20RECONCILATION\113%20114%20PH%20Davie%2005%202021%20PH%20Davie%20Reconciliation%20B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ank Statement"/>
      <sheetName val="GL"/>
      <sheetName val="Un-Reconcile transactions"/>
      <sheetName val="Old Reconciled"/>
    </sheetNames>
    <sheetDataSet>
      <sheetData sheetId="0"/>
      <sheetData sheetId="1"/>
      <sheetData sheetId="2">
        <row r="201">
          <cell r="I201">
            <v>131447</v>
          </cell>
        </row>
        <row r="204">
          <cell r="G204">
            <v>600</v>
          </cell>
        </row>
        <row r="206">
          <cell r="G206">
            <v>-39821.78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5"/>
  <sheetViews>
    <sheetView showGridLines="0" tabSelected="1" zoomScale="85" zoomScaleNormal="85" zoomScaleSheetLayoutView="85" workbookViewId="0">
      <pane ySplit="5" topLeftCell="A6" activePane="bottomLeft" state="frozen"/>
      <selection pane="bottomLeft" activeCell="A6" sqref="A6"/>
    </sheetView>
  </sheetViews>
  <sheetFormatPr defaultColWidth="9.33203125" defaultRowHeight="12.75" x14ac:dyDescent="0.2"/>
  <cols>
    <col min="1" max="1" width="1.33203125" style="1" customWidth="1"/>
    <col min="2" max="2" width="25.83203125" style="1" customWidth="1"/>
    <col min="3" max="3" width="12.83203125" style="30" customWidth="1"/>
    <col min="4" max="4" width="12.33203125" style="31" customWidth="1"/>
    <col min="5" max="5" width="39.33203125" style="32" customWidth="1"/>
    <col min="6" max="6" width="13.1640625" style="32" customWidth="1"/>
    <col min="7" max="8" width="14.6640625" style="72" bestFit="1" customWidth="1"/>
    <col min="9" max="9" width="12.6640625" style="70" bestFit="1" customWidth="1"/>
    <col min="10" max="10" width="15.83203125" style="60" customWidth="1"/>
    <col min="11" max="16384" width="9.33203125" style="1"/>
  </cols>
  <sheetData>
    <row r="1" spans="1:13" ht="13.5" thickBot="1" x14ac:dyDescent="0.25">
      <c r="M1" s="1" t="s">
        <v>0</v>
      </c>
    </row>
    <row r="2" spans="1:13" ht="13.5" thickBot="1" x14ac:dyDescent="0.25">
      <c r="B2" s="264" t="s">
        <v>1</v>
      </c>
      <c r="C2" s="265"/>
      <c r="D2" s="265"/>
      <c r="E2" s="265"/>
      <c r="F2" s="265"/>
      <c r="G2" s="265"/>
      <c r="H2" s="266"/>
    </row>
    <row r="3" spans="1:13" ht="13.5" thickBot="1" x14ac:dyDescent="0.25">
      <c r="B3" s="261" t="s">
        <v>2</v>
      </c>
      <c r="C3" s="262"/>
      <c r="D3" s="262"/>
      <c r="E3" s="262"/>
      <c r="F3" s="262"/>
      <c r="G3" s="262"/>
      <c r="H3" s="263"/>
    </row>
    <row r="4" spans="1:13" ht="13.5" thickBot="1" x14ac:dyDescent="0.25">
      <c r="B4" s="267">
        <v>46082</v>
      </c>
      <c r="C4" s="268"/>
      <c r="D4" s="268"/>
      <c r="E4" s="268"/>
      <c r="F4" s="268"/>
      <c r="G4" s="268"/>
      <c r="H4" s="269"/>
    </row>
    <row r="5" spans="1:13" ht="13.5" thickBot="1" x14ac:dyDescent="0.25">
      <c r="B5" s="107" t="s">
        <v>3</v>
      </c>
      <c r="C5" s="5"/>
      <c r="D5" s="12"/>
      <c r="E5" s="17"/>
      <c r="F5" s="17"/>
      <c r="G5" s="71"/>
      <c r="H5" s="108"/>
    </row>
    <row r="6" spans="1:13" x14ac:dyDescent="0.2">
      <c r="B6" s="109"/>
      <c r="C6" s="6"/>
      <c r="D6" s="13"/>
      <c r="E6" s="18"/>
      <c r="F6" s="18"/>
      <c r="G6" s="84"/>
      <c r="H6" s="110"/>
    </row>
    <row r="7" spans="1:13" x14ac:dyDescent="0.2">
      <c r="B7" s="111"/>
      <c r="C7" s="7"/>
      <c r="D7" s="14"/>
      <c r="F7" s="40" t="s">
        <v>4</v>
      </c>
      <c r="G7" s="79"/>
      <c r="H7" s="112">
        <v>0</v>
      </c>
    </row>
    <row r="8" spans="1:13" x14ac:dyDescent="0.2">
      <c r="B8" s="111"/>
      <c r="C8" s="7"/>
      <c r="D8" s="14"/>
      <c r="E8" s="19"/>
      <c r="F8" s="19"/>
      <c r="G8" s="80"/>
      <c r="H8" s="113"/>
    </row>
    <row r="9" spans="1:13" x14ac:dyDescent="0.2">
      <c r="B9" s="114" t="s">
        <v>5</v>
      </c>
      <c r="C9" s="11"/>
      <c r="D9" s="15"/>
      <c r="E9" s="19"/>
      <c r="F9" s="19"/>
      <c r="G9" s="80"/>
      <c r="H9" s="113"/>
    </row>
    <row r="10" spans="1:13" x14ac:dyDescent="0.2">
      <c r="A10" s="203"/>
      <c r="B10" s="53"/>
      <c r="D10" s="11"/>
      <c r="E10" s="213"/>
      <c r="F10" s="22"/>
      <c r="G10" s="75"/>
      <c r="H10" s="123"/>
    </row>
    <row r="11" spans="1:13" x14ac:dyDescent="0.2">
      <c r="A11" s="203"/>
      <c r="B11" s="53"/>
      <c r="C11" s="3"/>
      <c r="D11" s="15"/>
      <c r="E11" s="41"/>
      <c r="F11" s="20"/>
      <c r="G11" s="81"/>
      <c r="H11" s="116"/>
    </row>
    <row r="12" spans="1:13" x14ac:dyDescent="0.2">
      <c r="A12" s="203"/>
      <c r="B12" s="210" t="s">
        <v>6</v>
      </c>
      <c r="C12" s="3"/>
      <c r="D12" s="16"/>
      <c r="E12" s="21"/>
      <c r="F12" s="21"/>
      <c r="G12" s="78"/>
      <c r="H12" s="118"/>
    </row>
    <row r="13" spans="1:13" x14ac:dyDescent="0.2">
      <c r="A13" s="203"/>
      <c r="B13" s="210"/>
      <c r="C13" s="3"/>
      <c r="D13" s="16"/>
      <c r="E13" s="21"/>
      <c r="F13" s="21"/>
      <c r="G13" s="78"/>
      <c r="H13" s="118"/>
    </row>
    <row r="14" spans="1:13" x14ac:dyDescent="0.2">
      <c r="A14" s="203"/>
      <c r="B14" s="53" t="s">
        <v>395</v>
      </c>
      <c r="C14" s="30" t="s">
        <v>7</v>
      </c>
      <c r="D14" s="11"/>
      <c r="E14" s="213" t="s">
        <v>8</v>
      </c>
      <c r="F14" s="22"/>
      <c r="G14" s="75">
        <v>-425662.57</v>
      </c>
      <c r="H14" s="123"/>
    </row>
    <row r="15" spans="1:13" x14ac:dyDescent="0.2">
      <c r="A15" s="203"/>
      <c r="B15" s="211"/>
      <c r="C15" s="3"/>
      <c r="D15" s="16"/>
      <c r="E15" s="59"/>
      <c r="F15" s="21"/>
      <c r="G15" s="78"/>
      <c r="H15" s="118"/>
    </row>
    <row r="16" spans="1:13" x14ac:dyDescent="0.2">
      <c r="A16" s="203"/>
      <c r="B16" s="212"/>
      <c r="C16" s="3"/>
      <c r="D16" s="16"/>
      <c r="F16" s="24" t="s">
        <v>9</v>
      </c>
      <c r="G16" s="79"/>
      <c r="H16" s="118">
        <f>SUM(G14:G14)</f>
        <v>-425662.57</v>
      </c>
    </row>
    <row r="17" spans="1:9" x14ac:dyDescent="0.2">
      <c r="B17" s="120"/>
      <c r="C17" s="3"/>
      <c r="D17" s="16"/>
      <c r="F17" s="23"/>
      <c r="G17" s="79"/>
      <c r="H17" s="121"/>
    </row>
    <row r="18" spans="1:9" ht="13.5" thickBot="1" x14ac:dyDescent="0.25">
      <c r="B18" s="111"/>
      <c r="C18" s="7"/>
      <c r="D18" s="14"/>
      <c r="F18" s="19" t="s">
        <v>10</v>
      </c>
      <c r="G18" s="79"/>
      <c r="H18" s="122">
        <f>+H7-H16</f>
        <v>425662.57</v>
      </c>
    </row>
    <row r="19" spans="1:9" ht="14.25" thickTop="1" thickBot="1" x14ac:dyDescent="0.25">
      <c r="B19" s="111"/>
      <c r="C19" s="3"/>
      <c r="D19" s="16"/>
      <c r="E19" s="25"/>
      <c r="F19" s="25"/>
      <c r="G19" s="82"/>
      <c r="H19" s="123"/>
    </row>
    <row r="20" spans="1:9" ht="13.5" thickBot="1" x14ac:dyDescent="0.25">
      <c r="B20" s="124" t="s">
        <v>11</v>
      </c>
      <c r="C20" s="5"/>
      <c r="D20" s="12"/>
      <c r="E20" s="17"/>
      <c r="F20" s="17"/>
      <c r="G20" s="83"/>
      <c r="H20" s="125"/>
    </row>
    <row r="21" spans="1:9" x14ac:dyDescent="0.2">
      <c r="B21" s="126"/>
      <c r="C21" s="6"/>
      <c r="D21" s="13"/>
      <c r="E21" s="18"/>
      <c r="F21" s="18"/>
      <c r="G21" s="84"/>
      <c r="H21" s="110"/>
    </row>
    <row r="22" spans="1:9" x14ac:dyDescent="0.2">
      <c r="B22" s="111"/>
      <c r="C22" s="7"/>
      <c r="D22" s="14"/>
      <c r="E22" s="1"/>
      <c r="F22" s="40" t="s">
        <v>12</v>
      </c>
      <c r="G22" s="79"/>
      <c r="H22" s="127">
        <f>GL!I666</f>
        <v>256823.2</v>
      </c>
      <c r="I22" s="73"/>
    </row>
    <row r="23" spans="1:9" x14ac:dyDescent="0.2">
      <c r="B23" s="120"/>
      <c r="C23" s="3"/>
      <c r="D23" s="16"/>
      <c r="E23" s="26"/>
      <c r="F23" s="26"/>
      <c r="G23" s="85"/>
      <c r="H23" s="123"/>
    </row>
    <row r="24" spans="1:9" x14ac:dyDescent="0.2">
      <c r="B24" s="128" t="s">
        <v>13</v>
      </c>
      <c r="C24" s="37"/>
      <c r="D24" s="30"/>
      <c r="E24" s="22"/>
      <c r="F24" s="22"/>
      <c r="G24" s="82"/>
      <c r="H24" s="123"/>
    </row>
    <row r="25" spans="1:9" x14ac:dyDescent="0.2">
      <c r="B25" s="128"/>
      <c r="C25" s="37"/>
      <c r="D25" s="30"/>
      <c r="E25" s="22"/>
      <c r="F25" s="22"/>
      <c r="G25" s="82"/>
      <c r="H25" s="123"/>
    </row>
    <row r="26" spans="1:9" x14ac:dyDescent="0.2">
      <c r="B26" s="128"/>
      <c r="C26" s="37"/>
      <c r="D26" s="30"/>
      <c r="E26" s="22"/>
      <c r="F26" s="22"/>
      <c r="G26" s="82"/>
      <c r="H26" s="123"/>
    </row>
    <row r="27" spans="1:9" x14ac:dyDescent="0.2">
      <c r="B27" s="129" t="s">
        <v>14</v>
      </c>
      <c r="D27" s="139" t="s">
        <v>1035</v>
      </c>
      <c r="E27" s="22"/>
      <c r="F27" s="22"/>
      <c r="G27" s="82"/>
      <c r="H27" s="123"/>
    </row>
    <row r="28" spans="1:9" x14ac:dyDescent="0.2">
      <c r="A28" s="203"/>
      <c r="B28" s="209"/>
      <c r="D28" s="139"/>
      <c r="E28" s="22"/>
      <c r="F28" s="22"/>
      <c r="G28" s="82"/>
      <c r="H28" s="123"/>
    </row>
    <row r="29" spans="1:9" x14ac:dyDescent="0.2">
      <c r="A29" s="203"/>
      <c r="B29" s="89">
        <v>46110</v>
      </c>
      <c r="C29" s="30" t="s">
        <v>15</v>
      </c>
      <c r="D29" s="216" t="s">
        <v>925</v>
      </c>
      <c r="E29" s="46" t="s">
        <v>1015</v>
      </c>
      <c r="F29" s="22"/>
      <c r="G29" s="76">
        <v>1048</v>
      </c>
      <c r="H29" s="123"/>
    </row>
    <row r="30" spans="1:9" x14ac:dyDescent="0.2">
      <c r="A30" s="203"/>
      <c r="B30" s="89">
        <v>46111</v>
      </c>
      <c r="C30" s="30" t="s">
        <v>15</v>
      </c>
      <c r="D30" s="216" t="s">
        <v>930</v>
      </c>
      <c r="E30" s="46" t="s">
        <v>17</v>
      </c>
      <c r="F30" s="22"/>
      <c r="G30" s="76">
        <v>1051.8600000000001</v>
      </c>
      <c r="H30" s="123"/>
    </row>
    <row r="31" spans="1:9" x14ac:dyDescent="0.2">
      <c r="A31" s="203"/>
      <c r="B31" s="89">
        <v>46112</v>
      </c>
      <c r="C31" s="30" t="s">
        <v>15</v>
      </c>
      <c r="D31" s="216" t="s">
        <v>936</v>
      </c>
      <c r="E31" s="46" t="s">
        <v>20</v>
      </c>
      <c r="F31" s="22"/>
      <c r="G31" s="76">
        <v>1048.96</v>
      </c>
      <c r="H31" s="123"/>
    </row>
    <row r="32" spans="1:9" x14ac:dyDescent="0.2">
      <c r="A32" s="203"/>
      <c r="B32" s="89">
        <v>46112</v>
      </c>
      <c r="C32" s="30" t="s">
        <v>15</v>
      </c>
      <c r="D32" s="216" t="s">
        <v>938</v>
      </c>
      <c r="E32" s="46" t="s">
        <v>20</v>
      </c>
      <c r="F32" s="22"/>
      <c r="G32" s="76">
        <v>1048.96</v>
      </c>
      <c r="H32" s="123"/>
    </row>
    <row r="33" spans="1:8" x14ac:dyDescent="0.2">
      <c r="A33" s="203"/>
      <c r="B33" s="89">
        <v>46112</v>
      </c>
      <c r="C33" s="30" t="s">
        <v>15</v>
      </c>
      <c r="D33" s="216" t="s">
        <v>941</v>
      </c>
      <c r="E33" s="46" t="s">
        <v>956</v>
      </c>
      <c r="F33" s="22"/>
      <c r="G33" s="76">
        <v>10807.57</v>
      </c>
      <c r="H33" s="123"/>
    </row>
    <row r="34" spans="1:8" x14ac:dyDescent="0.2">
      <c r="A34" s="203"/>
      <c r="B34" s="89">
        <v>46112</v>
      </c>
      <c r="C34" s="30" t="s">
        <v>15</v>
      </c>
      <c r="D34" s="216" t="s">
        <v>941</v>
      </c>
      <c r="E34" s="46" t="s">
        <v>956</v>
      </c>
      <c r="F34" s="22"/>
      <c r="G34" s="76">
        <v>8824.7199999999993</v>
      </c>
      <c r="H34" s="123"/>
    </row>
    <row r="35" spans="1:8" x14ac:dyDescent="0.2">
      <c r="A35" s="203"/>
      <c r="B35" s="89">
        <v>46112</v>
      </c>
      <c r="C35" s="30" t="s">
        <v>15</v>
      </c>
      <c r="D35" s="216" t="s">
        <v>942</v>
      </c>
      <c r="E35" s="46" t="s">
        <v>1033</v>
      </c>
      <c r="F35" s="22"/>
      <c r="G35" s="76">
        <v>706.14</v>
      </c>
      <c r="H35" s="123"/>
    </row>
    <row r="36" spans="1:8" x14ac:dyDescent="0.2">
      <c r="A36" s="203"/>
      <c r="B36" s="209"/>
      <c r="D36" s="139"/>
      <c r="E36" s="22"/>
      <c r="F36" s="22"/>
      <c r="G36" s="76"/>
      <c r="H36" s="123"/>
    </row>
    <row r="37" spans="1:8" x14ac:dyDescent="0.2">
      <c r="A37" s="203"/>
      <c r="B37" s="209"/>
      <c r="C37" s="10"/>
      <c r="D37" s="30"/>
      <c r="E37" s="22"/>
      <c r="F37" s="103" t="s">
        <v>23</v>
      </c>
      <c r="G37" s="205">
        <f>SUM(G29:G35)</f>
        <v>24536.21</v>
      </c>
      <c r="H37" s="123"/>
    </row>
    <row r="38" spans="1:8" x14ac:dyDescent="0.2">
      <c r="A38" s="203" t="s">
        <v>24</v>
      </c>
      <c r="B38" s="202" t="s">
        <v>25</v>
      </c>
      <c r="C38" s="3"/>
      <c r="D38" s="30"/>
      <c r="E38" s="16"/>
      <c r="F38" s="16"/>
      <c r="G38" s="85"/>
      <c r="H38" s="123"/>
    </row>
    <row r="39" spans="1:8" x14ac:dyDescent="0.2">
      <c r="A39" s="203"/>
      <c r="B39" s="202"/>
      <c r="C39" s="3"/>
      <c r="D39" s="30"/>
      <c r="E39" s="16"/>
      <c r="F39" s="16"/>
      <c r="G39" s="85"/>
      <c r="H39" s="123"/>
    </row>
    <row r="40" spans="1:8" x14ac:dyDescent="0.2">
      <c r="A40" s="203"/>
      <c r="B40" s="89">
        <v>45985</v>
      </c>
      <c r="C40" s="204" t="s">
        <v>7</v>
      </c>
      <c r="D40" s="216" t="s">
        <v>269</v>
      </c>
      <c r="E40" s="46" t="s">
        <v>264</v>
      </c>
      <c r="F40" s="22"/>
      <c r="G40" s="76">
        <v>-55.8</v>
      </c>
      <c r="H40" s="123"/>
    </row>
    <row r="41" spans="1:8" x14ac:dyDescent="0.2">
      <c r="A41" s="203"/>
      <c r="B41" s="89">
        <v>46029</v>
      </c>
      <c r="C41" s="204" t="s">
        <v>7</v>
      </c>
      <c r="D41" s="216" t="s">
        <v>285</v>
      </c>
      <c r="E41" s="46" t="s">
        <v>290</v>
      </c>
      <c r="F41" s="22"/>
      <c r="G41" s="76">
        <v>-117497.31</v>
      </c>
      <c r="H41" s="123"/>
    </row>
    <row r="42" spans="1:8" x14ac:dyDescent="0.2">
      <c r="A42" s="203"/>
      <c r="B42" s="89">
        <v>46055</v>
      </c>
      <c r="C42" s="204" t="s">
        <v>7</v>
      </c>
      <c r="D42" s="216" t="s">
        <v>300</v>
      </c>
      <c r="E42" s="46" t="s">
        <v>258</v>
      </c>
      <c r="F42" s="22"/>
      <c r="G42" s="76">
        <v>-263.10000000000002</v>
      </c>
      <c r="H42" s="123"/>
    </row>
    <row r="43" spans="1:8" x14ac:dyDescent="0.2">
      <c r="A43" s="203"/>
      <c r="B43" s="89"/>
      <c r="C43" s="3"/>
      <c r="D43" s="30"/>
      <c r="E43" s="16"/>
      <c r="F43" s="16"/>
      <c r="G43" s="85"/>
      <c r="H43" s="123"/>
    </row>
    <row r="44" spans="1:8" x14ac:dyDescent="0.2">
      <c r="B44" s="129" t="s">
        <v>26</v>
      </c>
      <c r="D44" s="139" t="s">
        <v>1035</v>
      </c>
      <c r="E44" s="22"/>
      <c r="F44" s="22"/>
      <c r="G44" s="82"/>
      <c r="H44" s="123"/>
    </row>
    <row r="45" spans="1:8" x14ac:dyDescent="0.2">
      <c r="A45" s="203"/>
      <c r="B45" s="209"/>
      <c r="D45" s="139"/>
      <c r="E45" s="22"/>
      <c r="F45" s="22"/>
      <c r="G45" s="82"/>
      <c r="H45" s="123"/>
    </row>
    <row r="46" spans="1:8" x14ac:dyDescent="0.2">
      <c r="A46" s="203"/>
      <c r="B46" s="89">
        <v>46098</v>
      </c>
      <c r="C46" s="204" t="s">
        <v>7</v>
      </c>
      <c r="D46" s="216" t="s">
        <v>855</v>
      </c>
      <c r="E46" s="46" t="s">
        <v>953</v>
      </c>
      <c r="F46" s="22"/>
      <c r="G46" s="76">
        <v>-450</v>
      </c>
      <c r="H46" s="123"/>
    </row>
    <row r="47" spans="1:8" x14ac:dyDescent="0.2">
      <c r="A47" s="203"/>
      <c r="B47" s="89">
        <v>46106</v>
      </c>
      <c r="C47" s="204" t="s">
        <v>7</v>
      </c>
      <c r="D47" s="216" t="s">
        <v>908</v>
      </c>
      <c r="E47" s="46" t="s">
        <v>245</v>
      </c>
      <c r="F47" s="22"/>
      <c r="G47" s="76">
        <v>-2800</v>
      </c>
      <c r="H47" s="123"/>
    </row>
    <row r="48" spans="1:8" x14ac:dyDescent="0.2">
      <c r="A48" s="203"/>
      <c r="B48" s="89">
        <v>46106</v>
      </c>
      <c r="C48" s="204" t="s">
        <v>7</v>
      </c>
      <c r="D48" s="216" t="s">
        <v>910</v>
      </c>
      <c r="E48" s="46" t="s">
        <v>346</v>
      </c>
      <c r="F48" s="22"/>
      <c r="G48" s="76">
        <v>-374.59</v>
      </c>
      <c r="H48" s="123"/>
    </row>
    <row r="49" spans="1:8" x14ac:dyDescent="0.2">
      <c r="A49" s="203"/>
      <c r="B49" s="89">
        <v>46112</v>
      </c>
      <c r="C49" s="204" t="s">
        <v>7</v>
      </c>
      <c r="D49" s="216" t="s">
        <v>933</v>
      </c>
      <c r="E49" s="46" t="s">
        <v>258</v>
      </c>
      <c r="F49" s="22"/>
      <c r="G49" s="76">
        <v>-2.4299999999999997</v>
      </c>
      <c r="H49" s="123"/>
    </row>
    <row r="50" spans="1:8" x14ac:dyDescent="0.2">
      <c r="A50" s="203"/>
      <c r="B50" s="89">
        <v>46112</v>
      </c>
      <c r="C50" s="204" t="s">
        <v>7</v>
      </c>
      <c r="D50" s="216" t="s">
        <v>935</v>
      </c>
      <c r="E50" s="46" t="s">
        <v>258</v>
      </c>
      <c r="F50" s="22"/>
      <c r="G50" s="76">
        <v>-1186.3599999999999</v>
      </c>
      <c r="H50" s="123"/>
    </row>
    <row r="51" spans="1:8" x14ac:dyDescent="0.2">
      <c r="A51" s="203"/>
      <c r="B51" s="89">
        <v>46112</v>
      </c>
      <c r="C51" s="204" t="s">
        <v>7</v>
      </c>
      <c r="D51" s="216" t="s">
        <v>939</v>
      </c>
      <c r="E51" s="46" t="s">
        <v>195</v>
      </c>
      <c r="F51" s="22"/>
      <c r="G51" s="76">
        <v>-30793.74</v>
      </c>
      <c r="H51" s="123"/>
    </row>
    <row r="52" spans="1:8" x14ac:dyDescent="0.2">
      <c r="A52" s="203"/>
      <c r="B52" s="89">
        <v>46112</v>
      </c>
      <c r="C52" s="204" t="s">
        <v>7</v>
      </c>
      <c r="D52" s="216" t="s">
        <v>939</v>
      </c>
      <c r="E52" s="46" t="s">
        <v>195</v>
      </c>
      <c r="F52" s="22"/>
      <c r="G52" s="76">
        <v>-29586.15</v>
      </c>
      <c r="H52" s="123"/>
    </row>
    <row r="53" spans="1:8" x14ac:dyDescent="0.2">
      <c r="A53" s="203"/>
      <c r="B53" s="89">
        <v>46112</v>
      </c>
      <c r="C53" s="204" t="s">
        <v>7</v>
      </c>
      <c r="D53" s="216" t="s">
        <v>944</v>
      </c>
      <c r="E53" s="46" t="s">
        <v>957</v>
      </c>
      <c r="F53" s="22"/>
      <c r="G53" s="76">
        <v>-4122.76</v>
      </c>
      <c r="H53" s="123"/>
    </row>
    <row r="54" spans="1:8" x14ac:dyDescent="0.2">
      <c r="A54" s="203"/>
      <c r="B54" s="89">
        <v>46112</v>
      </c>
      <c r="C54" s="204" t="s">
        <v>7</v>
      </c>
      <c r="D54" s="216" t="s">
        <v>946</v>
      </c>
      <c r="E54" s="46" t="s">
        <v>958</v>
      </c>
      <c r="F54" s="22"/>
      <c r="G54" s="76">
        <v>-3994.34</v>
      </c>
      <c r="H54" s="123"/>
    </row>
    <row r="55" spans="1:8" x14ac:dyDescent="0.2">
      <c r="A55" s="203"/>
      <c r="B55" s="89">
        <v>46112</v>
      </c>
      <c r="C55" s="204" t="s">
        <v>7</v>
      </c>
      <c r="D55" s="216" t="s">
        <v>1042</v>
      </c>
      <c r="E55" s="46" t="s">
        <v>1044</v>
      </c>
      <c r="F55" s="22"/>
      <c r="G55" s="76">
        <v>-1415</v>
      </c>
      <c r="H55" s="123"/>
    </row>
    <row r="56" spans="1:8" x14ac:dyDescent="0.2">
      <c r="A56" s="203"/>
      <c r="B56" s="89">
        <v>46112</v>
      </c>
      <c r="C56" s="204" t="s">
        <v>7</v>
      </c>
      <c r="D56" s="216" t="s">
        <v>1043</v>
      </c>
      <c r="E56" s="46" t="s">
        <v>1045</v>
      </c>
      <c r="F56" s="22"/>
      <c r="G56" s="76">
        <v>-834</v>
      </c>
      <c r="H56" s="123"/>
    </row>
    <row r="57" spans="1:8" x14ac:dyDescent="0.2">
      <c r="A57" s="203"/>
      <c r="B57" s="202"/>
      <c r="D57" s="139"/>
      <c r="E57" s="16"/>
      <c r="F57" s="16"/>
      <c r="G57" s="85"/>
      <c r="H57" s="123"/>
    </row>
    <row r="58" spans="1:8" x14ac:dyDescent="0.2">
      <c r="A58" s="203"/>
      <c r="B58" s="202"/>
      <c r="D58" s="139"/>
      <c r="E58" s="16"/>
      <c r="F58" s="103" t="s">
        <v>23</v>
      </c>
      <c r="G58" s="187">
        <f>SUM(G40:G56)</f>
        <v>-193375.58</v>
      </c>
      <c r="H58" s="123"/>
    </row>
    <row r="59" spans="1:8" x14ac:dyDescent="0.2">
      <c r="B59" s="120"/>
      <c r="C59" s="4"/>
      <c r="D59" s="30"/>
      <c r="E59" s="29"/>
      <c r="F59" s="29"/>
      <c r="G59" s="88"/>
      <c r="H59" s="118"/>
    </row>
    <row r="60" spans="1:8" x14ac:dyDescent="0.2">
      <c r="B60" s="130"/>
      <c r="C60" s="1"/>
      <c r="D60" s="30"/>
      <c r="F60" s="61" t="s">
        <v>28</v>
      </c>
      <c r="G60" s="138">
        <f>+G58+G37</f>
        <v>-168839.37</v>
      </c>
      <c r="H60" s="118"/>
    </row>
    <row r="61" spans="1:8" x14ac:dyDescent="0.2">
      <c r="B61" s="111"/>
      <c r="C61" s="8"/>
      <c r="D61" s="14"/>
      <c r="E61" s="27"/>
      <c r="F61" s="27"/>
      <c r="G61" s="82"/>
      <c r="H61" s="123"/>
    </row>
    <row r="62" spans="1:8" x14ac:dyDescent="0.2">
      <c r="B62" s="111"/>
      <c r="C62" s="9"/>
      <c r="D62" s="16"/>
      <c r="F62" s="28" t="s">
        <v>29</v>
      </c>
      <c r="G62" s="79"/>
      <c r="H62" s="118">
        <f>+H22-G60</f>
        <v>425662.57</v>
      </c>
    </row>
    <row r="63" spans="1:8" x14ac:dyDescent="0.2">
      <c r="B63" s="111"/>
      <c r="C63" s="9"/>
      <c r="D63" s="16"/>
      <c r="F63" s="28"/>
      <c r="G63" s="79"/>
      <c r="H63" s="121"/>
    </row>
    <row r="64" spans="1:8" ht="13.5" thickBot="1" x14ac:dyDescent="0.25">
      <c r="B64" s="111"/>
      <c r="C64" s="9"/>
      <c r="D64" s="16"/>
      <c r="F64" s="28" t="s">
        <v>30</v>
      </c>
      <c r="G64" s="79"/>
      <c r="H64" s="131">
        <f>+H18-H62</f>
        <v>0</v>
      </c>
    </row>
    <row r="65" spans="2:8" ht="14.25" thickTop="1" thickBot="1" x14ac:dyDescent="0.25">
      <c r="B65" s="132"/>
      <c r="C65" s="133"/>
      <c r="D65" s="134"/>
      <c r="E65" s="135"/>
      <c r="F65" s="135"/>
      <c r="G65" s="136"/>
      <c r="H65" s="137"/>
    </row>
  </sheetData>
  <mergeCells count="3">
    <mergeCell ref="B3:H3"/>
    <mergeCell ref="B2:H2"/>
    <mergeCell ref="B4:H4"/>
  </mergeCells>
  <conditionalFormatting sqref="D40">
    <cfRule type="duplicateValues" dxfId="13" priority="13"/>
    <cfRule type="duplicateValues" dxfId="12" priority="14"/>
  </conditionalFormatting>
  <conditionalFormatting sqref="D41">
    <cfRule type="duplicateValues" dxfId="11" priority="9"/>
    <cfRule type="duplicateValues" dxfId="10" priority="10"/>
    <cfRule type="duplicateValues" dxfId="9" priority="11"/>
  </conditionalFormatting>
  <conditionalFormatting sqref="D42">
    <cfRule type="duplicateValues" dxfId="8" priority="2"/>
    <cfRule type="duplicateValues" dxfId="7" priority="3"/>
    <cfRule type="duplicateValues" dxfId="6" priority="4"/>
  </conditionalFormatting>
  <conditionalFormatting sqref="D29:D32 D35">
    <cfRule type="duplicateValues" dxfId="5" priority="101"/>
  </conditionalFormatting>
  <conditionalFormatting sqref="D42">
    <cfRule type="duplicateValues" dxfId="4" priority="1"/>
  </conditionalFormatting>
  <conditionalFormatting sqref="D46:D50 D53:D56">
    <cfRule type="duplicateValues" dxfId="3" priority="102"/>
    <cfRule type="duplicateValues" dxfId="2" priority="103"/>
    <cfRule type="duplicateValues" dxfId="1" priority="104"/>
  </conditionalFormatting>
  <conditionalFormatting sqref="D46:D50 D53:D56">
    <cfRule type="duplicateValues" dxfId="0" priority="105"/>
  </conditionalFormatting>
  <printOptions horizontalCentered="1"/>
  <pageMargins left="0.5" right="0.5" top="0.75" bottom="0.75" header="0.3" footer="0.3"/>
  <pageSetup scale="62" orientation="portrait" r:id="rId1"/>
  <ignoredErrors>
    <ignoredError sqref="D40:D42 D46:D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zoomScale="85" zoomScaleNormal="85" workbookViewId="0">
      <pane ySplit="1" topLeftCell="A2" activePane="bottomLeft" state="frozen"/>
      <selection activeCell="I12" sqref="F12:I13"/>
      <selection pane="bottomLeft" activeCell="A2" sqref="A2"/>
    </sheetView>
  </sheetViews>
  <sheetFormatPr defaultColWidth="9.33203125" defaultRowHeight="12.75" x14ac:dyDescent="0.2"/>
  <cols>
    <col min="1" max="1" width="12.6640625" style="34" bestFit="1" customWidth="1"/>
    <col min="2" max="2" width="16.1640625" style="74" customWidth="1"/>
    <col min="3" max="3" width="13.33203125" style="34" customWidth="1"/>
    <col min="4" max="4" width="13" style="48" customWidth="1"/>
    <col min="5" max="5" width="158.6640625" style="34" bestFit="1" customWidth="1"/>
    <col min="6" max="16384" width="9.33203125" style="34"/>
  </cols>
  <sheetData>
    <row r="1" spans="1:5" x14ac:dyDescent="0.2">
      <c r="A1" s="94" t="s">
        <v>31</v>
      </c>
      <c r="B1" s="100" t="s">
        <v>32</v>
      </c>
      <c r="C1" s="94" t="s">
        <v>33</v>
      </c>
      <c r="D1" s="95" t="s">
        <v>34</v>
      </c>
      <c r="E1" s="94" t="s">
        <v>35</v>
      </c>
    </row>
    <row r="2" spans="1:5" s="226" customFormat="1" ht="12.75" customHeight="1" x14ac:dyDescent="0.2">
      <c r="A2" s="224" t="s">
        <v>429</v>
      </c>
      <c r="B2" s="225">
        <v>-357701.96</v>
      </c>
      <c r="C2" s="224" t="s">
        <v>36</v>
      </c>
      <c r="D2" s="226">
        <v>-4</v>
      </c>
      <c r="E2" s="226" t="s">
        <v>8</v>
      </c>
    </row>
    <row r="3" spans="1:5" s="226" customFormat="1" ht="12.75" customHeight="1" x14ac:dyDescent="0.2">
      <c r="A3" s="224" t="s">
        <v>429</v>
      </c>
      <c r="B3" s="225">
        <v>-942.21</v>
      </c>
      <c r="C3" s="224" t="s">
        <v>36</v>
      </c>
      <c r="D3" s="226">
        <v>-3</v>
      </c>
      <c r="E3" s="226" t="s">
        <v>495</v>
      </c>
    </row>
    <row r="4" spans="1:5" s="226" customFormat="1" ht="12.75" customHeight="1" x14ac:dyDescent="0.2">
      <c r="A4" s="224" t="s">
        <v>429</v>
      </c>
      <c r="B4" s="225">
        <v>-296.72000000000003</v>
      </c>
      <c r="C4" s="224" t="s">
        <v>303</v>
      </c>
      <c r="D4" s="226">
        <v>-3</v>
      </c>
      <c r="E4" s="226" t="s">
        <v>37</v>
      </c>
    </row>
    <row r="5" spans="1:5" s="226" customFormat="1" ht="12.75" customHeight="1" x14ac:dyDescent="0.2">
      <c r="A5" s="224" t="s">
        <v>429</v>
      </c>
      <c r="B5" s="225">
        <v>-116.16</v>
      </c>
      <c r="C5" s="224" t="s">
        <v>305</v>
      </c>
      <c r="D5" s="226">
        <v>-3</v>
      </c>
      <c r="E5" s="226" t="s">
        <v>37</v>
      </c>
    </row>
    <row r="6" spans="1:5" s="226" customFormat="1" ht="12.75" customHeight="1" x14ac:dyDescent="0.2">
      <c r="A6" s="224" t="s">
        <v>429</v>
      </c>
      <c r="B6" s="225">
        <v>21361.88</v>
      </c>
      <c r="C6" s="224" t="s">
        <v>36</v>
      </c>
      <c r="D6" s="226">
        <v>2</v>
      </c>
      <c r="E6" s="226" t="s">
        <v>496</v>
      </c>
    </row>
    <row r="7" spans="1:5" s="226" customFormat="1" ht="12.75" customHeight="1" x14ac:dyDescent="0.2">
      <c r="A7" s="224" t="s">
        <v>429</v>
      </c>
      <c r="B7" s="240">
        <v>3458.48</v>
      </c>
      <c r="C7" s="224" t="s">
        <v>36</v>
      </c>
      <c r="D7" s="226">
        <v>3</v>
      </c>
      <c r="E7" s="226" t="s">
        <v>497</v>
      </c>
    </row>
    <row r="8" spans="1:5" s="226" customFormat="1" ht="12.75" customHeight="1" x14ac:dyDescent="0.2">
      <c r="A8" s="224" t="s">
        <v>429</v>
      </c>
      <c r="B8" s="242">
        <v>2268.48</v>
      </c>
      <c r="C8" s="224" t="s">
        <v>36</v>
      </c>
      <c r="D8" s="226">
        <v>3</v>
      </c>
      <c r="E8" s="226" t="s">
        <v>498</v>
      </c>
    </row>
    <row r="9" spans="1:5" s="226" customFormat="1" ht="12.75" customHeight="1" x14ac:dyDescent="0.2">
      <c r="A9" s="224" t="s">
        <v>429</v>
      </c>
      <c r="B9" s="225">
        <v>592.08000000000004</v>
      </c>
      <c r="C9" s="224" t="s">
        <v>36</v>
      </c>
      <c r="D9" s="226">
        <v>2</v>
      </c>
      <c r="E9" s="226" t="s">
        <v>38</v>
      </c>
    </row>
    <row r="10" spans="1:5" s="226" customFormat="1" ht="12.75" customHeight="1" x14ac:dyDescent="0.2">
      <c r="A10" s="224" t="s">
        <v>429</v>
      </c>
      <c r="B10" s="225">
        <v>331376.13</v>
      </c>
      <c r="C10" s="224" t="s">
        <v>36</v>
      </c>
      <c r="D10" s="226">
        <v>4</v>
      </c>
      <c r="E10" s="226" t="s">
        <v>39</v>
      </c>
    </row>
    <row r="11" spans="1:5" s="226" customFormat="1" ht="12.75" customHeight="1" x14ac:dyDescent="0.2">
      <c r="A11" s="224" t="s">
        <v>428</v>
      </c>
      <c r="B11" s="225">
        <v>-389562.92</v>
      </c>
      <c r="C11" s="224" t="s">
        <v>36</v>
      </c>
      <c r="D11" s="226">
        <v>-4</v>
      </c>
      <c r="E11" s="226" t="s">
        <v>8</v>
      </c>
    </row>
    <row r="12" spans="1:5" s="226" customFormat="1" ht="12.75" customHeight="1" x14ac:dyDescent="0.2">
      <c r="A12" s="224" t="s">
        <v>428</v>
      </c>
      <c r="B12" s="225">
        <v>-106</v>
      </c>
      <c r="C12" s="224" t="s">
        <v>307</v>
      </c>
      <c r="D12" s="226">
        <v>-3</v>
      </c>
      <c r="E12" s="226" t="s">
        <v>37</v>
      </c>
    </row>
    <row r="13" spans="1:5" s="226" customFormat="1" ht="12.75" customHeight="1" x14ac:dyDescent="0.2">
      <c r="A13" s="224" t="s">
        <v>428</v>
      </c>
      <c r="B13" s="260">
        <v>18445.95</v>
      </c>
      <c r="C13" s="224" t="s">
        <v>36</v>
      </c>
      <c r="D13" s="226">
        <v>2</v>
      </c>
      <c r="E13" s="226" t="s">
        <v>237</v>
      </c>
    </row>
    <row r="14" spans="1:5" s="226" customFormat="1" ht="12.75" customHeight="1" x14ac:dyDescent="0.2">
      <c r="A14" s="224" t="s">
        <v>428</v>
      </c>
      <c r="B14" s="225">
        <v>11252.4</v>
      </c>
      <c r="C14" s="224" t="s">
        <v>36</v>
      </c>
      <c r="D14" s="226">
        <v>2</v>
      </c>
      <c r="E14" s="226" t="s">
        <v>493</v>
      </c>
    </row>
    <row r="15" spans="1:5" s="226" customFormat="1" ht="12.75" customHeight="1" x14ac:dyDescent="0.2">
      <c r="A15" s="224" t="s">
        <v>428</v>
      </c>
      <c r="B15" s="244">
        <v>2268.61</v>
      </c>
      <c r="C15" s="224" t="s">
        <v>36</v>
      </c>
      <c r="D15" s="226">
        <v>3</v>
      </c>
      <c r="E15" s="226" t="s">
        <v>494</v>
      </c>
    </row>
    <row r="16" spans="1:5" s="226" customFormat="1" ht="12.75" customHeight="1" x14ac:dyDescent="0.2">
      <c r="A16" s="224" t="s">
        <v>428</v>
      </c>
      <c r="B16" s="225">
        <v>357701.96</v>
      </c>
      <c r="C16" s="224" t="s">
        <v>36</v>
      </c>
      <c r="D16" s="226">
        <v>4</v>
      </c>
      <c r="E16" s="226" t="s">
        <v>39</v>
      </c>
    </row>
    <row r="17" spans="1:5" s="226" customFormat="1" ht="12.75" customHeight="1" x14ac:dyDescent="0.2">
      <c r="A17" s="224" t="s">
        <v>427</v>
      </c>
      <c r="B17" s="225">
        <v>-398283.66</v>
      </c>
      <c r="C17" s="224" t="s">
        <v>36</v>
      </c>
      <c r="D17" s="226">
        <v>-4</v>
      </c>
      <c r="E17" s="226" t="s">
        <v>8</v>
      </c>
    </row>
    <row r="18" spans="1:5" s="226" customFormat="1" ht="12.75" customHeight="1" x14ac:dyDescent="0.2">
      <c r="A18" s="224" t="s">
        <v>427</v>
      </c>
      <c r="B18" s="252">
        <v>-976.62</v>
      </c>
      <c r="C18" s="224" t="s">
        <v>36</v>
      </c>
      <c r="D18" s="226">
        <v>-2</v>
      </c>
      <c r="E18" s="226" t="s">
        <v>489</v>
      </c>
    </row>
    <row r="19" spans="1:5" s="226" customFormat="1" ht="12.75" customHeight="1" x14ac:dyDescent="0.2">
      <c r="A19" s="224" t="s">
        <v>427</v>
      </c>
      <c r="B19" s="225">
        <v>-24</v>
      </c>
      <c r="C19" s="224" t="s">
        <v>36</v>
      </c>
      <c r="D19" s="226">
        <v>-2</v>
      </c>
      <c r="E19" s="226" t="s">
        <v>490</v>
      </c>
    </row>
    <row r="20" spans="1:5" s="226" customFormat="1" ht="12.75" customHeight="1" x14ac:dyDescent="0.2">
      <c r="A20" s="224" t="s">
        <v>427</v>
      </c>
      <c r="B20" s="236">
        <v>8522.4</v>
      </c>
      <c r="C20" s="224" t="s">
        <v>36</v>
      </c>
      <c r="D20" s="226">
        <v>2</v>
      </c>
      <c r="E20" s="226" t="s">
        <v>491</v>
      </c>
    </row>
    <row r="21" spans="1:5" s="226" customFormat="1" ht="12.75" customHeight="1" x14ac:dyDescent="0.2">
      <c r="A21" s="224" t="s">
        <v>427</v>
      </c>
      <c r="B21" s="246">
        <v>1198.96</v>
      </c>
      <c r="C21" s="224" t="s">
        <v>36</v>
      </c>
      <c r="D21" s="226">
        <v>3</v>
      </c>
      <c r="E21" s="226" t="s">
        <v>492</v>
      </c>
    </row>
    <row r="22" spans="1:5" s="226" customFormat="1" ht="12.75" customHeight="1" x14ac:dyDescent="0.2">
      <c r="A22" s="224" t="s">
        <v>427</v>
      </c>
      <c r="B22" s="225">
        <v>389562.92</v>
      </c>
      <c r="C22" s="224" t="s">
        <v>36</v>
      </c>
      <c r="D22" s="226">
        <v>4</v>
      </c>
      <c r="E22" s="226" t="s">
        <v>39</v>
      </c>
    </row>
    <row r="23" spans="1:5" s="226" customFormat="1" ht="12.75" customHeight="1" x14ac:dyDescent="0.2">
      <c r="A23" s="224" t="s">
        <v>426</v>
      </c>
      <c r="B23" s="225">
        <v>-372175.8</v>
      </c>
      <c r="C23" s="224" t="s">
        <v>36</v>
      </c>
      <c r="D23" s="226">
        <v>-4</v>
      </c>
      <c r="E23" s="226" t="s">
        <v>8</v>
      </c>
    </row>
    <row r="24" spans="1:5" s="226" customFormat="1" ht="12.75" customHeight="1" x14ac:dyDescent="0.2">
      <c r="A24" s="224" t="s">
        <v>426</v>
      </c>
      <c r="B24" s="247">
        <v>-42278.21</v>
      </c>
      <c r="C24" s="224" t="s">
        <v>36</v>
      </c>
      <c r="D24" s="226">
        <v>-3</v>
      </c>
      <c r="E24" s="226" t="s">
        <v>481</v>
      </c>
    </row>
    <row r="25" spans="1:5" s="226" customFormat="1" ht="12.75" customHeight="1" x14ac:dyDescent="0.2">
      <c r="A25" s="224" t="s">
        <v>426</v>
      </c>
      <c r="B25" s="247">
        <v>-7874.69</v>
      </c>
      <c r="C25" s="224" t="s">
        <v>36</v>
      </c>
      <c r="D25" s="226">
        <v>-3</v>
      </c>
      <c r="E25" s="226" t="s">
        <v>482</v>
      </c>
    </row>
    <row r="26" spans="1:5" s="226" customFormat="1" ht="12.75" customHeight="1" x14ac:dyDescent="0.2">
      <c r="A26" s="224" t="s">
        <v>426</v>
      </c>
      <c r="B26" s="247">
        <v>-4538.72</v>
      </c>
      <c r="C26" s="224" t="s">
        <v>36</v>
      </c>
      <c r="D26" s="226">
        <v>-3</v>
      </c>
      <c r="E26" s="226" t="s">
        <v>483</v>
      </c>
    </row>
    <row r="27" spans="1:5" s="226" customFormat="1" ht="12.75" customHeight="1" x14ac:dyDescent="0.2">
      <c r="A27" s="224" t="s">
        <v>426</v>
      </c>
      <c r="B27" s="225">
        <v>-1107.92</v>
      </c>
      <c r="C27" s="224" t="s">
        <v>36</v>
      </c>
      <c r="D27" s="226">
        <v>-3</v>
      </c>
      <c r="E27" s="226" t="s">
        <v>484</v>
      </c>
    </row>
    <row r="28" spans="1:5" s="226" customFormat="1" ht="12.75" customHeight="1" x14ac:dyDescent="0.2">
      <c r="A28" s="224" t="s">
        <v>426</v>
      </c>
      <c r="B28" s="236">
        <v>12685.32</v>
      </c>
      <c r="C28" s="224" t="s">
        <v>36</v>
      </c>
      <c r="D28" s="226">
        <v>2</v>
      </c>
      <c r="E28" s="226" t="s">
        <v>485</v>
      </c>
    </row>
    <row r="29" spans="1:5" s="226" customFormat="1" ht="12.75" customHeight="1" x14ac:dyDescent="0.2">
      <c r="A29" s="224" t="s">
        <v>426</v>
      </c>
      <c r="B29" s="225">
        <v>6454.52</v>
      </c>
      <c r="C29" s="224" t="s">
        <v>36</v>
      </c>
      <c r="D29" s="226">
        <v>2</v>
      </c>
      <c r="E29" s="226" t="s">
        <v>486</v>
      </c>
    </row>
    <row r="30" spans="1:5" s="226" customFormat="1" ht="12.75" customHeight="1" x14ac:dyDescent="0.2">
      <c r="A30" s="224" t="s">
        <v>426</v>
      </c>
      <c r="B30" s="225">
        <v>6344.88</v>
      </c>
      <c r="C30" s="224" t="s">
        <v>36</v>
      </c>
      <c r="D30" s="226">
        <v>2</v>
      </c>
      <c r="E30" s="226" t="s">
        <v>487</v>
      </c>
    </row>
    <row r="31" spans="1:5" s="226" customFormat="1" ht="12.75" customHeight="1" x14ac:dyDescent="0.2">
      <c r="A31" s="224" t="s">
        <v>426</v>
      </c>
      <c r="B31" s="225">
        <v>4206.96</v>
      </c>
      <c r="C31" s="224" t="s">
        <v>36</v>
      </c>
      <c r="D31" s="226">
        <v>2</v>
      </c>
      <c r="E31" s="226" t="s">
        <v>488</v>
      </c>
    </row>
    <row r="32" spans="1:5" s="226" customFormat="1" ht="12.75" customHeight="1" x14ac:dyDescent="0.2">
      <c r="A32" s="224" t="s">
        <v>426</v>
      </c>
      <c r="B32" s="225">
        <v>398283.66</v>
      </c>
      <c r="C32" s="224" t="s">
        <v>36</v>
      </c>
      <c r="D32" s="226">
        <v>4</v>
      </c>
      <c r="E32" s="226" t="s">
        <v>39</v>
      </c>
    </row>
    <row r="33" spans="1:5" s="226" customFormat="1" ht="12.75" customHeight="1" x14ac:dyDescent="0.2">
      <c r="A33" s="224" t="s">
        <v>425</v>
      </c>
      <c r="B33" s="225">
        <v>-408795.98</v>
      </c>
      <c r="C33" s="224" t="s">
        <v>36</v>
      </c>
      <c r="D33" s="226">
        <v>-4</v>
      </c>
      <c r="E33" s="226" t="s">
        <v>8</v>
      </c>
    </row>
    <row r="34" spans="1:5" s="226" customFormat="1" ht="12.75" customHeight="1" x14ac:dyDescent="0.2">
      <c r="A34" s="224" t="s">
        <v>425</v>
      </c>
      <c r="B34" s="225">
        <v>-64.19</v>
      </c>
      <c r="C34" s="224" t="s">
        <v>36</v>
      </c>
      <c r="D34" s="226">
        <v>-2</v>
      </c>
      <c r="E34" s="226" t="s">
        <v>477</v>
      </c>
    </row>
    <row r="35" spans="1:5" s="226" customFormat="1" ht="12.75" customHeight="1" x14ac:dyDescent="0.2">
      <c r="A35" s="224" t="s">
        <v>425</v>
      </c>
      <c r="B35" s="225">
        <v>21495.57</v>
      </c>
      <c r="C35" s="224" t="s">
        <v>36</v>
      </c>
      <c r="D35" s="226">
        <v>2</v>
      </c>
      <c r="E35" s="226" t="s">
        <v>478</v>
      </c>
    </row>
    <row r="36" spans="1:5" s="226" customFormat="1" ht="12.75" customHeight="1" x14ac:dyDescent="0.2">
      <c r="A36" s="224" t="s">
        <v>425</v>
      </c>
      <c r="B36" s="225">
        <v>7764.96</v>
      </c>
      <c r="C36" s="224" t="s">
        <v>36</v>
      </c>
      <c r="D36" s="226">
        <v>2</v>
      </c>
      <c r="E36" s="226" t="s">
        <v>479</v>
      </c>
    </row>
    <row r="37" spans="1:5" s="226" customFormat="1" ht="12.75" customHeight="1" x14ac:dyDescent="0.2">
      <c r="A37" s="224" t="s">
        <v>425</v>
      </c>
      <c r="B37" s="225">
        <v>7423.84</v>
      </c>
      <c r="C37" s="224" t="s">
        <v>36</v>
      </c>
      <c r="D37" s="226">
        <v>2</v>
      </c>
      <c r="E37" s="226" t="s">
        <v>480</v>
      </c>
    </row>
    <row r="38" spans="1:5" s="226" customFormat="1" ht="12.75" customHeight="1" x14ac:dyDescent="0.2">
      <c r="A38" s="224" t="s">
        <v>425</v>
      </c>
      <c r="B38" s="225">
        <v>372175.8</v>
      </c>
      <c r="C38" s="224" t="s">
        <v>36</v>
      </c>
      <c r="D38" s="226">
        <v>4</v>
      </c>
      <c r="E38" s="226" t="s">
        <v>39</v>
      </c>
    </row>
    <row r="39" spans="1:5" s="226" customFormat="1" ht="12.75" customHeight="1" x14ac:dyDescent="0.2">
      <c r="A39" s="224" t="s">
        <v>423</v>
      </c>
      <c r="B39" s="225">
        <v>-423766.28</v>
      </c>
      <c r="C39" s="224" t="s">
        <v>36</v>
      </c>
      <c r="D39" s="226">
        <v>-4</v>
      </c>
      <c r="E39" s="226" t="s">
        <v>8</v>
      </c>
    </row>
    <row r="40" spans="1:5" s="226" customFormat="1" ht="12.75" customHeight="1" x14ac:dyDescent="0.2">
      <c r="A40" s="224" t="s">
        <v>423</v>
      </c>
      <c r="B40" s="257">
        <v>-1048.96</v>
      </c>
      <c r="C40" s="224" t="s">
        <v>36</v>
      </c>
      <c r="D40" s="226">
        <v>-2</v>
      </c>
      <c r="E40" s="226" t="s">
        <v>471</v>
      </c>
    </row>
    <row r="41" spans="1:5" s="226" customFormat="1" ht="12.75" customHeight="1" x14ac:dyDescent="0.2">
      <c r="A41" s="224" t="s">
        <v>423</v>
      </c>
      <c r="B41" s="225">
        <v>-78.650000000000006</v>
      </c>
      <c r="C41" s="224" t="s">
        <v>424</v>
      </c>
      <c r="D41" s="226">
        <v>-2</v>
      </c>
      <c r="E41" s="226" t="s">
        <v>37</v>
      </c>
    </row>
    <row r="42" spans="1:5" s="226" customFormat="1" ht="12.75" customHeight="1" x14ac:dyDescent="0.2">
      <c r="A42" s="224" t="s">
        <v>423</v>
      </c>
      <c r="B42" s="225">
        <v>6395.48</v>
      </c>
      <c r="C42" s="224" t="s">
        <v>36</v>
      </c>
      <c r="D42" s="226">
        <v>2</v>
      </c>
      <c r="E42" s="226" t="s">
        <v>472</v>
      </c>
    </row>
    <row r="43" spans="1:5" s="226" customFormat="1" ht="12.75" customHeight="1" x14ac:dyDescent="0.2">
      <c r="A43" s="224" t="s">
        <v>423</v>
      </c>
      <c r="B43" s="225">
        <v>3307.55</v>
      </c>
      <c r="C43" s="224" t="s">
        <v>36</v>
      </c>
      <c r="D43" s="226">
        <v>2</v>
      </c>
      <c r="E43" s="226" t="s">
        <v>473</v>
      </c>
    </row>
    <row r="44" spans="1:5" s="226" customFormat="1" ht="12.75" customHeight="1" x14ac:dyDescent="0.2">
      <c r="A44" s="224" t="s">
        <v>423</v>
      </c>
      <c r="B44" s="225">
        <v>3152.44</v>
      </c>
      <c r="C44" s="224" t="s">
        <v>36</v>
      </c>
      <c r="D44" s="226">
        <v>2</v>
      </c>
      <c r="E44" s="226" t="s">
        <v>474</v>
      </c>
    </row>
    <row r="45" spans="1:5" s="226" customFormat="1" ht="12.75" customHeight="1" x14ac:dyDescent="0.2">
      <c r="A45" s="224" t="s">
        <v>423</v>
      </c>
      <c r="B45" s="221">
        <v>2193.48</v>
      </c>
      <c r="C45" s="224" t="s">
        <v>36</v>
      </c>
      <c r="D45" s="226">
        <v>2</v>
      </c>
      <c r="E45" s="226" t="s">
        <v>475</v>
      </c>
    </row>
    <row r="46" spans="1:5" s="226" customFormat="1" ht="12.75" customHeight="1" x14ac:dyDescent="0.2">
      <c r="A46" s="224" t="s">
        <v>423</v>
      </c>
      <c r="B46" s="225">
        <v>1048.96</v>
      </c>
      <c r="C46" s="224" t="s">
        <v>36</v>
      </c>
      <c r="D46" s="226">
        <v>2</v>
      </c>
      <c r="E46" s="226" t="s">
        <v>476</v>
      </c>
    </row>
    <row r="47" spans="1:5" s="226" customFormat="1" ht="12.75" customHeight="1" x14ac:dyDescent="0.2">
      <c r="A47" s="224" t="s">
        <v>423</v>
      </c>
      <c r="B47" s="225">
        <v>408795.98</v>
      </c>
      <c r="C47" s="224" t="s">
        <v>36</v>
      </c>
      <c r="D47" s="226">
        <v>4</v>
      </c>
      <c r="E47" s="226" t="s">
        <v>39</v>
      </c>
    </row>
    <row r="48" spans="1:5" s="226" customFormat="1" ht="12.75" customHeight="1" x14ac:dyDescent="0.2">
      <c r="A48" s="224" t="s">
        <v>422</v>
      </c>
      <c r="B48" s="225">
        <v>-430583.84</v>
      </c>
      <c r="C48" s="224" t="s">
        <v>36</v>
      </c>
      <c r="D48" s="226">
        <v>-4</v>
      </c>
      <c r="E48" s="226" t="s">
        <v>8</v>
      </c>
    </row>
    <row r="49" spans="1:5" s="226" customFormat="1" ht="12.75" customHeight="1" x14ac:dyDescent="0.2">
      <c r="A49" s="224" t="s">
        <v>422</v>
      </c>
      <c r="B49" s="244">
        <v>-1247.92</v>
      </c>
      <c r="C49" s="224" t="s">
        <v>36</v>
      </c>
      <c r="D49" s="226">
        <v>-2</v>
      </c>
      <c r="E49" s="226" t="s">
        <v>467</v>
      </c>
    </row>
    <row r="50" spans="1:5" s="226" customFormat="1" ht="12.75" customHeight="1" x14ac:dyDescent="0.2">
      <c r="A50" s="224" t="s">
        <v>422</v>
      </c>
      <c r="B50" s="225">
        <v>-374.59</v>
      </c>
      <c r="C50" s="224" t="s">
        <v>327</v>
      </c>
      <c r="D50" s="226">
        <v>-3</v>
      </c>
      <c r="E50" s="226" t="s">
        <v>37</v>
      </c>
    </row>
    <row r="51" spans="1:5" s="226" customFormat="1" ht="12.75" customHeight="1" x14ac:dyDescent="0.2">
      <c r="A51" s="224" t="s">
        <v>422</v>
      </c>
      <c r="B51" s="225">
        <v>5186.82</v>
      </c>
      <c r="C51" s="224" t="s">
        <v>36</v>
      </c>
      <c r="D51" s="226">
        <v>2</v>
      </c>
      <c r="E51" s="226" t="s">
        <v>468</v>
      </c>
    </row>
    <row r="52" spans="1:5" s="226" customFormat="1" ht="12.75" customHeight="1" x14ac:dyDescent="0.2">
      <c r="A52" s="224" t="s">
        <v>422</v>
      </c>
      <c r="B52" s="221">
        <v>2183.73</v>
      </c>
      <c r="C52" s="224" t="s">
        <v>36</v>
      </c>
      <c r="D52" s="226">
        <v>2</v>
      </c>
      <c r="E52" s="226" t="s">
        <v>469</v>
      </c>
    </row>
    <row r="53" spans="1:5" s="226" customFormat="1" ht="12.75" customHeight="1" x14ac:dyDescent="0.2">
      <c r="A53" s="224" t="s">
        <v>422</v>
      </c>
      <c r="B53" s="225">
        <v>1069.52</v>
      </c>
      <c r="C53" s="224" t="s">
        <v>36</v>
      </c>
      <c r="D53" s="226">
        <v>2</v>
      </c>
      <c r="E53" s="226" t="s">
        <v>470</v>
      </c>
    </row>
    <row r="54" spans="1:5" s="226" customFormat="1" ht="12.75" customHeight="1" x14ac:dyDescent="0.2">
      <c r="A54" s="224" t="s">
        <v>422</v>
      </c>
      <c r="B54" s="225">
        <v>423766.28</v>
      </c>
      <c r="C54" s="224" t="s">
        <v>36</v>
      </c>
      <c r="D54" s="226">
        <v>4</v>
      </c>
      <c r="E54" s="226" t="s">
        <v>39</v>
      </c>
    </row>
    <row r="55" spans="1:5" s="226" customFormat="1" ht="12.75" customHeight="1" x14ac:dyDescent="0.2">
      <c r="A55" s="224" t="s">
        <v>421</v>
      </c>
      <c r="B55" s="227">
        <v>-443067.88</v>
      </c>
      <c r="C55" s="224" t="s">
        <v>36</v>
      </c>
      <c r="D55" s="226">
        <v>-4</v>
      </c>
      <c r="E55" s="226" t="s">
        <v>8</v>
      </c>
    </row>
    <row r="56" spans="1:5" s="226" customFormat="1" ht="12.75" customHeight="1" x14ac:dyDescent="0.2">
      <c r="A56" s="224" t="s">
        <v>421</v>
      </c>
      <c r="B56" s="247">
        <v>-1054.52</v>
      </c>
      <c r="C56" s="224" t="s">
        <v>36</v>
      </c>
      <c r="D56" s="226">
        <v>-2</v>
      </c>
      <c r="E56" s="226" t="s">
        <v>461</v>
      </c>
    </row>
    <row r="57" spans="1:5" s="226" customFormat="1" ht="12.75" customHeight="1" x14ac:dyDescent="0.2">
      <c r="A57" s="224" t="s">
        <v>421</v>
      </c>
      <c r="B57" s="225">
        <v>6350.44</v>
      </c>
      <c r="C57" s="224" t="s">
        <v>36</v>
      </c>
      <c r="D57" s="226">
        <v>2</v>
      </c>
      <c r="E57" s="226" t="s">
        <v>462</v>
      </c>
    </row>
    <row r="58" spans="1:5" s="226" customFormat="1" ht="12.75" customHeight="1" x14ac:dyDescent="0.2">
      <c r="A58" s="224" t="s">
        <v>421</v>
      </c>
      <c r="B58" s="225">
        <v>3134.85</v>
      </c>
      <c r="C58" s="224" t="s">
        <v>36</v>
      </c>
      <c r="D58" s="226">
        <v>2</v>
      </c>
      <c r="E58" s="226" t="s">
        <v>463</v>
      </c>
    </row>
    <row r="59" spans="1:5" s="226" customFormat="1" ht="12.75" customHeight="1" x14ac:dyDescent="0.2">
      <c r="A59" s="224" t="s">
        <v>421</v>
      </c>
      <c r="B59" s="225">
        <v>2958.75</v>
      </c>
      <c r="C59" s="224" t="s">
        <v>36</v>
      </c>
      <c r="D59" s="226">
        <v>2</v>
      </c>
      <c r="E59" s="226" t="s">
        <v>464</v>
      </c>
    </row>
    <row r="60" spans="1:5" s="226" customFormat="1" ht="12.75" customHeight="1" x14ac:dyDescent="0.2">
      <c r="A60" s="224" t="s">
        <v>421</v>
      </c>
      <c r="B60" s="225">
        <v>1054.52</v>
      </c>
      <c r="C60" s="224" t="s">
        <v>36</v>
      </c>
      <c r="D60" s="226">
        <v>2</v>
      </c>
      <c r="E60" s="226" t="s">
        <v>465</v>
      </c>
    </row>
    <row r="61" spans="1:5" s="226" customFormat="1" ht="12.75" customHeight="1" x14ac:dyDescent="0.2">
      <c r="A61" s="224" t="s">
        <v>421</v>
      </c>
      <c r="B61" s="225">
        <v>40</v>
      </c>
      <c r="C61" s="224" t="s">
        <v>36</v>
      </c>
      <c r="D61" s="226">
        <v>2</v>
      </c>
      <c r="E61" s="226" t="s">
        <v>466</v>
      </c>
    </row>
    <row r="62" spans="1:5" s="226" customFormat="1" ht="12.75" customHeight="1" x14ac:dyDescent="0.2">
      <c r="A62" s="224" t="s">
        <v>421</v>
      </c>
      <c r="B62" s="225">
        <v>430583.84</v>
      </c>
      <c r="C62" s="224" t="s">
        <v>36</v>
      </c>
      <c r="D62" s="226">
        <v>4</v>
      </c>
      <c r="E62" s="226" t="s">
        <v>39</v>
      </c>
    </row>
    <row r="63" spans="1:5" s="226" customFormat="1" ht="12.75" customHeight="1" x14ac:dyDescent="0.2">
      <c r="A63" s="224" t="s">
        <v>418</v>
      </c>
      <c r="B63" s="225">
        <v>-447115.87</v>
      </c>
      <c r="C63" s="224" t="s">
        <v>36</v>
      </c>
      <c r="D63" s="226">
        <v>-4</v>
      </c>
      <c r="E63" s="226" t="s">
        <v>8</v>
      </c>
    </row>
    <row r="64" spans="1:5" s="226" customFormat="1" ht="12.75" customHeight="1" x14ac:dyDescent="0.2">
      <c r="A64" s="224" t="s">
        <v>418</v>
      </c>
      <c r="B64" s="225">
        <v>-119.95</v>
      </c>
      <c r="C64" s="224" t="s">
        <v>419</v>
      </c>
      <c r="D64" s="226">
        <v>-2</v>
      </c>
      <c r="E64" s="226" t="s">
        <v>37</v>
      </c>
    </row>
    <row r="65" spans="1:5" s="226" customFormat="1" ht="12.75" customHeight="1" x14ac:dyDescent="0.2">
      <c r="A65" s="224" t="s">
        <v>418</v>
      </c>
      <c r="B65" s="225">
        <v>-38.5</v>
      </c>
      <c r="C65" s="224" t="s">
        <v>420</v>
      </c>
      <c r="D65" s="226">
        <v>-2</v>
      </c>
      <c r="E65" s="226" t="s">
        <v>37</v>
      </c>
    </row>
    <row r="66" spans="1:5" s="226" customFormat="1" ht="12.75" customHeight="1" x14ac:dyDescent="0.2">
      <c r="A66" s="224" t="s">
        <v>418</v>
      </c>
      <c r="B66" s="225">
        <v>3157</v>
      </c>
      <c r="C66" s="224" t="s">
        <v>36</v>
      </c>
      <c r="D66" s="226">
        <v>2</v>
      </c>
      <c r="E66" s="226" t="s">
        <v>459</v>
      </c>
    </row>
    <row r="67" spans="1:5" s="226" customFormat="1" ht="12.75" customHeight="1" x14ac:dyDescent="0.2">
      <c r="A67" s="224" t="s">
        <v>418</v>
      </c>
      <c r="B67" s="225">
        <v>1048.96</v>
      </c>
      <c r="C67" s="224" t="s">
        <v>36</v>
      </c>
      <c r="D67" s="226">
        <v>2</v>
      </c>
      <c r="E67" s="226" t="s">
        <v>460</v>
      </c>
    </row>
    <row r="68" spans="1:5" s="226" customFormat="1" ht="12.75" customHeight="1" x14ac:dyDescent="0.2">
      <c r="A68" s="224" t="s">
        <v>418</v>
      </c>
      <c r="B68" s="225">
        <v>127.48</v>
      </c>
      <c r="C68" s="224" t="s">
        <v>36</v>
      </c>
      <c r="D68" s="226">
        <v>2</v>
      </c>
      <c r="E68" s="226" t="s">
        <v>237</v>
      </c>
    </row>
    <row r="69" spans="1:5" s="226" customFormat="1" ht="12.75" customHeight="1" x14ac:dyDescent="0.2">
      <c r="A69" s="224" t="s">
        <v>418</v>
      </c>
      <c r="B69" s="225">
        <v>443067.88</v>
      </c>
      <c r="C69" s="224" t="s">
        <v>36</v>
      </c>
      <c r="D69" s="226">
        <v>4</v>
      </c>
      <c r="E69" s="226" t="s">
        <v>39</v>
      </c>
    </row>
    <row r="70" spans="1:5" s="226" customFormat="1" ht="12.75" customHeight="1" x14ac:dyDescent="0.2">
      <c r="A70" s="224" t="s">
        <v>417</v>
      </c>
      <c r="B70" s="225">
        <v>-446957.22</v>
      </c>
      <c r="C70" s="224" t="s">
        <v>36</v>
      </c>
      <c r="D70" s="226">
        <v>-4</v>
      </c>
      <c r="E70" s="226" t="s">
        <v>8</v>
      </c>
    </row>
    <row r="71" spans="1:5" s="226" customFormat="1" ht="12.75" customHeight="1" x14ac:dyDescent="0.2">
      <c r="A71" s="224" t="s">
        <v>417</v>
      </c>
      <c r="B71" s="225">
        <v>-274.76</v>
      </c>
      <c r="C71" s="224" t="s">
        <v>317</v>
      </c>
      <c r="D71" s="226">
        <v>-3</v>
      </c>
      <c r="E71" s="226" t="s">
        <v>37</v>
      </c>
    </row>
    <row r="72" spans="1:5" s="226" customFormat="1" ht="12.75" customHeight="1" x14ac:dyDescent="0.2">
      <c r="A72" s="224" t="s">
        <v>417</v>
      </c>
      <c r="B72" s="225">
        <v>-10.89</v>
      </c>
      <c r="C72" s="224" t="s">
        <v>36</v>
      </c>
      <c r="D72" s="226">
        <v>-2</v>
      </c>
      <c r="E72" s="226" t="s">
        <v>458</v>
      </c>
    </row>
    <row r="73" spans="1:5" s="226" customFormat="1" ht="12.75" customHeight="1" x14ac:dyDescent="0.2">
      <c r="A73" s="224" t="s">
        <v>417</v>
      </c>
      <c r="B73" s="225">
        <v>447115.87</v>
      </c>
      <c r="C73" s="224" t="s">
        <v>36</v>
      </c>
      <c r="D73" s="226">
        <v>4</v>
      </c>
      <c r="E73" s="226" t="s">
        <v>39</v>
      </c>
    </row>
    <row r="74" spans="1:5" s="226" customFormat="1" ht="12.75" customHeight="1" x14ac:dyDescent="0.2">
      <c r="A74" s="224" t="s">
        <v>415</v>
      </c>
      <c r="B74" s="225">
        <v>-445843.20000000001</v>
      </c>
      <c r="C74" s="224" t="s">
        <v>36</v>
      </c>
      <c r="D74" s="226">
        <v>-4</v>
      </c>
      <c r="E74" s="226" t="s">
        <v>8</v>
      </c>
    </row>
    <row r="75" spans="1:5" s="226" customFormat="1" ht="12.75" customHeight="1" x14ac:dyDescent="0.2">
      <c r="A75" s="224" t="s">
        <v>415</v>
      </c>
      <c r="B75" s="225">
        <v>-2800</v>
      </c>
      <c r="C75" s="224" t="s">
        <v>321</v>
      </c>
      <c r="D75" s="226">
        <v>-3</v>
      </c>
      <c r="E75" s="226" t="s">
        <v>37</v>
      </c>
    </row>
    <row r="76" spans="1:5" s="226" customFormat="1" ht="12.75" customHeight="1" x14ac:dyDescent="0.2">
      <c r="A76" s="224" t="s">
        <v>415</v>
      </c>
      <c r="B76" s="225">
        <v>-388.15</v>
      </c>
      <c r="C76" s="224" t="s">
        <v>416</v>
      </c>
      <c r="D76" s="226">
        <v>-2</v>
      </c>
      <c r="E76" s="226" t="s">
        <v>37</v>
      </c>
    </row>
    <row r="77" spans="1:5" s="226" customFormat="1" ht="12.75" customHeight="1" x14ac:dyDescent="0.2">
      <c r="A77" s="224" t="s">
        <v>415</v>
      </c>
      <c r="B77" s="225">
        <v>-95.83</v>
      </c>
      <c r="C77" s="224" t="s">
        <v>36</v>
      </c>
      <c r="D77" s="226">
        <v>-2</v>
      </c>
      <c r="E77" s="226" t="s">
        <v>455</v>
      </c>
    </row>
    <row r="78" spans="1:5" s="226" customFormat="1" ht="12.75" customHeight="1" x14ac:dyDescent="0.2">
      <c r="A78" s="224" t="s">
        <v>415</v>
      </c>
      <c r="B78" s="225">
        <v>1121</v>
      </c>
      <c r="C78" s="224" t="s">
        <v>36</v>
      </c>
      <c r="D78" s="226">
        <v>2</v>
      </c>
      <c r="E78" s="226" t="s">
        <v>456</v>
      </c>
    </row>
    <row r="79" spans="1:5" s="226" customFormat="1" ht="12.75" customHeight="1" x14ac:dyDescent="0.2">
      <c r="A79" s="224" t="s">
        <v>415</v>
      </c>
      <c r="B79" s="225">
        <v>1048.96</v>
      </c>
      <c r="C79" s="224" t="s">
        <v>36</v>
      </c>
      <c r="D79" s="226">
        <v>2</v>
      </c>
      <c r="E79" s="226" t="s">
        <v>457</v>
      </c>
    </row>
    <row r="80" spans="1:5" s="226" customFormat="1" ht="12.75" customHeight="1" x14ac:dyDescent="0.2">
      <c r="A80" s="224" t="s">
        <v>415</v>
      </c>
      <c r="B80" s="225">
        <v>446957.22</v>
      </c>
      <c r="C80" s="224" t="s">
        <v>36</v>
      </c>
      <c r="D80" s="226">
        <v>4</v>
      </c>
      <c r="E80" s="226" t="s">
        <v>39</v>
      </c>
    </row>
    <row r="81" spans="1:5" s="226" customFormat="1" ht="12.75" customHeight="1" x14ac:dyDescent="0.2">
      <c r="A81" s="224" t="s">
        <v>411</v>
      </c>
      <c r="B81" s="225">
        <v>-435117.63</v>
      </c>
      <c r="C81" s="224" t="s">
        <v>36</v>
      </c>
      <c r="D81" s="226">
        <v>-4</v>
      </c>
      <c r="E81" s="226" t="s">
        <v>8</v>
      </c>
    </row>
    <row r="82" spans="1:5" s="226" customFormat="1" ht="12.75" customHeight="1" x14ac:dyDescent="0.2">
      <c r="A82" s="224" t="s">
        <v>411</v>
      </c>
      <c r="B82" s="225">
        <v>-8105.28</v>
      </c>
      <c r="C82" s="224" t="s">
        <v>36</v>
      </c>
      <c r="D82" s="226">
        <v>-2</v>
      </c>
      <c r="E82" s="226" t="s">
        <v>453</v>
      </c>
    </row>
    <row r="83" spans="1:5" s="226" customFormat="1" ht="12.75" customHeight="1" x14ac:dyDescent="0.2">
      <c r="A83" s="224" t="s">
        <v>411</v>
      </c>
      <c r="B83" s="246">
        <v>-2339.04</v>
      </c>
      <c r="C83" s="224" t="s">
        <v>36</v>
      </c>
      <c r="D83" s="226">
        <v>-2</v>
      </c>
      <c r="E83" s="226" t="s">
        <v>454</v>
      </c>
    </row>
    <row r="84" spans="1:5" s="226" customFormat="1" ht="12.75" customHeight="1" x14ac:dyDescent="0.2">
      <c r="A84" s="224" t="s">
        <v>411</v>
      </c>
      <c r="B84" s="225">
        <v>-230.65</v>
      </c>
      <c r="C84" s="224" t="s">
        <v>412</v>
      </c>
      <c r="D84" s="226">
        <v>-2</v>
      </c>
      <c r="E84" s="226" t="s">
        <v>37</v>
      </c>
    </row>
    <row r="85" spans="1:5" s="226" customFormat="1" ht="12.75" customHeight="1" x14ac:dyDescent="0.2">
      <c r="A85" s="224" t="s">
        <v>411</v>
      </c>
      <c r="B85" s="225">
        <v>-36</v>
      </c>
      <c r="C85" s="224" t="s">
        <v>413</v>
      </c>
      <c r="D85" s="226">
        <v>-2</v>
      </c>
      <c r="E85" s="226" t="s">
        <v>37</v>
      </c>
    </row>
    <row r="86" spans="1:5" s="226" customFormat="1" ht="12.75" customHeight="1" x14ac:dyDescent="0.2">
      <c r="A86" s="224" t="s">
        <v>411</v>
      </c>
      <c r="B86" s="225">
        <v>-14.6</v>
      </c>
      <c r="C86" s="224" t="s">
        <v>414</v>
      </c>
      <c r="D86" s="226">
        <v>-2</v>
      </c>
      <c r="E86" s="226" t="s">
        <v>37</v>
      </c>
    </row>
    <row r="87" spans="1:5" s="226" customFormat="1" ht="12.75" customHeight="1" x14ac:dyDescent="0.2">
      <c r="A87" s="224" t="s">
        <v>411</v>
      </c>
      <c r="B87" s="225">
        <v>445843.20000000001</v>
      </c>
      <c r="C87" s="224" t="s">
        <v>36</v>
      </c>
      <c r="D87" s="226">
        <v>4</v>
      </c>
      <c r="E87" s="226" t="s">
        <v>39</v>
      </c>
    </row>
    <row r="88" spans="1:5" s="226" customFormat="1" ht="12.75" customHeight="1" x14ac:dyDescent="0.2">
      <c r="A88" s="224" t="s">
        <v>410</v>
      </c>
      <c r="B88" s="225">
        <v>-430665.76</v>
      </c>
      <c r="C88" s="224" t="s">
        <v>36</v>
      </c>
      <c r="D88" s="226">
        <v>-4</v>
      </c>
      <c r="E88" s="226" t="s">
        <v>8</v>
      </c>
    </row>
    <row r="89" spans="1:5" s="226" customFormat="1" ht="12.75" customHeight="1" x14ac:dyDescent="0.2">
      <c r="A89" s="224" t="s">
        <v>410</v>
      </c>
      <c r="B89" s="225">
        <v>-5094.45</v>
      </c>
      <c r="C89" s="224" t="s">
        <v>36</v>
      </c>
      <c r="D89" s="226">
        <v>-2</v>
      </c>
      <c r="E89" s="226" t="s">
        <v>449</v>
      </c>
    </row>
    <row r="90" spans="1:5" s="226" customFormat="1" ht="12.75" customHeight="1" x14ac:dyDescent="0.2">
      <c r="A90" s="224" t="s">
        <v>410</v>
      </c>
      <c r="B90" s="253">
        <v>-1610.9</v>
      </c>
      <c r="C90" s="224" t="s">
        <v>36</v>
      </c>
      <c r="D90" s="226">
        <v>-2</v>
      </c>
      <c r="E90" s="226" t="s">
        <v>450</v>
      </c>
    </row>
    <row r="91" spans="1:5" s="226" customFormat="1" ht="12.75" customHeight="1" x14ac:dyDescent="0.2">
      <c r="A91" s="224" t="s">
        <v>410</v>
      </c>
      <c r="B91" s="225">
        <v>1129.52</v>
      </c>
      <c r="C91" s="224" t="s">
        <v>36</v>
      </c>
      <c r="D91" s="226">
        <v>2</v>
      </c>
      <c r="E91" s="226" t="s">
        <v>451</v>
      </c>
    </row>
    <row r="92" spans="1:5" s="226" customFormat="1" ht="12.75" customHeight="1" x14ac:dyDescent="0.2">
      <c r="A92" s="224" t="s">
        <v>410</v>
      </c>
      <c r="B92" s="225">
        <v>1123.96</v>
      </c>
      <c r="C92" s="224" t="s">
        <v>36</v>
      </c>
      <c r="D92" s="226">
        <v>2</v>
      </c>
      <c r="E92" s="226" t="s">
        <v>452</v>
      </c>
    </row>
    <row r="93" spans="1:5" s="226" customFormat="1" ht="12.75" customHeight="1" x14ac:dyDescent="0.2">
      <c r="A93" s="224" t="s">
        <v>410</v>
      </c>
      <c r="B93" s="225">
        <v>435117.63</v>
      </c>
      <c r="C93" s="224" t="s">
        <v>36</v>
      </c>
      <c r="D93" s="226">
        <v>4</v>
      </c>
      <c r="E93" s="226" t="s">
        <v>39</v>
      </c>
    </row>
    <row r="94" spans="1:5" s="226" customFormat="1" ht="12.75" customHeight="1" x14ac:dyDescent="0.2">
      <c r="A94" s="224" t="s">
        <v>409</v>
      </c>
      <c r="B94" s="225">
        <v>-431132.81</v>
      </c>
      <c r="C94" s="224" t="s">
        <v>36</v>
      </c>
      <c r="D94" s="226">
        <v>-4</v>
      </c>
      <c r="E94" s="226" t="s">
        <v>8</v>
      </c>
    </row>
    <row r="95" spans="1:5" s="226" customFormat="1" ht="12.75" customHeight="1" x14ac:dyDescent="0.2">
      <c r="A95" s="224" t="s">
        <v>409</v>
      </c>
      <c r="B95" s="225">
        <v>-781.91</v>
      </c>
      <c r="C95" s="224" t="s">
        <v>36</v>
      </c>
      <c r="D95" s="226">
        <v>-2</v>
      </c>
      <c r="E95" s="226" t="s">
        <v>447</v>
      </c>
    </row>
    <row r="96" spans="1:5" s="226" customFormat="1" ht="12.75" customHeight="1" x14ac:dyDescent="0.2">
      <c r="A96" s="224" t="s">
        <v>409</v>
      </c>
      <c r="B96" s="225">
        <v>1248.96</v>
      </c>
      <c r="C96" s="224" t="s">
        <v>36</v>
      </c>
      <c r="D96" s="226">
        <v>2</v>
      </c>
      <c r="E96" s="226" t="s">
        <v>448</v>
      </c>
    </row>
    <row r="97" spans="1:5" s="226" customFormat="1" ht="12.75" customHeight="1" x14ac:dyDescent="0.2">
      <c r="A97" s="224" t="s">
        <v>409</v>
      </c>
      <c r="B97" s="225">
        <v>430665.76</v>
      </c>
      <c r="C97" s="224" t="s">
        <v>36</v>
      </c>
      <c r="D97" s="226">
        <v>4</v>
      </c>
      <c r="E97" s="226" t="s">
        <v>39</v>
      </c>
    </row>
    <row r="98" spans="1:5" s="226" customFormat="1" ht="12.75" customHeight="1" x14ac:dyDescent="0.2">
      <c r="A98" s="224" t="s">
        <v>407</v>
      </c>
      <c r="B98" s="225">
        <v>-430293.32</v>
      </c>
      <c r="C98" s="224" t="s">
        <v>36</v>
      </c>
      <c r="D98" s="226">
        <v>-4</v>
      </c>
      <c r="E98" s="226" t="s">
        <v>8</v>
      </c>
    </row>
    <row r="99" spans="1:5" s="226" customFormat="1" ht="12.75" customHeight="1" x14ac:dyDescent="0.2">
      <c r="A99" s="224" t="s">
        <v>407</v>
      </c>
      <c r="B99" s="225">
        <v>-535</v>
      </c>
      <c r="C99" s="224" t="s">
        <v>408</v>
      </c>
      <c r="D99" s="226">
        <v>-2</v>
      </c>
      <c r="E99" s="226" t="s">
        <v>37</v>
      </c>
    </row>
    <row r="100" spans="1:5" s="226" customFormat="1" ht="12.75" customHeight="1" x14ac:dyDescent="0.2">
      <c r="A100" s="224" t="s">
        <v>407</v>
      </c>
      <c r="B100" s="225">
        <v>-304.49</v>
      </c>
      <c r="C100" s="224" t="s">
        <v>36</v>
      </c>
      <c r="D100" s="226">
        <v>-2</v>
      </c>
      <c r="E100" s="226" t="s">
        <v>446</v>
      </c>
    </row>
    <row r="101" spans="1:5" s="226" customFormat="1" ht="12.75" customHeight="1" x14ac:dyDescent="0.2">
      <c r="A101" s="224" t="s">
        <v>407</v>
      </c>
      <c r="B101" s="225">
        <v>431132.81</v>
      </c>
      <c r="C101" s="224" t="s">
        <v>36</v>
      </c>
      <c r="D101" s="226">
        <v>4</v>
      </c>
      <c r="E101" s="226" t="s">
        <v>39</v>
      </c>
    </row>
    <row r="102" spans="1:5" s="226" customFormat="1" ht="12.75" customHeight="1" x14ac:dyDescent="0.2">
      <c r="A102" s="224" t="s">
        <v>406</v>
      </c>
      <c r="B102" s="225">
        <v>-417843.32</v>
      </c>
      <c r="C102" s="224" t="s">
        <v>36</v>
      </c>
      <c r="D102" s="226">
        <v>-4</v>
      </c>
      <c r="E102" s="226" t="s">
        <v>8</v>
      </c>
    </row>
    <row r="103" spans="1:5" s="226" customFormat="1" ht="12.75" customHeight="1" x14ac:dyDescent="0.2">
      <c r="A103" s="224" t="s">
        <v>406</v>
      </c>
      <c r="B103" s="225">
        <v>-13950</v>
      </c>
      <c r="C103" s="224" t="s">
        <v>36</v>
      </c>
      <c r="D103" s="226">
        <v>-2</v>
      </c>
      <c r="E103" s="226" t="s">
        <v>444</v>
      </c>
    </row>
    <row r="104" spans="1:5" s="226" customFormat="1" ht="12.75" customHeight="1" x14ac:dyDescent="0.2">
      <c r="A104" s="224" t="s">
        <v>406</v>
      </c>
      <c r="B104" s="225">
        <v>1500</v>
      </c>
      <c r="C104" s="224" t="s">
        <v>36</v>
      </c>
      <c r="D104" s="226">
        <v>2</v>
      </c>
      <c r="E104" s="226" t="s">
        <v>445</v>
      </c>
    </row>
    <row r="105" spans="1:5" s="226" customFormat="1" ht="12.75" customHeight="1" x14ac:dyDescent="0.2">
      <c r="A105" s="224" t="s">
        <v>406</v>
      </c>
      <c r="B105" s="225">
        <v>430293.32</v>
      </c>
      <c r="C105" s="224" t="s">
        <v>36</v>
      </c>
      <c r="D105" s="226">
        <v>4</v>
      </c>
      <c r="E105" s="226" t="s">
        <v>39</v>
      </c>
    </row>
    <row r="106" spans="1:5" s="226" customFormat="1" ht="12.75" customHeight="1" x14ac:dyDescent="0.2">
      <c r="A106" s="224" t="s">
        <v>403</v>
      </c>
      <c r="B106" s="225">
        <v>-418620.91</v>
      </c>
      <c r="C106" s="224" t="s">
        <v>36</v>
      </c>
      <c r="D106" s="226">
        <v>-4</v>
      </c>
      <c r="E106" s="226" t="s">
        <v>8</v>
      </c>
    </row>
    <row r="107" spans="1:5" s="226" customFormat="1" ht="12.75" customHeight="1" x14ac:dyDescent="0.2">
      <c r="A107" s="224" t="s">
        <v>403</v>
      </c>
      <c r="B107" s="225">
        <v>-874.65</v>
      </c>
      <c r="C107" s="224" t="s">
        <v>36</v>
      </c>
      <c r="D107" s="226">
        <v>-2</v>
      </c>
      <c r="E107" s="226" t="s">
        <v>441</v>
      </c>
    </row>
    <row r="108" spans="1:5" s="226" customFormat="1" ht="12.75" customHeight="1" x14ac:dyDescent="0.2">
      <c r="A108" s="224" t="s">
        <v>403</v>
      </c>
      <c r="B108" s="225">
        <v>-225</v>
      </c>
      <c r="C108" s="224" t="s">
        <v>36</v>
      </c>
      <c r="D108" s="226">
        <v>-2</v>
      </c>
      <c r="E108" s="226" t="s">
        <v>442</v>
      </c>
    </row>
    <row r="109" spans="1:5" s="226" customFormat="1" ht="12.75" customHeight="1" x14ac:dyDescent="0.2">
      <c r="A109" s="224" t="s">
        <v>403</v>
      </c>
      <c r="B109" s="225">
        <v>-125.64</v>
      </c>
      <c r="C109" s="224" t="s">
        <v>404</v>
      </c>
      <c r="D109" s="226">
        <v>-2</v>
      </c>
      <c r="E109" s="226" t="s">
        <v>37</v>
      </c>
    </row>
    <row r="110" spans="1:5" s="226" customFormat="1" ht="12.75" customHeight="1" x14ac:dyDescent="0.2">
      <c r="A110" s="224" t="s">
        <v>403</v>
      </c>
      <c r="B110" s="225">
        <v>-116.16</v>
      </c>
      <c r="C110" s="224" t="s">
        <v>405</v>
      </c>
      <c r="D110" s="226">
        <v>-2</v>
      </c>
      <c r="E110" s="226" t="s">
        <v>37</v>
      </c>
    </row>
    <row r="111" spans="1:5" s="226" customFormat="1" ht="12.75" customHeight="1" x14ac:dyDescent="0.2">
      <c r="A111" s="224" t="s">
        <v>403</v>
      </c>
      <c r="B111" s="225">
        <v>2119.04</v>
      </c>
      <c r="C111" s="224" t="s">
        <v>36</v>
      </c>
      <c r="D111" s="226">
        <v>2</v>
      </c>
      <c r="E111" s="226" t="s">
        <v>443</v>
      </c>
    </row>
    <row r="112" spans="1:5" s="226" customFormat="1" ht="12.75" customHeight="1" x14ac:dyDescent="0.2">
      <c r="A112" s="224" t="s">
        <v>403</v>
      </c>
      <c r="B112" s="225">
        <v>417843.32</v>
      </c>
      <c r="C112" s="224" t="s">
        <v>36</v>
      </c>
      <c r="D112" s="226">
        <v>4</v>
      </c>
      <c r="E112" s="226" t="s">
        <v>39</v>
      </c>
    </row>
    <row r="113" spans="1:5" s="226" customFormat="1" ht="12.75" customHeight="1" x14ac:dyDescent="0.2">
      <c r="A113" s="224" t="s">
        <v>401</v>
      </c>
      <c r="B113" s="225">
        <v>-419625.63</v>
      </c>
      <c r="C113" s="224" t="s">
        <v>36</v>
      </c>
      <c r="D113" s="226">
        <v>-4</v>
      </c>
      <c r="E113" s="226" t="s">
        <v>8</v>
      </c>
    </row>
    <row r="114" spans="1:5" s="226" customFormat="1" ht="12.75" customHeight="1" x14ac:dyDescent="0.2">
      <c r="A114" s="224" t="s">
        <v>401</v>
      </c>
      <c r="B114" s="225">
        <v>-40</v>
      </c>
      <c r="C114" s="224" t="s">
        <v>402</v>
      </c>
      <c r="D114" s="226">
        <v>-2</v>
      </c>
      <c r="E114" s="226" t="s">
        <v>37</v>
      </c>
    </row>
    <row r="115" spans="1:5" s="226" customFormat="1" ht="12.75" customHeight="1" x14ac:dyDescent="0.2">
      <c r="A115" s="224" t="s">
        <v>401</v>
      </c>
      <c r="B115" s="225">
        <v>-9.9</v>
      </c>
      <c r="C115" s="224" t="s">
        <v>36</v>
      </c>
      <c r="D115" s="226">
        <v>-2</v>
      </c>
      <c r="E115" s="226" t="s">
        <v>438</v>
      </c>
    </row>
    <row r="116" spans="1:5" s="226" customFormat="1" ht="12.75" customHeight="1" x14ac:dyDescent="0.2">
      <c r="A116" s="224" t="s">
        <v>401</v>
      </c>
      <c r="B116" s="225">
        <v>-9.9</v>
      </c>
      <c r="C116" s="224" t="s">
        <v>36</v>
      </c>
      <c r="D116" s="226">
        <v>-2</v>
      </c>
      <c r="E116" s="226" t="s">
        <v>439</v>
      </c>
    </row>
    <row r="117" spans="1:5" s="226" customFormat="1" ht="12.75" customHeight="1" x14ac:dyDescent="0.2">
      <c r="A117" s="224" t="s">
        <v>401</v>
      </c>
      <c r="B117" s="225">
        <v>1064.52</v>
      </c>
      <c r="C117" s="224" t="s">
        <v>36</v>
      </c>
      <c r="D117" s="226">
        <v>2</v>
      </c>
      <c r="E117" s="226" t="s">
        <v>440</v>
      </c>
    </row>
    <row r="118" spans="1:5" s="226" customFormat="1" ht="12.75" customHeight="1" x14ac:dyDescent="0.2">
      <c r="A118" s="224" t="s">
        <v>401</v>
      </c>
      <c r="B118" s="225">
        <v>418620.91</v>
      </c>
      <c r="C118" s="224" t="s">
        <v>36</v>
      </c>
      <c r="D118" s="226">
        <v>4</v>
      </c>
      <c r="E118" s="226" t="s">
        <v>39</v>
      </c>
    </row>
    <row r="119" spans="1:5" s="226" customFormat="1" ht="12.75" customHeight="1" x14ac:dyDescent="0.2">
      <c r="A119" s="224" t="s">
        <v>399</v>
      </c>
      <c r="B119" s="225">
        <v>-419625.63</v>
      </c>
      <c r="C119" s="224" t="s">
        <v>36</v>
      </c>
      <c r="D119" s="226">
        <v>-4</v>
      </c>
      <c r="E119" s="226" t="s">
        <v>8</v>
      </c>
    </row>
    <row r="120" spans="1:5" s="226" customFormat="1" ht="12.75" customHeight="1" x14ac:dyDescent="0.2">
      <c r="A120" s="224" t="s">
        <v>399</v>
      </c>
      <c r="B120" s="225">
        <v>-40</v>
      </c>
      <c r="C120" s="224" t="s">
        <v>400</v>
      </c>
      <c r="D120" s="226">
        <v>-2</v>
      </c>
      <c r="E120" s="226" t="s">
        <v>37</v>
      </c>
    </row>
    <row r="121" spans="1:5" s="226" customFormat="1" ht="12.75" customHeight="1" x14ac:dyDescent="0.2">
      <c r="A121" s="224" t="s">
        <v>399</v>
      </c>
      <c r="B121" s="225">
        <v>40</v>
      </c>
      <c r="C121" s="224" t="s">
        <v>36</v>
      </c>
      <c r="D121" s="226">
        <v>2</v>
      </c>
      <c r="E121" s="226" t="s">
        <v>437</v>
      </c>
    </row>
    <row r="122" spans="1:5" s="226" customFormat="1" ht="12.75" customHeight="1" x14ac:dyDescent="0.2">
      <c r="A122" s="224" t="s">
        <v>399</v>
      </c>
      <c r="B122" s="225">
        <v>419625.63</v>
      </c>
      <c r="C122" s="224" t="s">
        <v>36</v>
      </c>
      <c r="D122" s="226">
        <v>4</v>
      </c>
      <c r="E122" s="226" t="s">
        <v>39</v>
      </c>
    </row>
    <row r="123" spans="1:5" s="226" customFormat="1" ht="12.75" customHeight="1" x14ac:dyDescent="0.2">
      <c r="A123" s="224" t="s">
        <v>398</v>
      </c>
      <c r="B123" s="225">
        <v>-420674.59</v>
      </c>
      <c r="C123" s="224" t="s">
        <v>36</v>
      </c>
      <c r="D123" s="226">
        <v>-4</v>
      </c>
      <c r="E123" s="226" t="s">
        <v>8</v>
      </c>
    </row>
    <row r="124" spans="1:5" s="226" customFormat="1" ht="12.75" customHeight="1" x14ac:dyDescent="0.2">
      <c r="A124" s="224" t="s">
        <v>398</v>
      </c>
      <c r="B124" s="225">
        <v>1048.96</v>
      </c>
      <c r="C124" s="224" t="s">
        <v>36</v>
      </c>
      <c r="D124" s="226">
        <v>2</v>
      </c>
      <c r="E124" s="226" t="s">
        <v>436</v>
      </c>
    </row>
    <row r="125" spans="1:5" s="226" customFormat="1" ht="12.75" customHeight="1" x14ac:dyDescent="0.2">
      <c r="A125" s="224" t="s">
        <v>398</v>
      </c>
      <c r="B125" s="225">
        <v>419625.63</v>
      </c>
      <c r="C125" s="224" t="s">
        <v>36</v>
      </c>
      <c r="D125" s="226">
        <v>4</v>
      </c>
      <c r="E125" s="226" t="s">
        <v>39</v>
      </c>
    </row>
    <row r="126" spans="1:5" s="226" customFormat="1" ht="12.75" customHeight="1" x14ac:dyDescent="0.2">
      <c r="A126" s="224" t="s">
        <v>397</v>
      </c>
      <c r="B126" s="225">
        <v>-423984.96</v>
      </c>
      <c r="C126" s="224" t="s">
        <v>36</v>
      </c>
      <c r="D126" s="226">
        <v>-4</v>
      </c>
      <c r="E126" s="226" t="s">
        <v>8</v>
      </c>
    </row>
    <row r="127" spans="1:5" s="226" customFormat="1" ht="12.75" customHeight="1" x14ac:dyDescent="0.2">
      <c r="A127" s="224" t="s">
        <v>397</v>
      </c>
      <c r="B127" s="225">
        <v>2255.37</v>
      </c>
      <c r="C127" s="224" t="s">
        <v>36</v>
      </c>
      <c r="D127" s="226">
        <v>2</v>
      </c>
      <c r="E127" s="226" t="s">
        <v>434</v>
      </c>
    </row>
    <row r="128" spans="1:5" s="226" customFormat="1" ht="12.75" customHeight="1" x14ac:dyDescent="0.2">
      <c r="A128" s="224" t="s">
        <v>397</v>
      </c>
      <c r="B128" s="225">
        <v>1055</v>
      </c>
      <c r="C128" s="224" t="s">
        <v>36</v>
      </c>
      <c r="D128" s="226">
        <v>2</v>
      </c>
      <c r="E128" s="226" t="s">
        <v>435</v>
      </c>
    </row>
    <row r="129" spans="1:5" s="226" customFormat="1" ht="12.75" customHeight="1" x14ac:dyDescent="0.2">
      <c r="A129" s="224" t="s">
        <v>397</v>
      </c>
      <c r="B129" s="225">
        <v>420674.59</v>
      </c>
      <c r="C129" s="224" t="s">
        <v>36</v>
      </c>
      <c r="D129" s="226">
        <v>4</v>
      </c>
      <c r="E129" s="226" t="s">
        <v>39</v>
      </c>
    </row>
    <row r="130" spans="1:5" s="226" customFormat="1" ht="12.75" customHeight="1" x14ac:dyDescent="0.2">
      <c r="A130" s="224" t="s">
        <v>395</v>
      </c>
      <c r="B130" s="225">
        <v>-425662.57</v>
      </c>
      <c r="C130" s="224" t="s">
        <v>36</v>
      </c>
      <c r="D130" s="226">
        <v>-1</v>
      </c>
      <c r="E130" s="226" t="s">
        <v>8</v>
      </c>
    </row>
    <row r="131" spans="1:5" s="226" customFormat="1" ht="12.75" customHeight="1" x14ac:dyDescent="0.2">
      <c r="A131" s="224" t="s">
        <v>395</v>
      </c>
      <c r="B131" s="225">
        <v>-27.48</v>
      </c>
      <c r="C131" s="224" t="s">
        <v>396</v>
      </c>
      <c r="D131" s="226">
        <v>-2</v>
      </c>
      <c r="E131" s="226" t="s">
        <v>37</v>
      </c>
    </row>
    <row r="132" spans="1:5" s="226" customFormat="1" ht="12.75" customHeight="1" x14ac:dyDescent="0.2">
      <c r="A132" s="224" t="s">
        <v>395</v>
      </c>
      <c r="B132" s="225">
        <v>-747.35</v>
      </c>
      <c r="C132" s="224" t="s">
        <v>36</v>
      </c>
      <c r="D132" s="226">
        <v>-2</v>
      </c>
      <c r="E132" s="226" t="s">
        <v>430</v>
      </c>
    </row>
    <row r="133" spans="1:5" s="226" customFormat="1" ht="12.75" customHeight="1" x14ac:dyDescent="0.2">
      <c r="A133" s="224" t="s">
        <v>395</v>
      </c>
      <c r="B133" s="225">
        <v>1204.52</v>
      </c>
      <c r="C133" s="224" t="s">
        <v>36</v>
      </c>
      <c r="D133" s="226">
        <v>2</v>
      </c>
      <c r="E133" s="226" t="s">
        <v>431</v>
      </c>
    </row>
    <row r="134" spans="1:5" s="226" customFormat="1" ht="12.75" customHeight="1" x14ac:dyDescent="0.2">
      <c r="A134" s="224" t="s">
        <v>395</v>
      </c>
      <c r="B134" s="225">
        <v>1198.96</v>
      </c>
      <c r="C134" s="224" t="s">
        <v>36</v>
      </c>
      <c r="D134" s="226">
        <v>2</v>
      </c>
      <c r="E134" s="226" t="s">
        <v>432</v>
      </c>
    </row>
    <row r="135" spans="1:5" s="226" customFormat="1" ht="12.75" customHeight="1" x14ac:dyDescent="0.2">
      <c r="A135" s="224" t="s">
        <v>395</v>
      </c>
      <c r="B135" s="225">
        <v>48.96</v>
      </c>
      <c r="C135" s="224" t="s">
        <v>36</v>
      </c>
      <c r="D135" s="226">
        <v>2</v>
      </c>
      <c r="E135" s="226" t="s">
        <v>433</v>
      </c>
    </row>
    <row r="136" spans="1:5" s="226" customFormat="1" ht="12.75" customHeight="1" x14ac:dyDescent="0.2">
      <c r="A136" s="224" t="s">
        <v>395</v>
      </c>
      <c r="B136" s="225">
        <v>423984.96</v>
      </c>
      <c r="C136" s="224" t="s">
        <v>36</v>
      </c>
      <c r="D136" s="226">
        <v>4</v>
      </c>
      <c r="E136" s="226" t="s">
        <v>39</v>
      </c>
    </row>
    <row r="137" spans="1:5" ht="12.75" customHeight="1" x14ac:dyDescent="0.2">
      <c r="A137" s="53"/>
      <c r="B137" s="47"/>
      <c r="C137" s="53"/>
      <c r="D137" s="34"/>
    </row>
    <row r="138" spans="1:5" ht="12.75" customHeight="1" x14ac:dyDescent="0.2">
      <c r="A138" s="53"/>
      <c r="B138" s="54"/>
      <c r="C138" s="53"/>
      <c r="D138" s="35"/>
      <c r="E138" s="41"/>
    </row>
    <row r="139" spans="1:5" ht="13.5" customHeight="1" thickBot="1" x14ac:dyDescent="0.25">
      <c r="A139" s="51">
        <v>1</v>
      </c>
      <c r="B139" s="55">
        <f>SUMIF(D2:D136,1,B2:B136)</f>
        <v>0</v>
      </c>
      <c r="C139" s="56" t="s">
        <v>40</v>
      </c>
      <c r="E139" s="41"/>
    </row>
    <row r="140" spans="1:5" ht="13.5" customHeight="1" thickTop="1" x14ac:dyDescent="0.2">
      <c r="A140" s="53"/>
      <c r="B140" s="57"/>
      <c r="C140" s="56"/>
      <c r="E140" s="41"/>
    </row>
    <row r="141" spans="1:5" ht="13.5" customHeight="1" thickBot="1" x14ac:dyDescent="0.25">
      <c r="A141" s="51">
        <v>-1</v>
      </c>
      <c r="B141" s="55">
        <f>SUMIF(D2:D136,-1,B2:B136)</f>
        <v>-425662.57</v>
      </c>
      <c r="C141" s="56" t="s">
        <v>41</v>
      </c>
      <c r="D141" s="35"/>
      <c r="E141" s="41"/>
    </row>
    <row r="142" spans="1:5" ht="13.5" customHeight="1" thickTop="1" x14ac:dyDescent="0.2">
      <c r="A142" s="53"/>
      <c r="B142" s="57"/>
      <c r="C142" s="51"/>
      <c r="D142" s="35"/>
      <c r="E142" s="41"/>
    </row>
    <row r="143" spans="1:5" ht="12.75" customHeight="1" x14ac:dyDescent="0.2">
      <c r="A143" s="53"/>
      <c r="B143" s="54"/>
      <c r="C143" s="53"/>
      <c r="E143" s="41"/>
    </row>
    <row r="144" spans="1:5" ht="12.75" customHeight="1" x14ac:dyDescent="0.2">
      <c r="A144" s="53"/>
      <c r="B144" s="54"/>
      <c r="C144" s="53"/>
      <c r="E144" s="41"/>
    </row>
    <row r="145" spans="1:5" ht="12.75" customHeight="1" x14ac:dyDescent="0.2">
      <c r="A145" s="53"/>
      <c r="B145" s="54"/>
      <c r="C145" s="53"/>
      <c r="E145" s="41"/>
    </row>
    <row r="146" spans="1:5" ht="12.75" customHeight="1" x14ac:dyDescent="0.2">
      <c r="A146" s="53"/>
      <c r="B146" s="54"/>
      <c r="C146" s="53"/>
      <c r="E146" s="41"/>
    </row>
    <row r="147" spans="1:5" ht="12.75" customHeight="1" x14ac:dyDescent="0.2">
      <c r="A147" s="53"/>
      <c r="B147" s="54"/>
      <c r="C147" s="53"/>
      <c r="E147" s="41"/>
    </row>
    <row r="148" spans="1:5" ht="12.75" customHeight="1" x14ac:dyDescent="0.2">
      <c r="A148" s="53"/>
      <c r="B148" s="54"/>
      <c r="C148" s="53"/>
      <c r="E148" s="41"/>
    </row>
    <row r="149" spans="1:5" ht="12.75" customHeight="1" x14ac:dyDescent="0.2">
      <c r="A149" s="53"/>
      <c r="B149" s="54"/>
      <c r="C149" s="53"/>
      <c r="E149" s="41"/>
    </row>
    <row r="150" spans="1:5" ht="12.75" customHeight="1" x14ac:dyDescent="0.2">
      <c r="A150" s="53"/>
      <c r="B150" s="54"/>
      <c r="C150" s="53"/>
      <c r="E150" s="41"/>
    </row>
    <row r="151" spans="1:5" ht="12.75" customHeight="1" x14ac:dyDescent="0.2">
      <c r="A151" s="53"/>
      <c r="B151" s="54"/>
      <c r="C151" s="53"/>
      <c r="E151" s="41"/>
    </row>
  </sheetData>
  <sortState ref="A2:E136">
    <sortCondition ref="A2:A136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7"/>
  <sheetViews>
    <sheetView zoomScale="85" zoomScaleNormal="85" workbookViewId="0">
      <pane ySplit="5" topLeftCell="A6" activePane="bottomLeft" state="frozen"/>
      <selection activeCell="I12" sqref="F12:I13"/>
      <selection pane="bottomLeft" activeCell="A6" sqref="A6"/>
    </sheetView>
  </sheetViews>
  <sheetFormatPr defaultColWidth="9.33203125" defaultRowHeight="12.75" x14ac:dyDescent="0.2"/>
  <cols>
    <col min="1" max="1" width="17.6640625" style="34" bestFit="1" customWidth="1"/>
    <col min="2" max="2" width="12.5" style="34" bestFit="1" customWidth="1"/>
    <col min="3" max="3" width="10.1640625" style="34" customWidth="1"/>
    <col min="4" max="4" width="14.6640625" style="34" customWidth="1"/>
    <col min="5" max="5" width="39.5" style="34" customWidth="1"/>
    <col min="6" max="6" width="74.83203125" style="34" customWidth="1"/>
    <col min="7" max="7" width="15.83203125" style="76" bestFit="1" customWidth="1"/>
    <col min="8" max="8" width="16.6640625" style="76" bestFit="1" customWidth="1"/>
    <col min="9" max="9" width="15.83203125" style="76" bestFit="1" customWidth="1"/>
    <col min="10" max="10" width="13.6640625" style="194" customWidth="1"/>
    <col min="11" max="11" width="10.5" style="201" customWidth="1"/>
    <col min="12" max="16384" width="9.33203125" style="34"/>
  </cols>
  <sheetData>
    <row r="1" spans="1:11" ht="18" x14ac:dyDescent="0.2">
      <c r="B1" s="270" t="s">
        <v>42</v>
      </c>
      <c r="C1" s="270"/>
      <c r="D1" s="270"/>
      <c r="E1" s="270"/>
      <c r="F1" s="270"/>
      <c r="G1" s="270"/>
      <c r="H1" s="270"/>
      <c r="I1" s="106"/>
      <c r="J1" s="188"/>
      <c r="K1" s="196"/>
    </row>
    <row r="2" spans="1:11" ht="12" customHeight="1" x14ac:dyDescent="0.2">
      <c r="B2" s="271" t="s">
        <v>43</v>
      </c>
      <c r="C2" s="271"/>
      <c r="D2" s="271"/>
      <c r="E2" s="271"/>
      <c r="F2" s="271"/>
      <c r="G2" s="271"/>
      <c r="H2" s="271"/>
      <c r="I2" s="271"/>
      <c r="J2" s="189"/>
      <c r="K2" s="197"/>
    </row>
    <row r="3" spans="1:11" ht="14.25" customHeight="1" x14ac:dyDescent="0.2">
      <c r="B3" s="272" t="s">
        <v>1034</v>
      </c>
      <c r="C3" s="272"/>
      <c r="D3" s="272"/>
      <c r="E3" s="272"/>
      <c r="F3" s="272"/>
      <c r="G3" s="272"/>
      <c r="H3" s="272"/>
      <c r="I3" s="272"/>
      <c r="J3" s="190"/>
      <c r="K3" s="198"/>
    </row>
    <row r="4" spans="1:11" s="33" customFormat="1" x14ac:dyDescent="0.2">
      <c r="A4" s="101" t="s">
        <v>44</v>
      </c>
      <c r="C4" s="101"/>
      <c r="D4" s="101"/>
      <c r="E4" s="101"/>
      <c r="F4" s="101"/>
      <c r="G4" s="73"/>
      <c r="H4" s="73"/>
      <c r="I4" s="102">
        <v>163846.88</v>
      </c>
      <c r="J4" s="191"/>
      <c r="K4" s="199"/>
    </row>
    <row r="5" spans="1:11" x14ac:dyDescent="0.2">
      <c r="A5" s="98" t="s">
        <v>45</v>
      </c>
      <c r="B5" s="99" t="s">
        <v>31</v>
      </c>
      <c r="C5" s="99" t="s">
        <v>46</v>
      </c>
      <c r="D5" s="99" t="s">
        <v>47</v>
      </c>
      <c r="E5" s="99" t="s">
        <v>35</v>
      </c>
      <c r="F5" s="99" t="s">
        <v>48</v>
      </c>
      <c r="G5" s="105" t="s">
        <v>49</v>
      </c>
      <c r="H5" s="105" t="s">
        <v>50</v>
      </c>
      <c r="I5" s="105" t="s">
        <v>51</v>
      </c>
      <c r="J5" s="195" t="s">
        <v>52</v>
      </c>
      <c r="K5" s="200" t="s">
        <v>34</v>
      </c>
    </row>
    <row r="6" spans="1:11" s="226" customFormat="1" ht="12.75" customHeight="1" x14ac:dyDescent="0.2">
      <c r="A6" s="226" t="s">
        <v>53</v>
      </c>
      <c r="B6" s="228">
        <v>46082</v>
      </c>
      <c r="C6" s="229" t="s">
        <v>499</v>
      </c>
      <c r="D6" s="229" t="s">
        <v>58</v>
      </c>
      <c r="E6" s="229" t="s">
        <v>169</v>
      </c>
      <c r="F6" s="229" t="s">
        <v>60</v>
      </c>
      <c r="G6" s="227">
        <v>2.68</v>
      </c>
      <c r="H6" s="230"/>
      <c r="I6" s="231">
        <v>163849.56</v>
      </c>
      <c r="J6" s="232">
        <v>46082</v>
      </c>
      <c r="K6" s="233">
        <v>4</v>
      </c>
    </row>
    <row r="7" spans="1:11" s="226" customFormat="1" ht="12.75" customHeight="1" x14ac:dyDescent="0.2">
      <c r="A7" s="226" t="s">
        <v>53</v>
      </c>
      <c r="B7" s="228">
        <v>46082</v>
      </c>
      <c r="C7" s="229" t="s">
        <v>499</v>
      </c>
      <c r="D7" s="229" t="s">
        <v>58</v>
      </c>
      <c r="E7" s="229" t="s">
        <v>169</v>
      </c>
      <c r="F7" s="229" t="s">
        <v>60</v>
      </c>
      <c r="G7" s="227"/>
      <c r="H7" s="230">
        <v>-2.68</v>
      </c>
      <c r="I7" s="231">
        <v>163846.88</v>
      </c>
      <c r="J7" s="232">
        <v>46082</v>
      </c>
      <c r="K7" s="233">
        <v>-4</v>
      </c>
    </row>
    <row r="8" spans="1:11" s="226" customFormat="1" ht="12.75" customHeight="1" x14ac:dyDescent="0.2">
      <c r="A8" s="226" t="s">
        <v>53</v>
      </c>
      <c r="B8" s="228">
        <v>46082</v>
      </c>
      <c r="C8" s="229" t="s">
        <v>500</v>
      </c>
      <c r="D8" s="229" t="s">
        <v>58</v>
      </c>
      <c r="E8" s="229" t="s">
        <v>61</v>
      </c>
      <c r="F8" s="229" t="s">
        <v>60</v>
      </c>
      <c r="G8" s="227">
        <v>119.44</v>
      </c>
      <c r="H8" s="230"/>
      <c r="I8" s="231">
        <v>163966.32</v>
      </c>
      <c r="J8" s="232">
        <v>46082</v>
      </c>
      <c r="K8" s="233">
        <v>4</v>
      </c>
    </row>
    <row r="9" spans="1:11" s="226" customFormat="1" ht="12.75" customHeight="1" x14ac:dyDescent="0.2">
      <c r="A9" s="226" t="s">
        <v>53</v>
      </c>
      <c r="B9" s="228">
        <v>46082</v>
      </c>
      <c r="C9" s="229" t="s">
        <v>500</v>
      </c>
      <c r="D9" s="229" t="s">
        <v>58</v>
      </c>
      <c r="E9" s="229" t="s">
        <v>61</v>
      </c>
      <c r="F9" s="229" t="s">
        <v>60</v>
      </c>
      <c r="G9" s="227"/>
      <c r="H9" s="230">
        <v>-119.44</v>
      </c>
      <c r="I9" s="231">
        <v>163846.88</v>
      </c>
      <c r="J9" s="232">
        <v>46082</v>
      </c>
      <c r="K9" s="233">
        <v>-4</v>
      </c>
    </row>
    <row r="10" spans="1:11" s="226" customFormat="1" ht="12.75" customHeight="1" x14ac:dyDescent="0.2">
      <c r="A10" s="226" t="s">
        <v>53</v>
      </c>
      <c r="B10" s="228">
        <v>46082</v>
      </c>
      <c r="C10" s="229" t="s">
        <v>501</v>
      </c>
      <c r="D10" s="229" t="s">
        <v>58</v>
      </c>
      <c r="E10" s="229" t="s">
        <v>63</v>
      </c>
      <c r="F10" s="229" t="s">
        <v>60</v>
      </c>
      <c r="G10" s="227">
        <v>1000</v>
      </c>
      <c r="H10" s="230"/>
      <c r="I10" s="231">
        <v>164846.88</v>
      </c>
      <c r="J10" s="232">
        <v>46082</v>
      </c>
      <c r="K10" s="233">
        <v>4</v>
      </c>
    </row>
    <row r="11" spans="1:11" s="226" customFormat="1" ht="12.75" customHeight="1" x14ac:dyDescent="0.2">
      <c r="A11" s="226" t="s">
        <v>53</v>
      </c>
      <c r="B11" s="228">
        <v>46082</v>
      </c>
      <c r="C11" s="229" t="s">
        <v>501</v>
      </c>
      <c r="D11" s="229" t="s">
        <v>58</v>
      </c>
      <c r="E11" s="229" t="s">
        <v>63</v>
      </c>
      <c r="F11" s="229" t="s">
        <v>60</v>
      </c>
      <c r="G11" s="227"/>
      <c r="H11" s="230">
        <v>-1000</v>
      </c>
      <c r="I11" s="231">
        <v>163846.88</v>
      </c>
      <c r="J11" s="232">
        <v>46082</v>
      </c>
      <c r="K11" s="233">
        <v>-4</v>
      </c>
    </row>
    <row r="12" spans="1:11" s="226" customFormat="1" ht="12.75" customHeight="1" x14ac:dyDescent="0.2">
      <c r="A12" s="226" t="s">
        <v>53</v>
      </c>
      <c r="B12" s="228">
        <v>46082</v>
      </c>
      <c r="C12" s="229" t="s">
        <v>502</v>
      </c>
      <c r="D12" s="229" t="s">
        <v>58</v>
      </c>
      <c r="E12" s="229" t="s">
        <v>186</v>
      </c>
      <c r="F12" s="229" t="s">
        <v>60</v>
      </c>
      <c r="G12" s="227">
        <v>63.54</v>
      </c>
      <c r="H12" s="230"/>
      <c r="I12" s="231">
        <v>163910.42000000001</v>
      </c>
      <c r="J12" s="232">
        <v>46082</v>
      </c>
      <c r="K12" s="233">
        <v>4</v>
      </c>
    </row>
    <row r="13" spans="1:11" s="226" customFormat="1" ht="12.75" customHeight="1" x14ac:dyDescent="0.2">
      <c r="A13" s="226" t="s">
        <v>53</v>
      </c>
      <c r="B13" s="228">
        <v>46082</v>
      </c>
      <c r="C13" s="229" t="s">
        <v>502</v>
      </c>
      <c r="D13" s="229" t="s">
        <v>58</v>
      </c>
      <c r="E13" s="229" t="s">
        <v>186</v>
      </c>
      <c r="F13" s="229" t="s">
        <v>60</v>
      </c>
      <c r="G13" s="227"/>
      <c r="H13" s="230">
        <v>-63.54</v>
      </c>
      <c r="I13" s="231">
        <v>163846.88</v>
      </c>
      <c r="J13" s="232">
        <v>46082</v>
      </c>
      <c r="K13" s="233">
        <v>-4</v>
      </c>
    </row>
    <row r="14" spans="1:11" s="226" customFormat="1" ht="12.75" customHeight="1" x14ac:dyDescent="0.2">
      <c r="A14" s="226" t="s">
        <v>53</v>
      </c>
      <c r="B14" s="228">
        <v>46082</v>
      </c>
      <c r="C14" s="229" t="s">
        <v>503</v>
      </c>
      <c r="D14" s="229" t="s">
        <v>58</v>
      </c>
      <c r="E14" s="229" t="s">
        <v>75</v>
      </c>
      <c r="F14" s="229" t="s">
        <v>60</v>
      </c>
      <c r="G14" s="227">
        <v>1000</v>
      </c>
      <c r="H14" s="230"/>
      <c r="I14" s="231">
        <v>164846.88</v>
      </c>
      <c r="J14" s="232">
        <v>46082</v>
      </c>
      <c r="K14" s="233">
        <v>4</v>
      </c>
    </row>
    <row r="15" spans="1:11" s="226" customFormat="1" ht="12.75" customHeight="1" x14ac:dyDescent="0.2">
      <c r="A15" s="226" t="s">
        <v>53</v>
      </c>
      <c r="B15" s="228">
        <v>46082</v>
      </c>
      <c r="C15" s="229" t="s">
        <v>503</v>
      </c>
      <c r="D15" s="229" t="s">
        <v>58</v>
      </c>
      <c r="E15" s="229" t="s">
        <v>75</v>
      </c>
      <c r="F15" s="229" t="s">
        <v>60</v>
      </c>
      <c r="G15" s="227"/>
      <c r="H15" s="230">
        <v>-1000</v>
      </c>
      <c r="I15" s="231">
        <v>163846.88</v>
      </c>
      <c r="J15" s="232">
        <v>46082</v>
      </c>
      <c r="K15" s="233">
        <v>-4</v>
      </c>
    </row>
    <row r="16" spans="1:11" s="226" customFormat="1" ht="12.75" customHeight="1" x14ac:dyDescent="0.2">
      <c r="A16" s="226" t="s">
        <v>53</v>
      </c>
      <c r="B16" s="228">
        <v>46082</v>
      </c>
      <c r="C16" s="229" t="s">
        <v>504</v>
      </c>
      <c r="D16" s="229" t="s">
        <v>58</v>
      </c>
      <c r="E16" s="229" t="s">
        <v>75</v>
      </c>
      <c r="F16" s="229" t="s">
        <v>60</v>
      </c>
      <c r="G16" s="227">
        <v>48.96</v>
      </c>
      <c r="H16" s="230"/>
      <c r="I16" s="231">
        <v>163895.84</v>
      </c>
      <c r="J16" s="232">
        <v>46082</v>
      </c>
      <c r="K16" s="233">
        <v>4</v>
      </c>
    </row>
    <row r="17" spans="1:11" s="226" customFormat="1" ht="12.75" customHeight="1" x14ac:dyDescent="0.2">
      <c r="A17" s="226" t="s">
        <v>53</v>
      </c>
      <c r="B17" s="228">
        <v>46082</v>
      </c>
      <c r="C17" s="229" t="s">
        <v>504</v>
      </c>
      <c r="D17" s="229" t="s">
        <v>58</v>
      </c>
      <c r="E17" s="229" t="s">
        <v>75</v>
      </c>
      <c r="F17" s="229" t="s">
        <v>60</v>
      </c>
      <c r="G17" s="227"/>
      <c r="H17" s="230">
        <v>-48.96</v>
      </c>
      <c r="I17" s="231">
        <v>163846.88</v>
      </c>
      <c r="J17" s="232">
        <v>46082</v>
      </c>
      <c r="K17" s="233">
        <v>-4</v>
      </c>
    </row>
    <row r="18" spans="1:11" s="226" customFormat="1" ht="12.75" customHeight="1" x14ac:dyDescent="0.2">
      <c r="A18" s="226" t="s">
        <v>53</v>
      </c>
      <c r="B18" s="228">
        <v>46082</v>
      </c>
      <c r="C18" s="229" t="s">
        <v>505</v>
      </c>
      <c r="D18" s="229" t="s">
        <v>58</v>
      </c>
      <c r="E18" s="229" t="s">
        <v>161</v>
      </c>
      <c r="F18" s="229" t="s">
        <v>60</v>
      </c>
      <c r="G18" s="227">
        <v>4.99</v>
      </c>
      <c r="H18" s="230"/>
      <c r="I18" s="231">
        <v>163851.87</v>
      </c>
      <c r="J18" s="232">
        <v>46082</v>
      </c>
      <c r="K18" s="233">
        <v>4</v>
      </c>
    </row>
    <row r="19" spans="1:11" s="226" customFormat="1" ht="12.75" customHeight="1" x14ac:dyDescent="0.2">
      <c r="A19" s="226" t="s">
        <v>53</v>
      </c>
      <c r="B19" s="228">
        <v>46082</v>
      </c>
      <c r="C19" s="229" t="s">
        <v>505</v>
      </c>
      <c r="D19" s="229" t="s">
        <v>58</v>
      </c>
      <c r="E19" s="229" t="s">
        <v>161</v>
      </c>
      <c r="F19" s="229" t="s">
        <v>60</v>
      </c>
      <c r="G19" s="227"/>
      <c r="H19" s="230">
        <v>-4.99</v>
      </c>
      <c r="I19" s="231">
        <v>163846.88</v>
      </c>
      <c r="J19" s="232">
        <v>46082</v>
      </c>
      <c r="K19" s="233">
        <v>-4</v>
      </c>
    </row>
    <row r="20" spans="1:11" s="226" customFormat="1" ht="12.75" customHeight="1" x14ac:dyDescent="0.2">
      <c r="A20" s="226" t="s">
        <v>53</v>
      </c>
      <c r="B20" s="228">
        <v>46082</v>
      </c>
      <c r="C20" s="229" t="s">
        <v>506</v>
      </c>
      <c r="D20" s="229" t="s">
        <v>58</v>
      </c>
      <c r="E20" s="229" t="s">
        <v>68</v>
      </c>
      <c r="F20" s="229" t="s">
        <v>60</v>
      </c>
      <c r="G20" s="227">
        <v>1000</v>
      </c>
      <c r="H20" s="230"/>
      <c r="I20" s="231">
        <v>164846.88</v>
      </c>
      <c r="J20" s="232">
        <v>46082</v>
      </c>
      <c r="K20" s="233">
        <v>4</v>
      </c>
    </row>
    <row r="21" spans="1:11" s="226" customFormat="1" ht="12.75" customHeight="1" x14ac:dyDescent="0.2">
      <c r="A21" s="226" t="s">
        <v>53</v>
      </c>
      <c r="B21" s="228">
        <v>46082</v>
      </c>
      <c r="C21" s="229" t="s">
        <v>506</v>
      </c>
      <c r="D21" s="229" t="s">
        <v>58</v>
      </c>
      <c r="E21" s="229" t="s">
        <v>68</v>
      </c>
      <c r="F21" s="229" t="s">
        <v>60</v>
      </c>
      <c r="G21" s="227"/>
      <c r="H21" s="230">
        <v>-1000</v>
      </c>
      <c r="I21" s="231">
        <v>163846.88</v>
      </c>
      <c r="J21" s="232">
        <v>46082</v>
      </c>
      <c r="K21" s="233">
        <v>-4</v>
      </c>
    </row>
    <row r="22" spans="1:11" s="226" customFormat="1" ht="12.75" customHeight="1" x14ac:dyDescent="0.2">
      <c r="A22" s="226" t="s">
        <v>53</v>
      </c>
      <c r="B22" s="228">
        <v>46082</v>
      </c>
      <c r="C22" s="229" t="s">
        <v>507</v>
      </c>
      <c r="D22" s="229" t="s">
        <v>58</v>
      </c>
      <c r="E22" s="229" t="s">
        <v>68</v>
      </c>
      <c r="F22" s="229" t="s">
        <v>60</v>
      </c>
      <c r="G22" s="227">
        <v>48.96</v>
      </c>
      <c r="H22" s="230"/>
      <c r="I22" s="231">
        <v>163895.84</v>
      </c>
      <c r="J22" s="232">
        <v>46082</v>
      </c>
      <c r="K22" s="233">
        <v>4</v>
      </c>
    </row>
    <row r="23" spans="1:11" s="226" customFormat="1" ht="12.75" customHeight="1" x14ac:dyDescent="0.2">
      <c r="A23" s="226" t="s">
        <v>53</v>
      </c>
      <c r="B23" s="228">
        <v>46082</v>
      </c>
      <c r="C23" s="229" t="s">
        <v>507</v>
      </c>
      <c r="D23" s="229" t="s">
        <v>58</v>
      </c>
      <c r="E23" s="229" t="s">
        <v>68</v>
      </c>
      <c r="F23" s="229" t="s">
        <v>60</v>
      </c>
      <c r="G23" s="227"/>
      <c r="H23" s="230">
        <v>-48.96</v>
      </c>
      <c r="I23" s="231">
        <v>163846.88</v>
      </c>
      <c r="J23" s="232">
        <v>46082</v>
      </c>
      <c r="K23" s="233">
        <v>-4</v>
      </c>
    </row>
    <row r="24" spans="1:11" s="226" customFormat="1" ht="12.75" customHeight="1" x14ac:dyDescent="0.2">
      <c r="A24" s="226" t="s">
        <v>69</v>
      </c>
      <c r="B24" s="228">
        <v>46082</v>
      </c>
      <c r="C24" s="229" t="s">
        <v>508</v>
      </c>
      <c r="D24" s="229" t="s">
        <v>58</v>
      </c>
      <c r="E24" s="229" t="s">
        <v>70</v>
      </c>
      <c r="F24" s="229" t="s">
        <v>60</v>
      </c>
      <c r="G24" s="227">
        <v>0.56999999999999995</v>
      </c>
      <c r="H24" s="230"/>
      <c r="I24" s="231">
        <v>163847.45000000001</v>
      </c>
      <c r="J24" s="232">
        <v>46082</v>
      </c>
      <c r="K24" s="233">
        <v>4</v>
      </c>
    </row>
    <row r="25" spans="1:11" s="226" customFormat="1" ht="12.75" customHeight="1" x14ac:dyDescent="0.2">
      <c r="A25" s="226" t="s">
        <v>69</v>
      </c>
      <c r="B25" s="228">
        <v>46082</v>
      </c>
      <c r="C25" s="229" t="s">
        <v>508</v>
      </c>
      <c r="D25" s="229" t="s">
        <v>58</v>
      </c>
      <c r="E25" s="229" t="s">
        <v>70</v>
      </c>
      <c r="F25" s="229" t="s">
        <v>60</v>
      </c>
      <c r="G25" s="227"/>
      <c r="H25" s="230">
        <v>-0.56999999999999995</v>
      </c>
      <c r="I25" s="231">
        <v>163846.88</v>
      </c>
      <c r="J25" s="232">
        <v>46082</v>
      </c>
      <c r="K25" s="233">
        <v>-4</v>
      </c>
    </row>
    <row r="26" spans="1:11" s="226" customFormat="1" ht="12.75" customHeight="1" x14ac:dyDescent="0.2">
      <c r="A26" s="226" t="s">
        <v>69</v>
      </c>
      <c r="B26" s="228">
        <v>46082</v>
      </c>
      <c r="C26" s="229" t="s">
        <v>509</v>
      </c>
      <c r="D26" s="229" t="s">
        <v>58</v>
      </c>
      <c r="E26" s="229" t="s">
        <v>235</v>
      </c>
      <c r="F26" s="229" t="s">
        <v>60</v>
      </c>
      <c r="G26" s="227">
        <v>2.66</v>
      </c>
      <c r="H26" s="230"/>
      <c r="I26" s="231">
        <v>163849.54</v>
      </c>
      <c r="J26" s="232">
        <v>46082</v>
      </c>
      <c r="K26" s="233">
        <v>4</v>
      </c>
    </row>
    <row r="27" spans="1:11" s="226" customFormat="1" ht="12.75" customHeight="1" x14ac:dyDescent="0.2">
      <c r="A27" s="226" t="s">
        <v>69</v>
      </c>
      <c r="B27" s="228">
        <v>46082</v>
      </c>
      <c r="C27" s="229" t="s">
        <v>509</v>
      </c>
      <c r="D27" s="229" t="s">
        <v>58</v>
      </c>
      <c r="E27" s="229" t="s">
        <v>235</v>
      </c>
      <c r="F27" s="229" t="s">
        <v>60</v>
      </c>
      <c r="G27" s="227"/>
      <c r="H27" s="230">
        <v>-2.66</v>
      </c>
      <c r="I27" s="231">
        <v>163846.88</v>
      </c>
      <c r="J27" s="232">
        <v>46082</v>
      </c>
      <c r="K27" s="233">
        <v>-4</v>
      </c>
    </row>
    <row r="28" spans="1:11" s="226" customFormat="1" ht="12.75" customHeight="1" x14ac:dyDescent="0.2">
      <c r="A28" s="226" t="s">
        <v>69</v>
      </c>
      <c r="B28" s="228">
        <v>46082</v>
      </c>
      <c r="C28" s="229" t="s">
        <v>510</v>
      </c>
      <c r="D28" s="229" t="s">
        <v>58</v>
      </c>
      <c r="E28" s="229" t="s">
        <v>182</v>
      </c>
      <c r="F28" s="229" t="s">
        <v>60</v>
      </c>
      <c r="G28" s="227">
        <v>0.04</v>
      </c>
      <c r="H28" s="230"/>
      <c r="I28" s="231">
        <v>163846.92000000001</v>
      </c>
      <c r="J28" s="232">
        <v>46082</v>
      </c>
      <c r="K28" s="233">
        <v>4</v>
      </c>
    </row>
    <row r="29" spans="1:11" s="226" customFormat="1" ht="12.75" customHeight="1" x14ac:dyDescent="0.2">
      <c r="A29" s="226" t="s">
        <v>69</v>
      </c>
      <c r="B29" s="228">
        <v>46082</v>
      </c>
      <c r="C29" s="229" t="s">
        <v>510</v>
      </c>
      <c r="D29" s="229" t="s">
        <v>58</v>
      </c>
      <c r="E29" s="229" t="s">
        <v>182</v>
      </c>
      <c r="F29" s="229" t="s">
        <v>60</v>
      </c>
      <c r="G29" s="227"/>
      <c r="H29" s="230">
        <v>-0.04</v>
      </c>
      <c r="I29" s="231">
        <v>163846.88</v>
      </c>
      <c r="J29" s="232">
        <v>46082</v>
      </c>
      <c r="K29" s="233">
        <v>-4</v>
      </c>
    </row>
    <row r="30" spans="1:11" s="226" customFormat="1" ht="12.75" customHeight="1" x14ac:dyDescent="0.2">
      <c r="A30" s="226" t="s">
        <v>69</v>
      </c>
      <c r="B30" s="228">
        <v>46082</v>
      </c>
      <c r="C30" s="229" t="s">
        <v>511</v>
      </c>
      <c r="D30" s="229" t="s">
        <v>58</v>
      </c>
      <c r="E30" s="229" t="s">
        <v>184</v>
      </c>
      <c r="F30" s="229" t="s">
        <v>60</v>
      </c>
      <c r="G30" s="227">
        <v>1</v>
      </c>
      <c r="H30" s="230"/>
      <c r="I30" s="231">
        <v>163847.88</v>
      </c>
      <c r="J30" s="232">
        <v>46082</v>
      </c>
      <c r="K30" s="233">
        <v>4</v>
      </c>
    </row>
    <row r="31" spans="1:11" s="226" customFormat="1" ht="12.75" customHeight="1" x14ac:dyDescent="0.2">
      <c r="A31" s="226" t="s">
        <v>69</v>
      </c>
      <c r="B31" s="228">
        <v>46082</v>
      </c>
      <c r="C31" s="229" t="s">
        <v>511</v>
      </c>
      <c r="D31" s="229" t="s">
        <v>58</v>
      </c>
      <c r="E31" s="229" t="s">
        <v>184</v>
      </c>
      <c r="F31" s="229" t="s">
        <v>60</v>
      </c>
      <c r="G31" s="227"/>
      <c r="H31" s="230">
        <v>-1</v>
      </c>
      <c r="I31" s="231">
        <v>163846.88</v>
      </c>
      <c r="J31" s="232">
        <v>46082</v>
      </c>
      <c r="K31" s="233">
        <v>-4</v>
      </c>
    </row>
    <row r="32" spans="1:11" s="226" customFormat="1" ht="12.75" customHeight="1" x14ac:dyDescent="0.2">
      <c r="A32" s="226" t="s">
        <v>69</v>
      </c>
      <c r="B32" s="228">
        <v>46082</v>
      </c>
      <c r="C32" s="229" t="s">
        <v>512</v>
      </c>
      <c r="D32" s="229" t="s">
        <v>58</v>
      </c>
      <c r="E32" s="229" t="s">
        <v>76</v>
      </c>
      <c r="F32" s="229" t="s">
        <v>60</v>
      </c>
      <c r="G32" s="227">
        <v>0.48</v>
      </c>
      <c r="H32" s="230"/>
      <c r="I32" s="231">
        <v>163847.35999999999</v>
      </c>
      <c r="J32" s="232">
        <v>46082</v>
      </c>
      <c r="K32" s="233">
        <v>4</v>
      </c>
    </row>
    <row r="33" spans="1:11" s="226" customFormat="1" ht="12.75" customHeight="1" x14ac:dyDescent="0.2">
      <c r="A33" s="226" t="s">
        <v>69</v>
      </c>
      <c r="B33" s="228">
        <v>46082</v>
      </c>
      <c r="C33" s="229" t="s">
        <v>512</v>
      </c>
      <c r="D33" s="229" t="s">
        <v>58</v>
      </c>
      <c r="E33" s="229" t="s">
        <v>76</v>
      </c>
      <c r="F33" s="229" t="s">
        <v>60</v>
      </c>
      <c r="G33" s="227"/>
      <c r="H33" s="230">
        <v>-0.48</v>
      </c>
      <c r="I33" s="231">
        <v>163846.88</v>
      </c>
      <c r="J33" s="232">
        <v>46082</v>
      </c>
      <c r="K33" s="233">
        <v>-4</v>
      </c>
    </row>
    <row r="34" spans="1:11" s="226" customFormat="1" ht="12.75" customHeight="1" x14ac:dyDescent="0.2">
      <c r="A34" s="226" t="s">
        <v>69</v>
      </c>
      <c r="B34" s="228">
        <v>46082</v>
      </c>
      <c r="C34" s="229" t="s">
        <v>513</v>
      </c>
      <c r="D34" s="229" t="s">
        <v>58</v>
      </c>
      <c r="E34" s="229" t="s">
        <v>73</v>
      </c>
      <c r="F34" s="229" t="s">
        <v>60</v>
      </c>
      <c r="G34" s="227">
        <v>0.31</v>
      </c>
      <c r="H34" s="230"/>
      <c r="I34" s="231">
        <v>163847.19</v>
      </c>
      <c r="J34" s="232">
        <v>46082</v>
      </c>
      <c r="K34" s="233">
        <v>4</v>
      </c>
    </row>
    <row r="35" spans="1:11" s="226" customFormat="1" ht="12.75" customHeight="1" x14ac:dyDescent="0.2">
      <c r="A35" s="226" t="s">
        <v>69</v>
      </c>
      <c r="B35" s="228">
        <v>46082</v>
      </c>
      <c r="C35" s="229" t="s">
        <v>513</v>
      </c>
      <c r="D35" s="229" t="s">
        <v>58</v>
      </c>
      <c r="E35" s="229" t="s">
        <v>73</v>
      </c>
      <c r="F35" s="229" t="s">
        <v>60</v>
      </c>
      <c r="G35" s="227"/>
      <c r="H35" s="230">
        <v>-0.31</v>
      </c>
      <c r="I35" s="231">
        <v>163846.88</v>
      </c>
      <c r="J35" s="232">
        <v>46082</v>
      </c>
      <c r="K35" s="233">
        <v>-4</v>
      </c>
    </row>
    <row r="36" spans="1:11" s="226" customFormat="1" ht="12.75" customHeight="1" x14ac:dyDescent="0.2">
      <c r="A36" s="226" t="s">
        <v>69</v>
      </c>
      <c r="B36" s="228">
        <v>46082</v>
      </c>
      <c r="C36" s="229" t="s">
        <v>514</v>
      </c>
      <c r="D36" s="229" t="s">
        <v>58</v>
      </c>
      <c r="E36" s="229" t="s">
        <v>288</v>
      </c>
      <c r="F36" s="229" t="s">
        <v>60</v>
      </c>
      <c r="G36" s="227">
        <v>1005</v>
      </c>
      <c r="H36" s="230"/>
      <c r="I36" s="231">
        <v>164851.88</v>
      </c>
      <c r="J36" s="232">
        <v>46082</v>
      </c>
      <c r="K36" s="233">
        <v>4</v>
      </c>
    </row>
    <row r="37" spans="1:11" s="226" customFormat="1" ht="12.75" customHeight="1" x14ac:dyDescent="0.2">
      <c r="A37" s="226" t="s">
        <v>69</v>
      </c>
      <c r="B37" s="228">
        <v>46082</v>
      </c>
      <c r="C37" s="229" t="s">
        <v>514</v>
      </c>
      <c r="D37" s="229" t="s">
        <v>58</v>
      </c>
      <c r="E37" s="229" t="s">
        <v>288</v>
      </c>
      <c r="F37" s="229" t="s">
        <v>60</v>
      </c>
      <c r="G37" s="227"/>
      <c r="H37" s="230">
        <v>-1005</v>
      </c>
      <c r="I37" s="231">
        <v>163846.88</v>
      </c>
      <c r="J37" s="232">
        <v>46082</v>
      </c>
      <c r="K37" s="233">
        <v>-4</v>
      </c>
    </row>
    <row r="38" spans="1:11" s="226" customFormat="1" ht="12.75" customHeight="1" x14ac:dyDescent="0.2">
      <c r="A38" s="226" t="s">
        <v>69</v>
      </c>
      <c r="B38" s="228">
        <v>46082</v>
      </c>
      <c r="C38" s="229" t="s">
        <v>515</v>
      </c>
      <c r="D38" s="229" t="s">
        <v>58</v>
      </c>
      <c r="E38" s="229" t="s">
        <v>288</v>
      </c>
      <c r="F38" s="229" t="s">
        <v>60</v>
      </c>
      <c r="G38" s="227">
        <v>49.52</v>
      </c>
      <c r="H38" s="230"/>
      <c r="I38" s="231">
        <v>163896.4</v>
      </c>
      <c r="J38" s="232">
        <v>46082</v>
      </c>
      <c r="K38" s="233">
        <v>4</v>
      </c>
    </row>
    <row r="39" spans="1:11" s="226" customFormat="1" ht="12.75" customHeight="1" x14ac:dyDescent="0.2">
      <c r="A39" s="226" t="s">
        <v>69</v>
      </c>
      <c r="B39" s="228">
        <v>46082</v>
      </c>
      <c r="C39" s="229" t="s">
        <v>515</v>
      </c>
      <c r="D39" s="229" t="s">
        <v>58</v>
      </c>
      <c r="E39" s="229" t="s">
        <v>288</v>
      </c>
      <c r="F39" s="229" t="s">
        <v>60</v>
      </c>
      <c r="G39" s="227"/>
      <c r="H39" s="230">
        <v>-49.52</v>
      </c>
      <c r="I39" s="231">
        <v>163846.88</v>
      </c>
      <c r="J39" s="232">
        <v>46082</v>
      </c>
      <c r="K39" s="233">
        <v>-4</v>
      </c>
    </row>
    <row r="40" spans="1:11" s="226" customFormat="1" ht="12.75" customHeight="1" x14ac:dyDescent="0.2">
      <c r="A40" s="226" t="s">
        <v>69</v>
      </c>
      <c r="B40" s="228">
        <v>46082</v>
      </c>
      <c r="C40" s="229" t="s">
        <v>516</v>
      </c>
      <c r="D40" s="229" t="s">
        <v>58</v>
      </c>
      <c r="E40" s="229" t="s">
        <v>254</v>
      </c>
      <c r="F40" s="229" t="s">
        <v>60</v>
      </c>
      <c r="G40" s="227">
        <v>1005</v>
      </c>
      <c r="H40" s="230"/>
      <c r="I40" s="231">
        <v>164851.88</v>
      </c>
      <c r="J40" s="232">
        <v>46082</v>
      </c>
      <c r="K40" s="233">
        <v>4</v>
      </c>
    </row>
    <row r="41" spans="1:11" s="226" customFormat="1" ht="12.75" customHeight="1" x14ac:dyDescent="0.2">
      <c r="A41" s="226" t="s">
        <v>69</v>
      </c>
      <c r="B41" s="228">
        <v>46082</v>
      </c>
      <c r="C41" s="229" t="s">
        <v>516</v>
      </c>
      <c r="D41" s="229" t="s">
        <v>58</v>
      </c>
      <c r="E41" s="229" t="s">
        <v>254</v>
      </c>
      <c r="F41" s="229" t="s">
        <v>60</v>
      </c>
      <c r="G41" s="227"/>
      <c r="H41" s="230">
        <v>-1005</v>
      </c>
      <c r="I41" s="231">
        <v>163846.88</v>
      </c>
      <c r="J41" s="232">
        <v>46082</v>
      </c>
      <c r="K41" s="233">
        <v>-4</v>
      </c>
    </row>
    <row r="42" spans="1:11" s="226" customFormat="1" ht="12.75" customHeight="1" x14ac:dyDescent="0.2">
      <c r="A42" s="226" t="s">
        <v>69</v>
      </c>
      <c r="B42" s="228">
        <v>46082</v>
      </c>
      <c r="C42" s="229" t="s">
        <v>517</v>
      </c>
      <c r="D42" s="229" t="s">
        <v>58</v>
      </c>
      <c r="E42" s="229" t="s">
        <v>254</v>
      </c>
      <c r="F42" s="229" t="s">
        <v>60</v>
      </c>
      <c r="G42" s="227">
        <v>49.52</v>
      </c>
      <c r="H42" s="230"/>
      <c r="I42" s="231">
        <v>163896.4</v>
      </c>
      <c r="J42" s="232">
        <v>46082</v>
      </c>
      <c r="K42" s="233">
        <v>4</v>
      </c>
    </row>
    <row r="43" spans="1:11" s="226" customFormat="1" ht="12.75" customHeight="1" x14ac:dyDescent="0.2">
      <c r="A43" s="226" t="s">
        <v>69</v>
      </c>
      <c r="B43" s="228">
        <v>46082</v>
      </c>
      <c r="C43" s="229" t="s">
        <v>517</v>
      </c>
      <c r="D43" s="229" t="s">
        <v>58</v>
      </c>
      <c r="E43" s="229" t="s">
        <v>254</v>
      </c>
      <c r="F43" s="229" t="s">
        <v>60</v>
      </c>
      <c r="G43" s="227"/>
      <c r="H43" s="230">
        <v>-49.52</v>
      </c>
      <c r="I43" s="231">
        <v>163846.88</v>
      </c>
      <c r="J43" s="232">
        <v>46082</v>
      </c>
      <c r="K43" s="233">
        <v>-4</v>
      </c>
    </row>
    <row r="44" spans="1:11" s="226" customFormat="1" ht="12.75" customHeight="1" x14ac:dyDescent="0.2">
      <c r="A44" s="226" t="s">
        <v>69</v>
      </c>
      <c r="B44" s="228">
        <v>46082</v>
      </c>
      <c r="C44" s="229" t="s">
        <v>518</v>
      </c>
      <c r="D44" s="229" t="s">
        <v>58</v>
      </c>
      <c r="E44" s="229" t="s">
        <v>281</v>
      </c>
      <c r="F44" s="229" t="s">
        <v>60</v>
      </c>
      <c r="G44" s="227">
        <v>0.48</v>
      </c>
      <c r="H44" s="230"/>
      <c r="I44" s="231">
        <v>163847.35999999999</v>
      </c>
      <c r="J44" s="232">
        <v>46082</v>
      </c>
      <c r="K44" s="233">
        <v>4</v>
      </c>
    </row>
    <row r="45" spans="1:11" s="226" customFormat="1" ht="12.75" customHeight="1" x14ac:dyDescent="0.2">
      <c r="A45" s="226" t="s">
        <v>69</v>
      </c>
      <c r="B45" s="228">
        <v>46082</v>
      </c>
      <c r="C45" s="229" t="s">
        <v>518</v>
      </c>
      <c r="D45" s="229" t="s">
        <v>58</v>
      </c>
      <c r="E45" s="229" t="s">
        <v>281</v>
      </c>
      <c r="F45" s="229" t="s">
        <v>60</v>
      </c>
      <c r="G45" s="227"/>
      <c r="H45" s="230">
        <v>-0.48</v>
      </c>
      <c r="I45" s="231">
        <v>163846.88</v>
      </c>
      <c r="J45" s="232">
        <v>46082</v>
      </c>
      <c r="K45" s="233">
        <v>-4</v>
      </c>
    </row>
    <row r="46" spans="1:11" s="226" customFormat="1" ht="12.75" customHeight="1" x14ac:dyDescent="0.2">
      <c r="A46" s="226" t="s">
        <v>69</v>
      </c>
      <c r="B46" s="228">
        <v>46082</v>
      </c>
      <c r="C46" s="229" t="s">
        <v>519</v>
      </c>
      <c r="D46" s="229" t="s">
        <v>58</v>
      </c>
      <c r="E46" s="229" t="s">
        <v>281</v>
      </c>
      <c r="F46" s="229" t="s">
        <v>60</v>
      </c>
      <c r="G46" s="227">
        <v>1004.52</v>
      </c>
      <c r="H46" s="230"/>
      <c r="I46" s="231">
        <v>164851.4</v>
      </c>
      <c r="J46" s="232">
        <v>46082</v>
      </c>
      <c r="K46" s="233">
        <v>4</v>
      </c>
    </row>
    <row r="47" spans="1:11" s="226" customFormat="1" ht="12.75" customHeight="1" x14ac:dyDescent="0.2">
      <c r="A47" s="226" t="s">
        <v>69</v>
      </c>
      <c r="B47" s="228">
        <v>46082</v>
      </c>
      <c r="C47" s="229" t="s">
        <v>519</v>
      </c>
      <c r="D47" s="229" t="s">
        <v>58</v>
      </c>
      <c r="E47" s="229" t="s">
        <v>281</v>
      </c>
      <c r="F47" s="229" t="s">
        <v>60</v>
      </c>
      <c r="G47" s="227"/>
      <c r="H47" s="230">
        <v>-1004.52</v>
      </c>
      <c r="I47" s="231">
        <v>163846.88</v>
      </c>
      <c r="J47" s="232">
        <v>46082</v>
      </c>
      <c r="K47" s="233">
        <v>-4</v>
      </c>
    </row>
    <row r="48" spans="1:11" s="226" customFormat="1" ht="12.75" customHeight="1" x14ac:dyDescent="0.2">
      <c r="A48" s="226" t="s">
        <v>69</v>
      </c>
      <c r="B48" s="228">
        <v>46082</v>
      </c>
      <c r="C48" s="229" t="s">
        <v>520</v>
      </c>
      <c r="D48" s="229" t="s">
        <v>58</v>
      </c>
      <c r="E48" s="229" t="s">
        <v>281</v>
      </c>
      <c r="F48" s="229" t="s">
        <v>60</v>
      </c>
      <c r="G48" s="227">
        <v>49.52</v>
      </c>
      <c r="H48" s="230"/>
      <c r="I48" s="231">
        <v>163896.4</v>
      </c>
      <c r="J48" s="232">
        <v>46082</v>
      </c>
      <c r="K48" s="233">
        <v>4</v>
      </c>
    </row>
    <row r="49" spans="1:11" s="226" customFormat="1" ht="12.75" customHeight="1" x14ac:dyDescent="0.2">
      <c r="A49" s="226" t="s">
        <v>69</v>
      </c>
      <c r="B49" s="228">
        <v>46082</v>
      </c>
      <c r="C49" s="229" t="s">
        <v>520</v>
      </c>
      <c r="D49" s="229" t="s">
        <v>58</v>
      </c>
      <c r="E49" s="229" t="s">
        <v>281</v>
      </c>
      <c r="F49" s="229" t="s">
        <v>60</v>
      </c>
      <c r="G49" s="227"/>
      <c r="H49" s="230">
        <v>-49.52</v>
      </c>
      <c r="I49" s="231">
        <v>163846.88</v>
      </c>
      <c r="J49" s="232">
        <v>46082</v>
      </c>
      <c r="K49" s="233">
        <v>-4</v>
      </c>
    </row>
    <row r="50" spans="1:11" s="226" customFormat="1" ht="12.75" customHeight="1" x14ac:dyDescent="0.2">
      <c r="A50" s="226" t="s">
        <v>53</v>
      </c>
      <c r="B50" s="228">
        <v>46082</v>
      </c>
      <c r="C50" s="229" t="s">
        <v>521</v>
      </c>
      <c r="D50" s="229" t="s">
        <v>263</v>
      </c>
      <c r="E50" s="229" t="s">
        <v>59</v>
      </c>
      <c r="F50" s="229" t="s">
        <v>60</v>
      </c>
      <c r="G50" s="227"/>
      <c r="H50" s="230">
        <v>-1000</v>
      </c>
      <c r="I50" s="231">
        <v>162846.88</v>
      </c>
      <c r="J50" s="232">
        <v>46082</v>
      </c>
      <c r="K50" s="233">
        <v>-4</v>
      </c>
    </row>
    <row r="51" spans="1:11" s="226" customFormat="1" ht="12.75" customHeight="1" x14ac:dyDescent="0.2">
      <c r="A51" s="226" t="s">
        <v>53</v>
      </c>
      <c r="B51" s="228">
        <v>46082</v>
      </c>
      <c r="C51" s="229" t="s">
        <v>521</v>
      </c>
      <c r="D51" s="229" t="s">
        <v>263</v>
      </c>
      <c r="E51" s="229" t="s">
        <v>59</v>
      </c>
      <c r="F51" s="229" t="s">
        <v>60</v>
      </c>
      <c r="G51" s="227"/>
      <c r="H51" s="230">
        <v>-48.96</v>
      </c>
      <c r="I51" s="231">
        <v>162797.92000000001</v>
      </c>
      <c r="J51" s="232">
        <v>46082</v>
      </c>
      <c r="K51" s="233">
        <v>-4</v>
      </c>
    </row>
    <row r="52" spans="1:11" s="226" customFormat="1" ht="12.75" customHeight="1" x14ac:dyDescent="0.2">
      <c r="A52" s="226" t="s">
        <v>53</v>
      </c>
      <c r="B52" s="228">
        <v>46082</v>
      </c>
      <c r="C52" s="229" t="s">
        <v>521</v>
      </c>
      <c r="D52" s="229" t="s">
        <v>263</v>
      </c>
      <c r="E52" s="229" t="s">
        <v>59</v>
      </c>
      <c r="F52" s="229" t="s">
        <v>60</v>
      </c>
      <c r="G52" s="227">
        <v>1000</v>
      </c>
      <c r="H52" s="230"/>
      <c r="I52" s="231">
        <v>163797.92000000001</v>
      </c>
      <c r="J52" s="232">
        <v>46082</v>
      </c>
      <c r="K52" s="233">
        <v>4</v>
      </c>
    </row>
    <row r="53" spans="1:11" s="226" customFormat="1" ht="12.75" customHeight="1" x14ac:dyDescent="0.2">
      <c r="A53" s="226" t="s">
        <v>53</v>
      </c>
      <c r="B53" s="228">
        <v>46082</v>
      </c>
      <c r="C53" s="229" t="s">
        <v>521</v>
      </c>
      <c r="D53" s="229" t="s">
        <v>263</v>
      </c>
      <c r="E53" s="229" t="s">
        <v>59</v>
      </c>
      <c r="F53" s="229" t="s">
        <v>60</v>
      </c>
      <c r="G53" s="227">
        <v>48.96</v>
      </c>
      <c r="H53" s="230"/>
      <c r="I53" s="231">
        <v>163846.88</v>
      </c>
      <c r="J53" s="232">
        <v>46082</v>
      </c>
      <c r="K53" s="233">
        <v>4</v>
      </c>
    </row>
    <row r="54" spans="1:11" s="226" customFormat="1" ht="12.75" customHeight="1" x14ac:dyDescent="0.2">
      <c r="A54" s="226" t="s">
        <v>69</v>
      </c>
      <c r="B54" s="228">
        <v>46082</v>
      </c>
      <c r="C54" s="229" t="s">
        <v>522</v>
      </c>
      <c r="D54" s="229"/>
      <c r="E54" s="229" t="s">
        <v>76</v>
      </c>
      <c r="F54" s="229" t="s">
        <v>244</v>
      </c>
      <c r="G54" s="227">
        <v>1004.52</v>
      </c>
      <c r="H54" s="230"/>
      <c r="I54" s="231">
        <v>164851.4</v>
      </c>
      <c r="J54" s="232">
        <v>46082</v>
      </c>
      <c r="K54" s="233">
        <v>4</v>
      </c>
    </row>
    <row r="55" spans="1:11" s="226" customFormat="1" ht="12.75" customHeight="1" x14ac:dyDescent="0.2">
      <c r="A55" s="226" t="s">
        <v>69</v>
      </c>
      <c r="B55" s="228">
        <v>46082</v>
      </c>
      <c r="C55" s="229" t="s">
        <v>522</v>
      </c>
      <c r="D55" s="229"/>
      <c r="E55" s="229" t="s">
        <v>76</v>
      </c>
      <c r="F55" s="229" t="s">
        <v>244</v>
      </c>
      <c r="G55" s="227">
        <v>49.52</v>
      </c>
      <c r="H55" s="230"/>
      <c r="I55" s="231">
        <v>164900.92000000001</v>
      </c>
      <c r="J55" s="232">
        <v>46082</v>
      </c>
      <c r="K55" s="233">
        <v>4</v>
      </c>
    </row>
    <row r="56" spans="1:11" s="226" customFormat="1" ht="12.75" customHeight="1" x14ac:dyDescent="0.2">
      <c r="A56" s="226" t="s">
        <v>69</v>
      </c>
      <c r="B56" s="228">
        <v>46082</v>
      </c>
      <c r="C56" s="229" t="s">
        <v>522</v>
      </c>
      <c r="D56" s="229"/>
      <c r="E56" s="229" t="s">
        <v>76</v>
      </c>
      <c r="F56" s="229" t="s">
        <v>244</v>
      </c>
      <c r="G56" s="227"/>
      <c r="H56" s="230">
        <v>-1054.04</v>
      </c>
      <c r="I56" s="231">
        <v>163846.88</v>
      </c>
      <c r="J56" s="232">
        <v>46082</v>
      </c>
      <c r="K56" s="233">
        <v>-4</v>
      </c>
    </row>
    <row r="57" spans="1:11" s="226" customFormat="1" ht="12.75" customHeight="1" x14ac:dyDescent="0.2">
      <c r="A57" s="226" t="s">
        <v>53</v>
      </c>
      <c r="B57" s="228">
        <v>46082</v>
      </c>
      <c r="C57" s="229" t="s">
        <v>523</v>
      </c>
      <c r="D57" s="229"/>
      <c r="E57" s="229" t="s">
        <v>78</v>
      </c>
      <c r="F57" s="229" t="s">
        <v>244</v>
      </c>
      <c r="G57" s="227">
        <v>1000</v>
      </c>
      <c r="H57" s="230"/>
      <c r="I57" s="231">
        <v>164846.88</v>
      </c>
      <c r="J57" s="232">
        <v>46082</v>
      </c>
      <c r="K57" s="233">
        <v>4</v>
      </c>
    </row>
    <row r="58" spans="1:11" s="226" customFormat="1" ht="12.75" customHeight="1" x14ac:dyDescent="0.2">
      <c r="A58" s="226" t="s">
        <v>53</v>
      </c>
      <c r="B58" s="228">
        <v>46082</v>
      </c>
      <c r="C58" s="229" t="s">
        <v>523</v>
      </c>
      <c r="D58" s="229"/>
      <c r="E58" s="229" t="s">
        <v>78</v>
      </c>
      <c r="F58" s="229" t="s">
        <v>244</v>
      </c>
      <c r="G58" s="227">
        <v>48.96</v>
      </c>
      <c r="H58" s="230"/>
      <c r="I58" s="231">
        <v>164895.84</v>
      </c>
      <c r="J58" s="232">
        <v>46082</v>
      </c>
      <c r="K58" s="233">
        <v>4</v>
      </c>
    </row>
    <row r="59" spans="1:11" s="226" customFormat="1" ht="12.75" customHeight="1" x14ac:dyDescent="0.2">
      <c r="A59" s="226" t="s">
        <v>53</v>
      </c>
      <c r="B59" s="228">
        <v>46082</v>
      </c>
      <c r="C59" s="229" t="s">
        <v>523</v>
      </c>
      <c r="D59" s="229"/>
      <c r="E59" s="229" t="s">
        <v>78</v>
      </c>
      <c r="F59" s="229" t="s">
        <v>244</v>
      </c>
      <c r="G59" s="227"/>
      <c r="H59" s="230">
        <v>-1048.96</v>
      </c>
      <c r="I59" s="231">
        <v>163846.88</v>
      </c>
      <c r="J59" s="232">
        <v>46082</v>
      </c>
      <c r="K59" s="233">
        <v>-4</v>
      </c>
    </row>
    <row r="60" spans="1:11" s="226" customFormat="1" ht="12.75" customHeight="1" x14ac:dyDescent="0.2">
      <c r="A60" s="226" t="s">
        <v>69</v>
      </c>
      <c r="B60" s="228">
        <v>46082</v>
      </c>
      <c r="C60" s="229" t="s">
        <v>524</v>
      </c>
      <c r="D60" s="229"/>
      <c r="E60" s="229" t="s">
        <v>190</v>
      </c>
      <c r="F60" s="229" t="s">
        <v>244</v>
      </c>
      <c r="G60" s="227">
        <v>1020</v>
      </c>
      <c r="H60" s="230"/>
      <c r="I60" s="231">
        <v>164866.88</v>
      </c>
      <c r="J60" s="232">
        <v>46082</v>
      </c>
      <c r="K60" s="233">
        <v>4</v>
      </c>
    </row>
    <row r="61" spans="1:11" s="226" customFormat="1" ht="12.75" customHeight="1" x14ac:dyDescent="0.2">
      <c r="A61" s="226" t="s">
        <v>69</v>
      </c>
      <c r="B61" s="228">
        <v>46082</v>
      </c>
      <c r="C61" s="229" t="s">
        <v>524</v>
      </c>
      <c r="D61" s="229"/>
      <c r="E61" s="229" t="s">
        <v>190</v>
      </c>
      <c r="F61" s="229" t="s">
        <v>244</v>
      </c>
      <c r="G61" s="227">
        <v>49.52</v>
      </c>
      <c r="H61" s="230"/>
      <c r="I61" s="231">
        <v>164916.4</v>
      </c>
      <c r="J61" s="232">
        <v>46082</v>
      </c>
      <c r="K61" s="233">
        <v>4</v>
      </c>
    </row>
    <row r="62" spans="1:11" s="226" customFormat="1" ht="12.75" customHeight="1" x14ac:dyDescent="0.2">
      <c r="A62" s="226" t="s">
        <v>69</v>
      </c>
      <c r="B62" s="228">
        <v>46082</v>
      </c>
      <c r="C62" s="229" t="s">
        <v>524</v>
      </c>
      <c r="D62" s="229"/>
      <c r="E62" s="229" t="s">
        <v>190</v>
      </c>
      <c r="F62" s="229" t="s">
        <v>244</v>
      </c>
      <c r="G62" s="227"/>
      <c r="H62" s="230">
        <v>-1069.52</v>
      </c>
      <c r="I62" s="231">
        <v>163846.88</v>
      </c>
      <c r="J62" s="232">
        <v>46082</v>
      </c>
      <c r="K62" s="233">
        <v>-4</v>
      </c>
    </row>
    <row r="63" spans="1:11" s="226" customFormat="1" ht="12.75" customHeight="1" x14ac:dyDescent="0.2">
      <c r="A63" s="226" t="s">
        <v>69</v>
      </c>
      <c r="B63" s="228">
        <v>46082</v>
      </c>
      <c r="C63" s="229" t="s">
        <v>525</v>
      </c>
      <c r="D63" s="229" t="s">
        <v>526</v>
      </c>
      <c r="E63" s="229" t="s">
        <v>109</v>
      </c>
      <c r="F63" s="229" t="s">
        <v>85</v>
      </c>
      <c r="G63" s="227">
        <v>1020</v>
      </c>
      <c r="H63" s="230"/>
      <c r="I63" s="231">
        <v>164866.88</v>
      </c>
      <c r="J63" s="224" t="s">
        <v>429</v>
      </c>
      <c r="K63" s="233">
        <v>2</v>
      </c>
    </row>
    <row r="64" spans="1:11" s="226" customFormat="1" ht="12.75" customHeight="1" x14ac:dyDescent="0.2">
      <c r="A64" s="226" t="s">
        <v>69</v>
      </c>
      <c r="B64" s="228">
        <v>46082</v>
      </c>
      <c r="C64" s="229" t="s">
        <v>525</v>
      </c>
      <c r="D64" s="229" t="s">
        <v>526</v>
      </c>
      <c r="E64" s="229" t="s">
        <v>109</v>
      </c>
      <c r="F64" s="229" t="s">
        <v>85</v>
      </c>
      <c r="G64" s="227">
        <v>49.52</v>
      </c>
      <c r="H64" s="230"/>
      <c r="I64" s="231">
        <v>164916.4</v>
      </c>
      <c r="J64" s="224" t="s">
        <v>429</v>
      </c>
      <c r="K64" s="233">
        <v>2</v>
      </c>
    </row>
    <row r="65" spans="1:11" s="226" customFormat="1" ht="12.75" customHeight="1" x14ac:dyDescent="0.2">
      <c r="A65" s="226" t="s">
        <v>69</v>
      </c>
      <c r="B65" s="228">
        <v>46082</v>
      </c>
      <c r="C65" s="229" t="s">
        <v>527</v>
      </c>
      <c r="D65" s="229" t="s">
        <v>528</v>
      </c>
      <c r="E65" s="229" t="s">
        <v>92</v>
      </c>
      <c r="F65" s="229" t="s">
        <v>85</v>
      </c>
      <c r="G65" s="227">
        <v>1005</v>
      </c>
      <c r="H65" s="230"/>
      <c r="I65" s="231">
        <v>165921.4</v>
      </c>
      <c r="J65" s="224" t="s">
        <v>429</v>
      </c>
      <c r="K65" s="233">
        <v>2</v>
      </c>
    </row>
    <row r="66" spans="1:11" s="226" customFormat="1" ht="12.75" customHeight="1" x14ac:dyDescent="0.2">
      <c r="A66" s="226" t="s">
        <v>69</v>
      </c>
      <c r="B66" s="228">
        <v>46082</v>
      </c>
      <c r="C66" s="229" t="s">
        <v>527</v>
      </c>
      <c r="D66" s="229" t="s">
        <v>528</v>
      </c>
      <c r="E66" s="229" t="s">
        <v>92</v>
      </c>
      <c r="F66" s="229" t="s">
        <v>85</v>
      </c>
      <c r="G66" s="227">
        <v>49.52</v>
      </c>
      <c r="H66" s="230"/>
      <c r="I66" s="231">
        <v>165970.92000000001</v>
      </c>
      <c r="J66" s="224" t="s">
        <v>429</v>
      </c>
      <c r="K66" s="233">
        <v>2</v>
      </c>
    </row>
    <row r="67" spans="1:11" s="226" customFormat="1" ht="12.75" customHeight="1" x14ac:dyDescent="0.2">
      <c r="A67" s="226" t="s">
        <v>69</v>
      </c>
      <c r="B67" s="228">
        <v>46082</v>
      </c>
      <c r="C67" s="229" t="s">
        <v>529</v>
      </c>
      <c r="D67" s="229" t="s">
        <v>530</v>
      </c>
      <c r="E67" s="229" t="s">
        <v>93</v>
      </c>
      <c r="F67" s="229" t="s">
        <v>85</v>
      </c>
      <c r="G67" s="227">
        <v>1005</v>
      </c>
      <c r="H67" s="230"/>
      <c r="I67" s="231">
        <v>166975.92000000001</v>
      </c>
      <c r="J67" s="224" t="s">
        <v>429</v>
      </c>
      <c r="K67" s="233">
        <v>2</v>
      </c>
    </row>
    <row r="68" spans="1:11" s="226" customFormat="1" ht="12.75" customHeight="1" x14ac:dyDescent="0.2">
      <c r="A68" s="226" t="s">
        <v>69</v>
      </c>
      <c r="B68" s="228">
        <v>46082</v>
      </c>
      <c r="C68" s="229" t="s">
        <v>529</v>
      </c>
      <c r="D68" s="229" t="s">
        <v>530</v>
      </c>
      <c r="E68" s="229" t="s">
        <v>93</v>
      </c>
      <c r="F68" s="229" t="s">
        <v>85</v>
      </c>
      <c r="G68" s="227">
        <v>49.52</v>
      </c>
      <c r="H68" s="230"/>
      <c r="I68" s="231">
        <v>167025.44</v>
      </c>
      <c r="J68" s="224" t="s">
        <v>429</v>
      </c>
      <c r="K68" s="233">
        <v>2</v>
      </c>
    </row>
    <row r="69" spans="1:11" s="226" customFormat="1" ht="12.75" customHeight="1" x14ac:dyDescent="0.2">
      <c r="A69" s="226" t="s">
        <v>69</v>
      </c>
      <c r="B69" s="228">
        <v>46082</v>
      </c>
      <c r="C69" s="229" t="s">
        <v>531</v>
      </c>
      <c r="D69" s="229" t="s">
        <v>532</v>
      </c>
      <c r="E69" s="229" t="s">
        <v>248</v>
      </c>
      <c r="F69" s="229" t="s">
        <v>85</v>
      </c>
      <c r="G69" s="227">
        <v>1005</v>
      </c>
      <c r="H69" s="230"/>
      <c r="I69" s="231">
        <v>168030.44</v>
      </c>
      <c r="J69" s="224" t="s">
        <v>429</v>
      </c>
      <c r="K69" s="233">
        <v>2</v>
      </c>
    </row>
    <row r="70" spans="1:11" s="226" customFormat="1" ht="12.75" customHeight="1" x14ac:dyDescent="0.2">
      <c r="A70" s="226" t="s">
        <v>69</v>
      </c>
      <c r="B70" s="228">
        <v>46082</v>
      </c>
      <c r="C70" s="229" t="s">
        <v>531</v>
      </c>
      <c r="D70" s="229" t="s">
        <v>532</v>
      </c>
      <c r="E70" s="229" t="s">
        <v>248</v>
      </c>
      <c r="F70" s="229" t="s">
        <v>85</v>
      </c>
      <c r="G70" s="227">
        <v>49.52</v>
      </c>
      <c r="H70" s="230"/>
      <c r="I70" s="231">
        <v>168079.96</v>
      </c>
      <c r="J70" s="224" t="s">
        <v>429</v>
      </c>
      <c r="K70" s="233">
        <v>2</v>
      </c>
    </row>
    <row r="71" spans="1:11" s="226" customFormat="1" ht="12.75" customHeight="1" x14ac:dyDescent="0.2">
      <c r="A71" s="226" t="s">
        <v>69</v>
      </c>
      <c r="B71" s="228">
        <v>46082</v>
      </c>
      <c r="C71" s="229" t="s">
        <v>533</v>
      </c>
      <c r="D71" s="229" t="s">
        <v>534</v>
      </c>
      <c r="E71" s="229" t="s">
        <v>250</v>
      </c>
      <c r="F71" s="229" t="s">
        <v>85</v>
      </c>
      <c r="G71" s="227">
        <v>1005</v>
      </c>
      <c r="H71" s="230"/>
      <c r="I71" s="231">
        <v>169084.96</v>
      </c>
      <c r="J71" s="224" t="s">
        <v>429</v>
      </c>
      <c r="K71" s="233">
        <v>2</v>
      </c>
    </row>
    <row r="72" spans="1:11" s="226" customFormat="1" ht="12.75" customHeight="1" x14ac:dyDescent="0.2">
      <c r="A72" s="226" t="s">
        <v>69</v>
      </c>
      <c r="B72" s="228">
        <v>46082</v>
      </c>
      <c r="C72" s="229" t="s">
        <v>533</v>
      </c>
      <c r="D72" s="229" t="s">
        <v>534</v>
      </c>
      <c r="E72" s="229" t="s">
        <v>250</v>
      </c>
      <c r="F72" s="229" t="s">
        <v>85</v>
      </c>
      <c r="G72" s="227">
        <v>49.52</v>
      </c>
      <c r="H72" s="230"/>
      <c r="I72" s="231">
        <v>169134.48</v>
      </c>
      <c r="J72" s="224" t="s">
        <v>429</v>
      </c>
      <c r="K72" s="233">
        <v>2</v>
      </c>
    </row>
    <row r="73" spans="1:11" s="226" customFormat="1" ht="12.75" customHeight="1" x14ac:dyDescent="0.2">
      <c r="A73" s="226" t="s">
        <v>69</v>
      </c>
      <c r="B73" s="228">
        <v>46082</v>
      </c>
      <c r="C73" s="229" t="s">
        <v>535</v>
      </c>
      <c r="D73" s="229" t="s">
        <v>536</v>
      </c>
      <c r="E73" s="229" t="s">
        <v>94</v>
      </c>
      <c r="F73" s="229" t="s">
        <v>85</v>
      </c>
      <c r="G73" s="227">
        <v>1005</v>
      </c>
      <c r="H73" s="230"/>
      <c r="I73" s="231">
        <v>170139.48</v>
      </c>
      <c r="J73" s="224" t="s">
        <v>429</v>
      </c>
      <c r="K73" s="233">
        <v>2</v>
      </c>
    </row>
    <row r="74" spans="1:11" s="226" customFormat="1" ht="12.75" customHeight="1" x14ac:dyDescent="0.2">
      <c r="A74" s="226" t="s">
        <v>69</v>
      </c>
      <c r="B74" s="228">
        <v>46082</v>
      </c>
      <c r="C74" s="229" t="s">
        <v>535</v>
      </c>
      <c r="D74" s="229" t="s">
        <v>536</v>
      </c>
      <c r="E74" s="229" t="s">
        <v>94</v>
      </c>
      <c r="F74" s="229" t="s">
        <v>85</v>
      </c>
      <c r="G74" s="227">
        <v>49.52</v>
      </c>
      <c r="H74" s="230"/>
      <c r="I74" s="231">
        <v>170189</v>
      </c>
      <c r="J74" s="224" t="s">
        <v>429</v>
      </c>
      <c r="K74" s="233">
        <v>2</v>
      </c>
    </row>
    <row r="75" spans="1:11" s="226" customFormat="1" ht="12.75" customHeight="1" x14ac:dyDescent="0.2">
      <c r="A75" s="226" t="s">
        <v>69</v>
      </c>
      <c r="B75" s="228">
        <v>46082</v>
      </c>
      <c r="C75" s="229" t="s">
        <v>537</v>
      </c>
      <c r="D75" s="229" t="s">
        <v>538</v>
      </c>
      <c r="E75" s="229" t="s">
        <v>280</v>
      </c>
      <c r="F75" s="229" t="s">
        <v>85</v>
      </c>
      <c r="G75" s="227">
        <v>1005</v>
      </c>
      <c r="H75" s="230"/>
      <c r="I75" s="231">
        <v>171194</v>
      </c>
      <c r="J75" s="224" t="s">
        <v>429</v>
      </c>
      <c r="K75" s="233">
        <v>2</v>
      </c>
    </row>
    <row r="76" spans="1:11" s="226" customFormat="1" ht="12.75" customHeight="1" x14ac:dyDescent="0.2">
      <c r="A76" s="226" t="s">
        <v>69</v>
      </c>
      <c r="B76" s="228">
        <v>46082</v>
      </c>
      <c r="C76" s="229" t="s">
        <v>537</v>
      </c>
      <c r="D76" s="229" t="s">
        <v>538</v>
      </c>
      <c r="E76" s="229" t="s">
        <v>280</v>
      </c>
      <c r="F76" s="229" t="s">
        <v>85</v>
      </c>
      <c r="G76" s="227">
        <v>49.52</v>
      </c>
      <c r="H76" s="230"/>
      <c r="I76" s="231">
        <v>171243.51999999999</v>
      </c>
      <c r="J76" s="224" t="s">
        <v>429</v>
      </c>
      <c r="K76" s="233">
        <v>2</v>
      </c>
    </row>
    <row r="77" spans="1:11" s="226" customFormat="1" ht="12.75" customHeight="1" x14ac:dyDescent="0.2">
      <c r="A77" s="226" t="s">
        <v>69</v>
      </c>
      <c r="B77" s="228">
        <v>46082</v>
      </c>
      <c r="C77" s="229" t="s">
        <v>539</v>
      </c>
      <c r="D77" s="229" t="s">
        <v>540</v>
      </c>
      <c r="E77" s="229" t="s">
        <v>95</v>
      </c>
      <c r="F77" s="229" t="s">
        <v>85</v>
      </c>
      <c r="G77" s="227">
        <v>1005</v>
      </c>
      <c r="H77" s="230"/>
      <c r="I77" s="231">
        <v>172248.52</v>
      </c>
      <c r="J77" s="224" t="s">
        <v>429</v>
      </c>
      <c r="K77" s="233">
        <v>2</v>
      </c>
    </row>
    <row r="78" spans="1:11" s="226" customFormat="1" ht="12.75" customHeight="1" x14ac:dyDescent="0.2">
      <c r="A78" s="226" t="s">
        <v>69</v>
      </c>
      <c r="B78" s="228">
        <v>46082</v>
      </c>
      <c r="C78" s="229" t="s">
        <v>539</v>
      </c>
      <c r="D78" s="229" t="s">
        <v>540</v>
      </c>
      <c r="E78" s="229" t="s">
        <v>95</v>
      </c>
      <c r="F78" s="229" t="s">
        <v>85</v>
      </c>
      <c r="G78" s="227">
        <v>49.52</v>
      </c>
      <c r="H78" s="230"/>
      <c r="I78" s="231">
        <v>172298.04</v>
      </c>
      <c r="J78" s="224" t="s">
        <v>429</v>
      </c>
      <c r="K78" s="233">
        <v>2</v>
      </c>
    </row>
    <row r="79" spans="1:11" s="226" customFormat="1" ht="12.75" customHeight="1" x14ac:dyDescent="0.2">
      <c r="A79" s="226" t="s">
        <v>69</v>
      </c>
      <c r="B79" s="228">
        <v>46082</v>
      </c>
      <c r="C79" s="229" t="s">
        <v>541</v>
      </c>
      <c r="D79" s="229" t="s">
        <v>542</v>
      </c>
      <c r="E79" s="229" t="s">
        <v>96</v>
      </c>
      <c r="F79" s="229" t="s">
        <v>91</v>
      </c>
      <c r="G79" s="227">
        <v>49.52</v>
      </c>
      <c r="H79" s="230"/>
      <c r="I79" s="231">
        <v>172347.56</v>
      </c>
      <c r="J79" s="232" t="s">
        <v>426</v>
      </c>
      <c r="K79" s="233">
        <v>2</v>
      </c>
    </row>
    <row r="80" spans="1:11" s="226" customFormat="1" ht="12.75" customHeight="1" x14ac:dyDescent="0.2">
      <c r="A80" s="226" t="s">
        <v>69</v>
      </c>
      <c r="B80" s="228">
        <v>46082</v>
      </c>
      <c r="C80" s="229" t="s">
        <v>541</v>
      </c>
      <c r="D80" s="229" t="s">
        <v>542</v>
      </c>
      <c r="E80" s="229" t="s">
        <v>96</v>
      </c>
      <c r="F80" s="229" t="s">
        <v>91</v>
      </c>
      <c r="G80" s="227">
        <v>1005</v>
      </c>
      <c r="H80" s="230"/>
      <c r="I80" s="231">
        <v>173352.56</v>
      </c>
      <c r="J80" s="232" t="s">
        <v>426</v>
      </c>
      <c r="K80" s="233">
        <v>2</v>
      </c>
    </row>
    <row r="81" spans="1:11" s="226" customFormat="1" ht="12.75" customHeight="1" x14ac:dyDescent="0.2">
      <c r="A81" s="226" t="s">
        <v>69</v>
      </c>
      <c r="B81" s="228">
        <v>46082</v>
      </c>
      <c r="C81" s="229" t="s">
        <v>543</v>
      </c>
      <c r="D81" s="229" t="s">
        <v>544</v>
      </c>
      <c r="E81" s="229" t="s">
        <v>247</v>
      </c>
      <c r="F81" s="229" t="s">
        <v>91</v>
      </c>
      <c r="G81" s="227">
        <v>49.52</v>
      </c>
      <c r="H81" s="230"/>
      <c r="I81" s="231">
        <v>173402.08</v>
      </c>
      <c r="J81" s="232" t="s">
        <v>426</v>
      </c>
      <c r="K81" s="233">
        <v>2</v>
      </c>
    </row>
    <row r="82" spans="1:11" s="226" customFormat="1" ht="12.75" customHeight="1" x14ac:dyDescent="0.2">
      <c r="A82" s="226" t="s">
        <v>69</v>
      </c>
      <c r="B82" s="228">
        <v>46082</v>
      </c>
      <c r="C82" s="229" t="s">
        <v>543</v>
      </c>
      <c r="D82" s="229" t="s">
        <v>544</v>
      </c>
      <c r="E82" s="229" t="s">
        <v>247</v>
      </c>
      <c r="F82" s="229" t="s">
        <v>91</v>
      </c>
      <c r="G82" s="227">
        <v>1005</v>
      </c>
      <c r="H82" s="230"/>
      <c r="I82" s="231">
        <v>174407.08</v>
      </c>
      <c r="J82" s="232" t="s">
        <v>426</v>
      </c>
      <c r="K82" s="233">
        <v>2</v>
      </c>
    </row>
    <row r="83" spans="1:11" s="226" customFormat="1" ht="12.75" customHeight="1" x14ac:dyDescent="0.2">
      <c r="A83" s="226" t="s">
        <v>53</v>
      </c>
      <c r="B83" s="228">
        <v>46082</v>
      </c>
      <c r="C83" s="229" t="s">
        <v>545</v>
      </c>
      <c r="D83" s="229" t="s">
        <v>546</v>
      </c>
      <c r="E83" s="229" t="s">
        <v>270</v>
      </c>
      <c r="F83" s="229" t="s">
        <v>85</v>
      </c>
      <c r="G83" s="227">
        <v>745</v>
      </c>
      <c r="H83" s="230"/>
      <c r="I83" s="231">
        <v>175152.08</v>
      </c>
      <c r="J83" s="224" t="s">
        <v>429</v>
      </c>
      <c r="K83" s="233">
        <v>2</v>
      </c>
    </row>
    <row r="84" spans="1:11" s="226" customFormat="1" ht="12.75" customHeight="1" x14ac:dyDescent="0.2">
      <c r="A84" s="226" t="s">
        <v>53</v>
      </c>
      <c r="B84" s="228">
        <v>46082</v>
      </c>
      <c r="C84" s="229" t="s">
        <v>545</v>
      </c>
      <c r="D84" s="229" t="s">
        <v>546</v>
      </c>
      <c r="E84" s="229" t="s">
        <v>270</v>
      </c>
      <c r="F84" s="229" t="s">
        <v>85</v>
      </c>
      <c r="G84" s="227">
        <v>955</v>
      </c>
      <c r="H84" s="230"/>
      <c r="I84" s="231">
        <v>176107.08</v>
      </c>
      <c r="J84" s="224" t="s">
        <v>429</v>
      </c>
      <c r="K84" s="233">
        <v>2</v>
      </c>
    </row>
    <row r="85" spans="1:11" s="226" customFormat="1" ht="12.75" customHeight="1" x14ac:dyDescent="0.2">
      <c r="A85" s="226" t="s">
        <v>53</v>
      </c>
      <c r="B85" s="228">
        <v>46082</v>
      </c>
      <c r="C85" s="229" t="s">
        <v>547</v>
      </c>
      <c r="D85" s="229" t="s">
        <v>548</v>
      </c>
      <c r="E85" s="229" t="s">
        <v>88</v>
      </c>
      <c r="F85" s="229" t="s">
        <v>85</v>
      </c>
      <c r="G85" s="227">
        <v>1000</v>
      </c>
      <c r="H85" s="230"/>
      <c r="I85" s="231">
        <v>177107.08</v>
      </c>
      <c r="J85" s="224" t="s">
        <v>429</v>
      </c>
      <c r="K85" s="233">
        <v>2</v>
      </c>
    </row>
    <row r="86" spans="1:11" s="226" customFormat="1" ht="12.75" customHeight="1" x14ac:dyDescent="0.2">
      <c r="A86" s="226" t="s">
        <v>53</v>
      </c>
      <c r="B86" s="228">
        <v>46082</v>
      </c>
      <c r="C86" s="229" t="s">
        <v>547</v>
      </c>
      <c r="D86" s="229" t="s">
        <v>548</v>
      </c>
      <c r="E86" s="229" t="s">
        <v>88</v>
      </c>
      <c r="F86" s="229" t="s">
        <v>85</v>
      </c>
      <c r="G86" s="227">
        <v>48.96</v>
      </c>
      <c r="H86" s="230"/>
      <c r="I86" s="231">
        <v>177156.04</v>
      </c>
      <c r="J86" s="224" t="s">
        <v>429</v>
      </c>
      <c r="K86" s="233">
        <v>2</v>
      </c>
    </row>
    <row r="87" spans="1:11" s="226" customFormat="1" ht="12.75" customHeight="1" x14ac:dyDescent="0.2">
      <c r="A87" s="226" t="s">
        <v>53</v>
      </c>
      <c r="B87" s="228">
        <v>46082</v>
      </c>
      <c r="C87" s="229" t="s">
        <v>549</v>
      </c>
      <c r="D87" s="229" t="s">
        <v>550</v>
      </c>
      <c r="E87" s="229" t="s">
        <v>89</v>
      </c>
      <c r="F87" s="229" t="s">
        <v>85</v>
      </c>
      <c r="G87" s="227">
        <v>670</v>
      </c>
      <c r="H87" s="230"/>
      <c r="I87" s="231">
        <v>177826.04</v>
      </c>
      <c r="J87" s="224" t="s">
        <v>429</v>
      </c>
      <c r="K87" s="233">
        <v>2</v>
      </c>
    </row>
    <row r="88" spans="1:11" s="226" customFormat="1" ht="12.75" customHeight="1" x14ac:dyDescent="0.2">
      <c r="A88" s="226" t="s">
        <v>53</v>
      </c>
      <c r="B88" s="228">
        <v>46082</v>
      </c>
      <c r="C88" s="229" t="s">
        <v>549</v>
      </c>
      <c r="D88" s="229" t="s">
        <v>550</v>
      </c>
      <c r="E88" s="229" t="s">
        <v>89</v>
      </c>
      <c r="F88" s="229" t="s">
        <v>85</v>
      </c>
      <c r="G88" s="227">
        <v>1000</v>
      </c>
      <c r="H88" s="230"/>
      <c r="I88" s="231">
        <v>178826.04</v>
      </c>
      <c r="J88" s="224" t="s">
        <v>429</v>
      </c>
      <c r="K88" s="233">
        <v>2</v>
      </c>
    </row>
    <row r="89" spans="1:11" s="226" customFormat="1" ht="12.75" customHeight="1" x14ac:dyDescent="0.2">
      <c r="A89" s="226" t="s">
        <v>53</v>
      </c>
      <c r="B89" s="228">
        <v>46082</v>
      </c>
      <c r="C89" s="229" t="s">
        <v>549</v>
      </c>
      <c r="D89" s="229" t="s">
        <v>550</v>
      </c>
      <c r="E89" s="229" t="s">
        <v>89</v>
      </c>
      <c r="F89" s="229" t="s">
        <v>85</v>
      </c>
      <c r="G89" s="227">
        <v>48.96</v>
      </c>
      <c r="H89" s="230"/>
      <c r="I89" s="231">
        <v>178875</v>
      </c>
      <c r="J89" s="224" t="s">
        <v>429</v>
      </c>
      <c r="K89" s="233">
        <v>2</v>
      </c>
    </row>
    <row r="90" spans="1:11" s="226" customFormat="1" ht="12.75" customHeight="1" x14ac:dyDescent="0.2">
      <c r="A90" s="226" t="s">
        <v>53</v>
      </c>
      <c r="B90" s="228">
        <v>46082</v>
      </c>
      <c r="C90" s="229" t="s">
        <v>551</v>
      </c>
      <c r="D90" s="229" t="s">
        <v>552</v>
      </c>
      <c r="E90" s="229" t="s">
        <v>90</v>
      </c>
      <c r="F90" s="229" t="s">
        <v>91</v>
      </c>
      <c r="G90" s="227">
        <v>48.96</v>
      </c>
      <c r="H90" s="230"/>
      <c r="I90" s="231">
        <v>178923.96</v>
      </c>
      <c r="J90" s="232" t="s">
        <v>426</v>
      </c>
      <c r="K90" s="233">
        <v>2</v>
      </c>
    </row>
    <row r="91" spans="1:11" s="226" customFormat="1" ht="12.75" customHeight="1" x14ac:dyDescent="0.2">
      <c r="A91" s="226" t="s">
        <v>53</v>
      </c>
      <c r="B91" s="228">
        <v>46082</v>
      </c>
      <c r="C91" s="229" t="s">
        <v>551</v>
      </c>
      <c r="D91" s="229" t="s">
        <v>552</v>
      </c>
      <c r="E91" s="229" t="s">
        <v>90</v>
      </c>
      <c r="F91" s="229" t="s">
        <v>91</v>
      </c>
      <c r="G91" s="227">
        <v>1000</v>
      </c>
      <c r="H91" s="230"/>
      <c r="I91" s="231">
        <v>179923.96</v>
      </c>
      <c r="J91" s="232" t="s">
        <v>426</v>
      </c>
      <c r="K91" s="233">
        <v>2</v>
      </c>
    </row>
    <row r="92" spans="1:11" s="226" customFormat="1" ht="12.75" customHeight="1" x14ac:dyDescent="0.2">
      <c r="A92" s="226" t="s">
        <v>53</v>
      </c>
      <c r="B92" s="228">
        <v>46082</v>
      </c>
      <c r="C92" s="229" t="s">
        <v>553</v>
      </c>
      <c r="D92" s="229" t="s">
        <v>554</v>
      </c>
      <c r="E92" s="229" t="s">
        <v>262</v>
      </c>
      <c r="F92" s="229" t="s">
        <v>959</v>
      </c>
      <c r="G92" s="227">
        <v>48.96</v>
      </c>
      <c r="H92" s="230"/>
      <c r="I92" s="231">
        <v>179972.92</v>
      </c>
      <c r="J92" s="232" t="s">
        <v>426</v>
      </c>
      <c r="K92" s="233">
        <v>2</v>
      </c>
    </row>
    <row r="93" spans="1:11" s="226" customFormat="1" ht="12.75" customHeight="1" x14ac:dyDescent="0.2">
      <c r="A93" s="226" t="s">
        <v>53</v>
      </c>
      <c r="B93" s="228">
        <v>46082</v>
      </c>
      <c r="C93" s="229" t="s">
        <v>553</v>
      </c>
      <c r="D93" s="229" t="s">
        <v>554</v>
      </c>
      <c r="E93" s="229" t="s">
        <v>262</v>
      </c>
      <c r="F93" s="229" t="s">
        <v>959</v>
      </c>
      <c r="G93" s="227">
        <v>1000</v>
      </c>
      <c r="H93" s="230"/>
      <c r="I93" s="231">
        <v>180972.92</v>
      </c>
      <c r="J93" s="232" t="s">
        <v>426</v>
      </c>
      <c r="K93" s="233">
        <v>2</v>
      </c>
    </row>
    <row r="94" spans="1:11" s="226" customFormat="1" ht="12.75" customHeight="1" x14ac:dyDescent="0.2">
      <c r="A94" s="226" t="s">
        <v>69</v>
      </c>
      <c r="B94" s="228">
        <v>46082</v>
      </c>
      <c r="C94" s="229" t="s">
        <v>555</v>
      </c>
      <c r="D94" s="229" t="s">
        <v>556</v>
      </c>
      <c r="E94" s="229" t="s">
        <v>80</v>
      </c>
      <c r="F94" s="229" t="s">
        <v>17</v>
      </c>
      <c r="G94" s="227">
        <v>49.52</v>
      </c>
      <c r="H94" s="230"/>
      <c r="I94" s="231">
        <v>181022.44</v>
      </c>
      <c r="J94" s="232" t="s">
        <v>426</v>
      </c>
      <c r="K94" s="233">
        <v>2</v>
      </c>
    </row>
    <row r="95" spans="1:11" s="226" customFormat="1" ht="12.75" customHeight="1" x14ac:dyDescent="0.2">
      <c r="A95" s="226" t="s">
        <v>69</v>
      </c>
      <c r="B95" s="228">
        <v>46082</v>
      </c>
      <c r="C95" s="229" t="s">
        <v>555</v>
      </c>
      <c r="D95" s="229" t="s">
        <v>556</v>
      </c>
      <c r="E95" s="229" t="s">
        <v>80</v>
      </c>
      <c r="F95" s="229" t="s">
        <v>17</v>
      </c>
      <c r="G95" s="227">
        <v>1005</v>
      </c>
      <c r="H95" s="230"/>
      <c r="I95" s="231">
        <v>182027.44</v>
      </c>
      <c r="J95" s="232" t="s">
        <v>426</v>
      </c>
      <c r="K95" s="233">
        <v>2</v>
      </c>
    </row>
    <row r="96" spans="1:11" s="226" customFormat="1" ht="12.75" customHeight="1" x14ac:dyDescent="0.2">
      <c r="A96" s="226" t="s">
        <v>53</v>
      </c>
      <c r="B96" s="228">
        <v>46082</v>
      </c>
      <c r="C96" s="229" t="s">
        <v>557</v>
      </c>
      <c r="D96" s="229" t="s">
        <v>558</v>
      </c>
      <c r="E96" s="229" t="s">
        <v>54</v>
      </c>
      <c r="F96" s="229" t="s">
        <v>17</v>
      </c>
      <c r="G96" s="227">
        <v>48.96</v>
      </c>
      <c r="H96" s="230"/>
      <c r="I96" s="231">
        <v>182076.4</v>
      </c>
      <c r="J96" s="232" t="s">
        <v>426</v>
      </c>
      <c r="K96" s="233">
        <v>2</v>
      </c>
    </row>
    <row r="97" spans="1:11" s="226" customFormat="1" ht="12.75" customHeight="1" x14ac:dyDescent="0.2">
      <c r="A97" s="226" t="s">
        <v>53</v>
      </c>
      <c r="B97" s="228">
        <v>46082</v>
      </c>
      <c r="C97" s="229" t="s">
        <v>557</v>
      </c>
      <c r="D97" s="229" t="s">
        <v>558</v>
      </c>
      <c r="E97" s="229" t="s">
        <v>54</v>
      </c>
      <c r="F97" s="229" t="s">
        <v>17</v>
      </c>
      <c r="G97" s="227">
        <v>1040</v>
      </c>
      <c r="H97" s="230"/>
      <c r="I97" s="231">
        <v>183116.4</v>
      </c>
      <c r="J97" s="232" t="s">
        <v>426</v>
      </c>
      <c r="K97" s="233">
        <v>2</v>
      </c>
    </row>
    <row r="98" spans="1:11" s="226" customFormat="1" ht="12.75" customHeight="1" x14ac:dyDescent="0.2">
      <c r="A98" s="226" t="s">
        <v>53</v>
      </c>
      <c r="B98" s="228">
        <v>46082</v>
      </c>
      <c r="C98" s="229" t="s">
        <v>559</v>
      </c>
      <c r="D98" s="229" t="s">
        <v>560</v>
      </c>
      <c r="E98" s="229" t="s">
        <v>56</v>
      </c>
      <c r="F98" s="229" t="s">
        <v>17</v>
      </c>
      <c r="G98" s="227">
        <v>48.96</v>
      </c>
      <c r="H98" s="230"/>
      <c r="I98" s="231">
        <v>183165.36</v>
      </c>
      <c r="J98" s="232" t="s">
        <v>426</v>
      </c>
      <c r="K98" s="233">
        <v>2</v>
      </c>
    </row>
    <row r="99" spans="1:11" s="226" customFormat="1" ht="12.75" customHeight="1" x14ac:dyDescent="0.2">
      <c r="A99" s="226" t="s">
        <v>53</v>
      </c>
      <c r="B99" s="228">
        <v>46082</v>
      </c>
      <c r="C99" s="229" t="s">
        <v>559</v>
      </c>
      <c r="D99" s="229" t="s">
        <v>560</v>
      </c>
      <c r="E99" s="229" t="s">
        <v>56</v>
      </c>
      <c r="F99" s="229" t="s">
        <v>17</v>
      </c>
      <c r="G99" s="227">
        <v>1000</v>
      </c>
      <c r="H99" s="230"/>
      <c r="I99" s="231">
        <v>184165.36</v>
      </c>
      <c r="J99" s="232" t="s">
        <v>426</v>
      </c>
      <c r="K99" s="233">
        <v>2</v>
      </c>
    </row>
    <row r="100" spans="1:11" s="226" customFormat="1" ht="12.75" customHeight="1" x14ac:dyDescent="0.2">
      <c r="A100" s="226" t="s">
        <v>53</v>
      </c>
      <c r="B100" s="228">
        <v>46082</v>
      </c>
      <c r="C100" s="229" t="s">
        <v>561</v>
      </c>
      <c r="D100" s="229" t="s">
        <v>55</v>
      </c>
      <c r="E100" s="229" t="s">
        <v>106</v>
      </c>
      <c r="F100" s="229" t="s">
        <v>19</v>
      </c>
      <c r="G100" s="227">
        <v>1000</v>
      </c>
      <c r="H100" s="230"/>
      <c r="I100" s="231">
        <v>185165.36</v>
      </c>
      <c r="J100" s="224" t="s">
        <v>429</v>
      </c>
      <c r="K100" s="233">
        <v>2</v>
      </c>
    </row>
    <row r="101" spans="1:11" s="226" customFormat="1" ht="12.75" customHeight="1" x14ac:dyDescent="0.2">
      <c r="A101" s="226" t="s">
        <v>53</v>
      </c>
      <c r="B101" s="228">
        <v>46082</v>
      </c>
      <c r="C101" s="229" t="s">
        <v>561</v>
      </c>
      <c r="D101" s="229" t="s">
        <v>55</v>
      </c>
      <c r="E101" s="229" t="s">
        <v>106</v>
      </c>
      <c r="F101" s="229" t="s">
        <v>19</v>
      </c>
      <c r="G101" s="227">
        <v>48.96</v>
      </c>
      <c r="H101" s="230"/>
      <c r="I101" s="231">
        <v>185214.32</v>
      </c>
      <c r="J101" s="224" t="s">
        <v>429</v>
      </c>
      <c r="K101" s="233">
        <v>2</v>
      </c>
    </row>
    <row r="102" spans="1:11" s="226" customFormat="1" ht="12.75" customHeight="1" x14ac:dyDescent="0.2">
      <c r="A102" s="226" t="s">
        <v>53</v>
      </c>
      <c r="B102" s="228">
        <v>46082</v>
      </c>
      <c r="C102" s="229" t="s">
        <v>562</v>
      </c>
      <c r="D102" s="229" t="s">
        <v>55</v>
      </c>
      <c r="E102" s="229" t="s">
        <v>98</v>
      </c>
      <c r="F102" s="229" t="s">
        <v>19</v>
      </c>
      <c r="G102" s="227">
        <v>1000</v>
      </c>
      <c r="H102" s="230"/>
      <c r="I102" s="231">
        <v>186214.32</v>
      </c>
      <c r="J102" s="224" t="s">
        <v>429</v>
      </c>
      <c r="K102" s="233">
        <v>2</v>
      </c>
    </row>
    <row r="103" spans="1:11" s="226" customFormat="1" ht="12.75" customHeight="1" x14ac:dyDescent="0.2">
      <c r="A103" s="226" t="s">
        <v>53</v>
      </c>
      <c r="B103" s="228">
        <v>46082</v>
      </c>
      <c r="C103" s="229" t="s">
        <v>562</v>
      </c>
      <c r="D103" s="229" t="s">
        <v>55</v>
      </c>
      <c r="E103" s="229" t="s">
        <v>98</v>
      </c>
      <c r="F103" s="229" t="s">
        <v>19</v>
      </c>
      <c r="G103" s="227">
        <v>48.96</v>
      </c>
      <c r="H103" s="230"/>
      <c r="I103" s="231">
        <v>186263.28</v>
      </c>
      <c r="J103" s="224" t="s">
        <v>429</v>
      </c>
      <c r="K103" s="233">
        <v>2</v>
      </c>
    </row>
    <row r="104" spans="1:11" s="226" customFormat="1" ht="12.75" customHeight="1" x14ac:dyDescent="0.2">
      <c r="A104" s="226" t="s">
        <v>53</v>
      </c>
      <c r="B104" s="228">
        <v>46082</v>
      </c>
      <c r="C104" s="229" t="s">
        <v>563</v>
      </c>
      <c r="D104" s="229" t="s">
        <v>55</v>
      </c>
      <c r="E104" s="229" t="s">
        <v>111</v>
      </c>
      <c r="F104" s="229" t="s">
        <v>22</v>
      </c>
      <c r="G104" s="227">
        <v>1000</v>
      </c>
      <c r="H104" s="230"/>
      <c r="I104" s="231">
        <v>187263.28</v>
      </c>
      <c r="J104" s="224" t="s">
        <v>429</v>
      </c>
      <c r="K104" s="233">
        <v>2</v>
      </c>
    </row>
    <row r="105" spans="1:11" s="226" customFormat="1" ht="12.75" customHeight="1" x14ac:dyDescent="0.2">
      <c r="A105" s="226" t="s">
        <v>53</v>
      </c>
      <c r="B105" s="228">
        <v>46082</v>
      </c>
      <c r="C105" s="229" t="s">
        <v>563</v>
      </c>
      <c r="D105" s="229" t="s">
        <v>55</v>
      </c>
      <c r="E105" s="229" t="s">
        <v>111</v>
      </c>
      <c r="F105" s="229" t="s">
        <v>22</v>
      </c>
      <c r="G105" s="227">
        <v>48.96</v>
      </c>
      <c r="H105" s="230"/>
      <c r="I105" s="231">
        <v>187312.24</v>
      </c>
      <c r="J105" s="224" t="s">
        <v>429</v>
      </c>
      <c r="K105" s="233">
        <v>2</v>
      </c>
    </row>
    <row r="106" spans="1:11" s="226" customFormat="1" ht="12.75" customHeight="1" x14ac:dyDescent="0.2">
      <c r="A106" s="226" t="s">
        <v>69</v>
      </c>
      <c r="B106" s="228">
        <v>46082</v>
      </c>
      <c r="C106" s="229" t="s">
        <v>564</v>
      </c>
      <c r="D106" s="229" t="s">
        <v>55</v>
      </c>
      <c r="E106" s="229" t="s">
        <v>97</v>
      </c>
      <c r="F106" s="229" t="s">
        <v>57</v>
      </c>
      <c r="G106" s="227">
        <v>1005</v>
      </c>
      <c r="H106" s="230"/>
      <c r="I106" s="231">
        <v>188317.24</v>
      </c>
      <c r="J106" s="224" t="s">
        <v>429</v>
      </c>
      <c r="K106" s="233">
        <v>2</v>
      </c>
    </row>
    <row r="107" spans="1:11" s="226" customFormat="1" ht="12.75" customHeight="1" x14ac:dyDescent="0.2">
      <c r="A107" s="226" t="s">
        <v>69</v>
      </c>
      <c r="B107" s="228">
        <v>46082</v>
      </c>
      <c r="C107" s="229" t="s">
        <v>564</v>
      </c>
      <c r="D107" s="229" t="s">
        <v>55</v>
      </c>
      <c r="E107" s="229" t="s">
        <v>97</v>
      </c>
      <c r="F107" s="229" t="s">
        <v>57</v>
      </c>
      <c r="G107" s="227">
        <v>49.52</v>
      </c>
      <c r="H107" s="230"/>
      <c r="I107" s="231">
        <v>188366.76</v>
      </c>
      <c r="J107" s="224" t="s">
        <v>429</v>
      </c>
      <c r="K107" s="233">
        <v>2</v>
      </c>
    </row>
    <row r="108" spans="1:11" s="226" customFormat="1" ht="12.75" customHeight="1" x14ac:dyDescent="0.2">
      <c r="A108" s="226" t="s">
        <v>53</v>
      </c>
      <c r="B108" s="228">
        <v>46082</v>
      </c>
      <c r="C108" s="229" t="s">
        <v>565</v>
      </c>
      <c r="D108" s="229" t="s">
        <v>55</v>
      </c>
      <c r="E108" s="229" t="s">
        <v>79</v>
      </c>
      <c r="F108" s="229" t="s">
        <v>22</v>
      </c>
      <c r="G108" s="227">
        <v>1000</v>
      </c>
      <c r="H108" s="230"/>
      <c r="I108" s="231">
        <v>189366.76</v>
      </c>
      <c r="J108" s="224" t="s">
        <v>429</v>
      </c>
      <c r="K108" s="233">
        <v>2</v>
      </c>
    </row>
    <row r="109" spans="1:11" s="226" customFormat="1" ht="12.75" customHeight="1" x14ac:dyDescent="0.2">
      <c r="A109" s="226" t="s">
        <v>53</v>
      </c>
      <c r="B109" s="228">
        <v>46082</v>
      </c>
      <c r="C109" s="229" t="s">
        <v>565</v>
      </c>
      <c r="D109" s="229" t="s">
        <v>55</v>
      </c>
      <c r="E109" s="229" t="s">
        <v>79</v>
      </c>
      <c r="F109" s="229" t="s">
        <v>22</v>
      </c>
      <c r="G109" s="227">
        <v>48.96</v>
      </c>
      <c r="H109" s="230"/>
      <c r="I109" s="231">
        <v>189415.72</v>
      </c>
      <c r="J109" s="224" t="s">
        <v>429</v>
      </c>
      <c r="K109" s="233">
        <v>2</v>
      </c>
    </row>
    <row r="110" spans="1:11" s="226" customFormat="1" ht="12.75" customHeight="1" x14ac:dyDescent="0.2">
      <c r="A110" s="226" t="s">
        <v>53</v>
      </c>
      <c r="B110" s="228">
        <v>46082</v>
      </c>
      <c r="C110" s="229" t="s">
        <v>566</v>
      </c>
      <c r="D110" s="229" t="s">
        <v>55</v>
      </c>
      <c r="E110" s="229" t="s">
        <v>249</v>
      </c>
      <c r="F110" s="229" t="s">
        <v>19</v>
      </c>
      <c r="G110" s="227">
        <v>1040</v>
      </c>
      <c r="H110" s="230"/>
      <c r="I110" s="231">
        <v>190455.72</v>
      </c>
      <c r="J110" s="224" t="s">
        <v>429</v>
      </c>
      <c r="K110" s="233">
        <v>2</v>
      </c>
    </row>
    <row r="111" spans="1:11" s="226" customFormat="1" ht="12.75" customHeight="1" x14ac:dyDescent="0.2">
      <c r="A111" s="226" t="s">
        <v>53</v>
      </c>
      <c r="B111" s="228">
        <v>46082</v>
      </c>
      <c r="C111" s="229" t="s">
        <v>566</v>
      </c>
      <c r="D111" s="229" t="s">
        <v>55</v>
      </c>
      <c r="E111" s="229" t="s">
        <v>249</v>
      </c>
      <c r="F111" s="229" t="s">
        <v>19</v>
      </c>
      <c r="G111" s="227">
        <v>48.96</v>
      </c>
      <c r="H111" s="230"/>
      <c r="I111" s="231">
        <v>190504.68</v>
      </c>
      <c r="J111" s="224" t="s">
        <v>429</v>
      </c>
      <c r="K111" s="233">
        <v>2</v>
      </c>
    </row>
    <row r="112" spans="1:11" s="226" customFormat="1" ht="12.75" customHeight="1" x14ac:dyDescent="0.2">
      <c r="A112" s="226" t="s">
        <v>69</v>
      </c>
      <c r="B112" s="228">
        <v>46082</v>
      </c>
      <c r="C112" s="229" t="s">
        <v>567</v>
      </c>
      <c r="D112" s="229" t="s">
        <v>568</v>
      </c>
      <c r="E112" s="229" t="s">
        <v>167</v>
      </c>
      <c r="F112" s="229" t="s">
        <v>130</v>
      </c>
      <c r="G112" s="227">
        <v>49.52</v>
      </c>
      <c r="H112" s="230"/>
      <c r="I112" s="231">
        <v>190554.2</v>
      </c>
      <c r="J112" s="232" t="s">
        <v>426</v>
      </c>
      <c r="K112" s="233">
        <v>2</v>
      </c>
    </row>
    <row r="113" spans="1:11" s="226" customFormat="1" ht="12.75" customHeight="1" x14ac:dyDescent="0.2">
      <c r="A113" s="226" t="s">
        <v>69</v>
      </c>
      <c r="B113" s="228">
        <v>46082</v>
      </c>
      <c r="C113" s="229" t="s">
        <v>567</v>
      </c>
      <c r="D113" s="229" t="s">
        <v>568</v>
      </c>
      <c r="E113" s="229" t="s">
        <v>167</v>
      </c>
      <c r="F113" s="229" t="s">
        <v>130</v>
      </c>
      <c r="G113" s="227">
        <v>1005</v>
      </c>
      <c r="H113" s="230"/>
      <c r="I113" s="231">
        <v>191559.2</v>
      </c>
      <c r="J113" s="232" t="s">
        <v>426</v>
      </c>
      <c r="K113" s="233">
        <v>2</v>
      </c>
    </row>
    <row r="114" spans="1:11" s="226" customFormat="1" ht="12.75" customHeight="1" x14ac:dyDescent="0.2">
      <c r="A114" s="226" t="s">
        <v>53</v>
      </c>
      <c r="B114" s="228">
        <v>46082</v>
      </c>
      <c r="C114" s="229" t="s">
        <v>569</v>
      </c>
      <c r="D114" s="229" t="s">
        <v>55</v>
      </c>
      <c r="E114" s="229" t="s">
        <v>74</v>
      </c>
      <c r="F114" s="229" t="s">
        <v>57</v>
      </c>
      <c r="G114" s="227">
        <v>1000</v>
      </c>
      <c r="H114" s="230"/>
      <c r="I114" s="231">
        <v>192559.2</v>
      </c>
      <c r="J114" s="224" t="s">
        <v>429</v>
      </c>
      <c r="K114" s="233">
        <v>2</v>
      </c>
    </row>
    <row r="115" spans="1:11" s="226" customFormat="1" ht="12.75" customHeight="1" x14ac:dyDescent="0.2">
      <c r="A115" s="226" t="s">
        <v>53</v>
      </c>
      <c r="B115" s="228">
        <v>46082</v>
      </c>
      <c r="C115" s="229" t="s">
        <v>569</v>
      </c>
      <c r="D115" s="229" t="s">
        <v>55</v>
      </c>
      <c r="E115" s="229" t="s">
        <v>74</v>
      </c>
      <c r="F115" s="229" t="s">
        <v>57</v>
      </c>
      <c r="G115" s="227">
        <v>48.96</v>
      </c>
      <c r="H115" s="230"/>
      <c r="I115" s="231">
        <v>192608.16</v>
      </c>
      <c r="J115" s="224" t="s">
        <v>429</v>
      </c>
      <c r="K115" s="233">
        <v>2</v>
      </c>
    </row>
    <row r="116" spans="1:11" s="226" customFormat="1" ht="12.75" customHeight="1" x14ac:dyDescent="0.2">
      <c r="A116" s="226" t="s">
        <v>53</v>
      </c>
      <c r="B116" s="228">
        <v>46082</v>
      </c>
      <c r="C116" s="229" t="s">
        <v>570</v>
      </c>
      <c r="D116" s="229" t="s">
        <v>571</v>
      </c>
      <c r="E116" s="229" t="s">
        <v>83</v>
      </c>
      <c r="F116" s="229" t="s">
        <v>17</v>
      </c>
      <c r="G116" s="227">
        <v>48.96</v>
      </c>
      <c r="H116" s="230"/>
      <c r="I116" s="231">
        <v>192657.12</v>
      </c>
      <c r="J116" s="232" t="s">
        <v>426</v>
      </c>
      <c r="K116" s="233">
        <v>2</v>
      </c>
    </row>
    <row r="117" spans="1:11" s="226" customFormat="1" ht="12.75" customHeight="1" x14ac:dyDescent="0.2">
      <c r="A117" s="226" t="s">
        <v>53</v>
      </c>
      <c r="B117" s="228">
        <v>46082</v>
      </c>
      <c r="C117" s="229" t="s">
        <v>570</v>
      </c>
      <c r="D117" s="229" t="s">
        <v>571</v>
      </c>
      <c r="E117" s="229" t="s">
        <v>83</v>
      </c>
      <c r="F117" s="229" t="s">
        <v>17</v>
      </c>
      <c r="G117" s="227">
        <v>1000</v>
      </c>
      <c r="H117" s="230"/>
      <c r="I117" s="231">
        <v>193657.12</v>
      </c>
      <c r="J117" s="232" t="s">
        <v>426</v>
      </c>
      <c r="K117" s="233">
        <v>2</v>
      </c>
    </row>
    <row r="118" spans="1:11" s="226" customFormat="1" ht="12.75" customHeight="1" x14ac:dyDescent="0.2">
      <c r="A118" s="226" t="s">
        <v>53</v>
      </c>
      <c r="B118" s="228">
        <v>46082</v>
      </c>
      <c r="C118" s="229" t="s">
        <v>572</v>
      </c>
      <c r="D118" s="229" t="s">
        <v>573</v>
      </c>
      <c r="E118" s="229" t="s">
        <v>113</v>
      </c>
      <c r="F118" s="229" t="s">
        <v>17</v>
      </c>
      <c r="G118" s="227">
        <v>48.96</v>
      </c>
      <c r="H118" s="230"/>
      <c r="I118" s="231">
        <v>193706.08</v>
      </c>
      <c r="J118" s="232" t="s">
        <v>426</v>
      </c>
      <c r="K118" s="233">
        <v>2</v>
      </c>
    </row>
    <row r="119" spans="1:11" s="226" customFormat="1" ht="12.75" customHeight="1" x14ac:dyDescent="0.2">
      <c r="A119" s="226" t="s">
        <v>53</v>
      </c>
      <c r="B119" s="228">
        <v>46082</v>
      </c>
      <c r="C119" s="229" t="s">
        <v>572</v>
      </c>
      <c r="D119" s="229" t="s">
        <v>573</v>
      </c>
      <c r="E119" s="229" t="s">
        <v>113</v>
      </c>
      <c r="F119" s="229" t="s">
        <v>17</v>
      </c>
      <c r="G119" s="227">
        <v>1000</v>
      </c>
      <c r="H119" s="230"/>
      <c r="I119" s="231">
        <v>194706.08</v>
      </c>
      <c r="J119" s="232" t="s">
        <v>426</v>
      </c>
      <c r="K119" s="233">
        <v>2</v>
      </c>
    </row>
    <row r="120" spans="1:11" s="226" customFormat="1" ht="12.75" customHeight="1" x14ac:dyDescent="0.2">
      <c r="A120" s="226" t="s">
        <v>69</v>
      </c>
      <c r="B120" s="228">
        <v>46082</v>
      </c>
      <c r="C120" s="229" t="s">
        <v>574</v>
      </c>
      <c r="D120" s="229" t="s">
        <v>55</v>
      </c>
      <c r="E120" s="229" t="s">
        <v>171</v>
      </c>
      <c r="F120" s="229" t="s">
        <v>22</v>
      </c>
      <c r="G120" s="227">
        <v>1005</v>
      </c>
      <c r="H120" s="230"/>
      <c r="I120" s="231">
        <v>195711.08</v>
      </c>
      <c r="J120" s="224" t="s">
        <v>429</v>
      </c>
      <c r="K120" s="233">
        <v>2</v>
      </c>
    </row>
    <row r="121" spans="1:11" s="226" customFormat="1" ht="12.75" customHeight="1" x14ac:dyDescent="0.2">
      <c r="A121" s="226" t="s">
        <v>69</v>
      </c>
      <c r="B121" s="228">
        <v>46082</v>
      </c>
      <c r="C121" s="229" t="s">
        <v>574</v>
      </c>
      <c r="D121" s="229" t="s">
        <v>55</v>
      </c>
      <c r="E121" s="229" t="s">
        <v>171</v>
      </c>
      <c r="F121" s="229" t="s">
        <v>22</v>
      </c>
      <c r="G121" s="227">
        <v>49.52</v>
      </c>
      <c r="H121" s="230"/>
      <c r="I121" s="231">
        <v>195760.6</v>
      </c>
      <c r="J121" s="224" t="s">
        <v>429</v>
      </c>
      <c r="K121" s="233">
        <v>2</v>
      </c>
    </row>
    <row r="122" spans="1:11" s="226" customFormat="1" ht="12.75" customHeight="1" x14ac:dyDescent="0.2">
      <c r="A122" s="226" t="s">
        <v>53</v>
      </c>
      <c r="B122" s="228">
        <v>46082</v>
      </c>
      <c r="C122" s="229" t="s">
        <v>575</v>
      </c>
      <c r="D122" s="229" t="s">
        <v>576</v>
      </c>
      <c r="E122" s="229" t="s">
        <v>66</v>
      </c>
      <c r="F122" s="229" t="s">
        <v>17</v>
      </c>
      <c r="G122" s="227">
        <v>48.96</v>
      </c>
      <c r="H122" s="230"/>
      <c r="I122" s="231">
        <v>195809.56</v>
      </c>
      <c r="J122" s="232" t="s">
        <v>425</v>
      </c>
      <c r="K122" s="233">
        <v>2</v>
      </c>
    </row>
    <row r="123" spans="1:11" s="226" customFormat="1" ht="12.75" customHeight="1" x14ac:dyDescent="0.2">
      <c r="A123" s="226" t="s">
        <v>53</v>
      </c>
      <c r="B123" s="228">
        <v>46082</v>
      </c>
      <c r="C123" s="229" t="s">
        <v>575</v>
      </c>
      <c r="D123" s="229" t="s">
        <v>576</v>
      </c>
      <c r="E123" s="229" t="s">
        <v>66</v>
      </c>
      <c r="F123" s="229" t="s">
        <v>17</v>
      </c>
      <c r="G123" s="227">
        <v>1000</v>
      </c>
      <c r="H123" s="230"/>
      <c r="I123" s="231">
        <v>196809.56</v>
      </c>
      <c r="J123" s="232" t="s">
        <v>425</v>
      </c>
      <c r="K123" s="233">
        <v>2</v>
      </c>
    </row>
    <row r="124" spans="1:11" s="226" customFormat="1" ht="12.75" customHeight="1" x14ac:dyDescent="0.2">
      <c r="A124" s="226" t="s">
        <v>69</v>
      </c>
      <c r="B124" s="228">
        <v>46082</v>
      </c>
      <c r="C124" s="229" t="s">
        <v>577</v>
      </c>
      <c r="D124" s="229" t="s">
        <v>55</v>
      </c>
      <c r="E124" s="229" t="s">
        <v>100</v>
      </c>
      <c r="F124" s="229" t="s">
        <v>19</v>
      </c>
      <c r="G124" s="235">
        <v>1005</v>
      </c>
      <c r="H124" s="230"/>
      <c r="I124" s="231">
        <v>197814.56</v>
      </c>
      <c r="J124" s="232" t="s">
        <v>426</v>
      </c>
      <c r="K124" s="233">
        <v>2</v>
      </c>
    </row>
    <row r="125" spans="1:11" s="226" customFormat="1" ht="12.75" customHeight="1" x14ac:dyDescent="0.2">
      <c r="A125" s="226" t="s">
        <v>69</v>
      </c>
      <c r="B125" s="228">
        <v>46082</v>
      </c>
      <c r="C125" s="229" t="s">
        <v>577</v>
      </c>
      <c r="D125" s="229" t="s">
        <v>55</v>
      </c>
      <c r="E125" s="229" t="s">
        <v>100</v>
      </c>
      <c r="F125" s="229" t="s">
        <v>19</v>
      </c>
      <c r="G125" s="235">
        <v>49.52</v>
      </c>
      <c r="H125" s="230"/>
      <c r="I125" s="231">
        <v>197864.08</v>
      </c>
      <c r="J125" s="232" t="s">
        <v>426</v>
      </c>
      <c r="K125" s="233">
        <v>2</v>
      </c>
    </row>
    <row r="126" spans="1:11" s="226" customFormat="1" ht="12.75" customHeight="1" x14ac:dyDescent="0.2">
      <c r="A126" s="226" t="s">
        <v>53</v>
      </c>
      <c r="B126" s="228">
        <v>46082</v>
      </c>
      <c r="C126" s="229" t="s">
        <v>578</v>
      </c>
      <c r="D126" s="229" t="s">
        <v>134</v>
      </c>
      <c r="E126" s="229" t="s">
        <v>64</v>
      </c>
      <c r="F126" s="229" t="s">
        <v>960</v>
      </c>
      <c r="G126" s="235">
        <v>99.04</v>
      </c>
      <c r="H126" s="230"/>
      <c r="I126" s="231">
        <v>197963.12</v>
      </c>
      <c r="J126" s="232" t="s">
        <v>426</v>
      </c>
      <c r="K126" s="233">
        <v>2</v>
      </c>
    </row>
    <row r="127" spans="1:11" s="226" customFormat="1" ht="12.75" customHeight="1" x14ac:dyDescent="0.2">
      <c r="A127" s="226" t="s">
        <v>53</v>
      </c>
      <c r="B127" s="228">
        <v>46082</v>
      </c>
      <c r="C127" s="229" t="s">
        <v>578</v>
      </c>
      <c r="D127" s="229" t="s">
        <v>134</v>
      </c>
      <c r="E127" s="229" t="s">
        <v>64</v>
      </c>
      <c r="F127" s="229" t="s">
        <v>960</v>
      </c>
      <c r="G127" s="235">
        <v>1000</v>
      </c>
      <c r="H127" s="230"/>
      <c r="I127" s="231">
        <v>198963.12</v>
      </c>
      <c r="J127" s="232" t="s">
        <v>426</v>
      </c>
      <c r="K127" s="233">
        <v>2</v>
      </c>
    </row>
    <row r="128" spans="1:11" s="226" customFormat="1" ht="12.75" customHeight="1" x14ac:dyDescent="0.2">
      <c r="A128" s="226" t="s">
        <v>53</v>
      </c>
      <c r="B128" s="228">
        <v>46082</v>
      </c>
      <c r="C128" s="229" t="s">
        <v>578</v>
      </c>
      <c r="D128" s="229" t="s">
        <v>134</v>
      </c>
      <c r="E128" s="229" t="s">
        <v>64</v>
      </c>
      <c r="F128" s="229" t="s">
        <v>960</v>
      </c>
      <c r="G128" s="235">
        <v>48.96</v>
      </c>
      <c r="H128" s="230"/>
      <c r="I128" s="231">
        <v>199012.08</v>
      </c>
      <c r="J128" s="232" t="s">
        <v>426</v>
      </c>
      <c r="K128" s="233">
        <v>2</v>
      </c>
    </row>
    <row r="129" spans="1:11" s="226" customFormat="1" ht="12.75" customHeight="1" x14ac:dyDescent="0.2">
      <c r="A129" s="226" t="s">
        <v>53</v>
      </c>
      <c r="B129" s="228">
        <v>46082</v>
      </c>
      <c r="C129" s="229" t="s">
        <v>579</v>
      </c>
      <c r="D129" s="229" t="s">
        <v>580</v>
      </c>
      <c r="E129" s="229" t="s">
        <v>174</v>
      </c>
      <c r="F129" s="229" t="s">
        <v>17</v>
      </c>
      <c r="G129" s="227">
        <v>48.96</v>
      </c>
      <c r="H129" s="230"/>
      <c r="I129" s="231">
        <v>199061.04</v>
      </c>
      <c r="J129" s="232" t="s">
        <v>425</v>
      </c>
      <c r="K129" s="233">
        <v>2</v>
      </c>
    </row>
    <row r="130" spans="1:11" s="226" customFormat="1" ht="12.75" customHeight="1" x14ac:dyDescent="0.2">
      <c r="A130" s="226" t="s">
        <v>53</v>
      </c>
      <c r="B130" s="228">
        <v>46082</v>
      </c>
      <c r="C130" s="229" t="s">
        <v>579</v>
      </c>
      <c r="D130" s="229" t="s">
        <v>580</v>
      </c>
      <c r="E130" s="229" t="s">
        <v>174</v>
      </c>
      <c r="F130" s="229" t="s">
        <v>17</v>
      </c>
      <c r="G130" s="227">
        <v>1000</v>
      </c>
      <c r="H130" s="230"/>
      <c r="I130" s="231">
        <v>200061.04</v>
      </c>
      <c r="J130" s="232" t="s">
        <v>425</v>
      </c>
      <c r="K130" s="233">
        <v>2</v>
      </c>
    </row>
    <row r="131" spans="1:11" s="226" customFormat="1" ht="12.75" customHeight="1" x14ac:dyDescent="0.2">
      <c r="A131" s="226" t="s">
        <v>53</v>
      </c>
      <c r="B131" s="228">
        <v>46082</v>
      </c>
      <c r="C131" s="229" t="s">
        <v>581</v>
      </c>
      <c r="D131" s="229" t="s">
        <v>55</v>
      </c>
      <c r="E131" s="229" t="s">
        <v>108</v>
      </c>
      <c r="F131" s="229" t="s">
        <v>19</v>
      </c>
      <c r="G131" s="235">
        <v>1000</v>
      </c>
      <c r="H131" s="230"/>
      <c r="I131" s="231">
        <v>201061.04</v>
      </c>
      <c r="J131" s="232" t="s">
        <v>426</v>
      </c>
      <c r="K131" s="233">
        <v>2</v>
      </c>
    </row>
    <row r="132" spans="1:11" s="226" customFormat="1" ht="12.75" customHeight="1" x14ac:dyDescent="0.2">
      <c r="A132" s="226" t="s">
        <v>53</v>
      </c>
      <c r="B132" s="228">
        <v>46082</v>
      </c>
      <c r="C132" s="229" t="s">
        <v>581</v>
      </c>
      <c r="D132" s="229" t="s">
        <v>55</v>
      </c>
      <c r="E132" s="229" t="s">
        <v>108</v>
      </c>
      <c r="F132" s="229" t="s">
        <v>19</v>
      </c>
      <c r="G132" s="235">
        <v>48.96</v>
      </c>
      <c r="H132" s="230"/>
      <c r="I132" s="231">
        <v>201110</v>
      </c>
      <c r="J132" s="232" t="s">
        <v>426</v>
      </c>
      <c r="K132" s="233">
        <v>2</v>
      </c>
    </row>
    <row r="133" spans="1:11" s="226" customFormat="1" ht="12.75" customHeight="1" x14ac:dyDescent="0.2">
      <c r="A133" s="226" t="s">
        <v>69</v>
      </c>
      <c r="B133" s="228">
        <v>46082</v>
      </c>
      <c r="C133" s="229" t="s">
        <v>582</v>
      </c>
      <c r="D133" s="229" t="s">
        <v>583</v>
      </c>
      <c r="E133" s="229" t="s">
        <v>181</v>
      </c>
      <c r="F133" s="229" t="s">
        <v>16</v>
      </c>
      <c r="G133" s="227">
        <v>49.52</v>
      </c>
      <c r="H133" s="230"/>
      <c r="I133" s="231">
        <v>201159.52</v>
      </c>
      <c r="J133" s="232" t="s">
        <v>425</v>
      </c>
      <c r="K133" s="233">
        <v>2</v>
      </c>
    </row>
    <row r="134" spans="1:11" s="226" customFormat="1" ht="12.75" customHeight="1" x14ac:dyDescent="0.2">
      <c r="A134" s="226" t="s">
        <v>69</v>
      </c>
      <c r="B134" s="228">
        <v>46082</v>
      </c>
      <c r="C134" s="229" t="s">
        <v>582</v>
      </c>
      <c r="D134" s="229" t="s">
        <v>583</v>
      </c>
      <c r="E134" s="229" t="s">
        <v>181</v>
      </c>
      <c r="F134" s="229" t="s">
        <v>16</v>
      </c>
      <c r="G134" s="227">
        <v>1020</v>
      </c>
      <c r="H134" s="230"/>
      <c r="I134" s="231">
        <v>202179.52</v>
      </c>
      <c r="J134" s="232" t="s">
        <v>425</v>
      </c>
      <c r="K134" s="233">
        <v>2</v>
      </c>
    </row>
    <row r="135" spans="1:11" s="226" customFormat="1" ht="12.75" customHeight="1" x14ac:dyDescent="0.2">
      <c r="A135" s="226" t="s">
        <v>53</v>
      </c>
      <c r="B135" s="228">
        <v>46082</v>
      </c>
      <c r="C135" s="229" t="s">
        <v>584</v>
      </c>
      <c r="D135" s="229" t="s">
        <v>585</v>
      </c>
      <c r="E135" s="229" t="s">
        <v>585</v>
      </c>
      <c r="F135" s="229" t="s">
        <v>388</v>
      </c>
      <c r="G135" s="227"/>
      <c r="H135" s="230">
        <v>-10154.49</v>
      </c>
      <c r="I135" s="231">
        <v>192025.03</v>
      </c>
      <c r="J135" s="217">
        <v>46081</v>
      </c>
      <c r="K135" s="233">
        <v>-4</v>
      </c>
    </row>
    <row r="136" spans="1:11" s="226" customFormat="1" ht="12.75" customHeight="1" x14ac:dyDescent="0.2">
      <c r="A136" s="226" t="s">
        <v>69</v>
      </c>
      <c r="B136" s="228">
        <v>46082</v>
      </c>
      <c r="C136" s="229" t="s">
        <v>584</v>
      </c>
      <c r="D136" s="229" t="s">
        <v>585</v>
      </c>
      <c r="E136" s="229" t="s">
        <v>585</v>
      </c>
      <c r="F136" s="229" t="s">
        <v>389</v>
      </c>
      <c r="G136" s="227"/>
      <c r="H136" s="230">
        <v>-8291.4599999999991</v>
      </c>
      <c r="I136" s="231">
        <v>183733.57</v>
      </c>
      <c r="J136" s="217">
        <v>46081</v>
      </c>
      <c r="K136" s="233">
        <v>-4</v>
      </c>
    </row>
    <row r="137" spans="1:11" s="226" customFormat="1" ht="12.75" customHeight="1" x14ac:dyDescent="0.2">
      <c r="A137" s="226" t="s">
        <v>53</v>
      </c>
      <c r="B137" s="228">
        <v>46082</v>
      </c>
      <c r="C137" s="229" t="s">
        <v>586</v>
      </c>
      <c r="D137" s="229" t="s">
        <v>587</v>
      </c>
      <c r="E137" s="229" t="s">
        <v>587</v>
      </c>
      <c r="F137" s="229" t="s">
        <v>587</v>
      </c>
      <c r="G137" s="227">
        <v>4113.04</v>
      </c>
      <c r="H137" s="230"/>
      <c r="I137" s="231">
        <v>187846.61</v>
      </c>
      <c r="J137" s="217">
        <v>46081</v>
      </c>
      <c r="K137" s="233">
        <v>4</v>
      </c>
    </row>
    <row r="138" spans="1:11" s="226" customFormat="1" ht="12.75" customHeight="1" x14ac:dyDescent="0.2">
      <c r="A138" s="226" t="s">
        <v>69</v>
      </c>
      <c r="B138" s="228">
        <v>46082</v>
      </c>
      <c r="C138" s="229" t="s">
        <v>588</v>
      </c>
      <c r="D138" s="229" t="s">
        <v>589</v>
      </c>
      <c r="E138" s="229" t="s">
        <v>589</v>
      </c>
      <c r="F138" s="229" t="s">
        <v>589</v>
      </c>
      <c r="G138" s="227">
        <v>3992.24</v>
      </c>
      <c r="H138" s="230"/>
      <c r="I138" s="231">
        <v>191838.85</v>
      </c>
      <c r="J138" s="217">
        <v>46081</v>
      </c>
      <c r="K138" s="233">
        <v>4</v>
      </c>
    </row>
    <row r="139" spans="1:11" s="226" customFormat="1" ht="12.75" customHeight="1" x14ac:dyDescent="0.2">
      <c r="A139" s="226" t="s">
        <v>53</v>
      </c>
      <c r="B139" s="228">
        <v>46082</v>
      </c>
      <c r="C139" s="229" t="s">
        <v>590</v>
      </c>
      <c r="D139" s="229" t="s">
        <v>591</v>
      </c>
      <c r="E139" s="229" t="s">
        <v>591</v>
      </c>
      <c r="F139" s="229" t="s">
        <v>394</v>
      </c>
      <c r="G139" s="227">
        <v>1415</v>
      </c>
      <c r="H139" s="230"/>
      <c r="I139" s="231">
        <v>193253.85</v>
      </c>
      <c r="J139" s="217">
        <v>46081</v>
      </c>
      <c r="K139" s="233">
        <v>4</v>
      </c>
    </row>
    <row r="140" spans="1:11" s="226" customFormat="1" ht="12.75" customHeight="1" x14ac:dyDescent="0.2">
      <c r="A140" s="226" t="s">
        <v>69</v>
      </c>
      <c r="B140" s="228">
        <v>46082</v>
      </c>
      <c r="C140" s="229" t="s">
        <v>592</v>
      </c>
      <c r="D140" s="229" t="s">
        <v>593</v>
      </c>
      <c r="E140" s="229" t="s">
        <v>593</v>
      </c>
      <c r="F140" s="229" t="s">
        <v>394</v>
      </c>
      <c r="G140" s="227">
        <v>1510</v>
      </c>
      <c r="H140" s="230"/>
      <c r="I140" s="231">
        <v>194763.85</v>
      </c>
      <c r="J140" s="217">
        <v>46081</v>
      </c>
      <c r="K140" s="233">
        <v>4</v>
      </c>
    </row>
    <row r="141" spans="1:11" s="226" customFormat="1" ht="12.75" customHeight="1" x14ac:dyDescent="0.2">
      <c r="A141" s="226" t="s">
        <v>53</v>
      </c>
      <c r="B141" s="228">
        <v>46083</v>
      </c>
      <c r="C141" s="229" t="s">
        <v>594</v>
      </c>
      <c r="D141" s="229" t="s">
        <v>420</v>
      </c>
      <c r="E141" s="229" t="s">
        <v>105</v>
      </c>
      <c r="F141" s="229" t="s">
        <v>961</v>
      </c>
      <c r="G141" s="227"/>
      <c r="H141" s="230">
        <v>-28</v>
      </c>
      <c r="I141" s="231">
        <v>194735.85</v>
      </c>
      <c r="J141" s="232" t="s">
        <v>418</v>
      </c>
      <c r="K141" s="233">
        <v>-2</v>
      </c>
    </row>
    <row r="142" spans="1:11" s="226" customFormat="1" ht="12.75" customHeight="1" x14ac:dyDescent="0.2">
      <c r="A142" s="226" t="s">
        <v>69</v>
      </c>
      <c r="B142" s="228">
        <v>46083</v>
      </c>
      <c r="C142" s="229" t="s">
        <v>594</v>
      </c>
      <c r="D142" s="229" t="s">
        <v>420</v>
      </c>
      <c r="E142" s="229" t="s">
        <v>105</v>
      </c>
      <c r="F142" s="229" t="s">
        <v>961</v>
      </c>
      <c r="G142" s="227"/>
      <c r="H142" s="230">
        <v>-10.5</v>
      </c>
      <c r="I142" s="231">
        <v>194725.35</v>
      </c>
      <c r="J142" s="232" t="s">
        <v>418</v>
      </c>
      <c r="K142" s="233">
        <v>-2</v>
      </c>
    </row>
    <row r="143" spans="1:11" s="226" customFormat="1" ht="12.75" customHeight="1" x14ac:dyDescent="0.2">
      <c r="A143" s="226" t="s">
        <v>69</v>
      </c>
      <c r="B143" s="228">
        <v>46083</v>
      </c>
      <c r="C143" s="229" t="s">
        <v>595</v>
      </c>
      <c r="D143" s="229" t="s">
        <v>424</v>
      </c>
      <c r="E143" s="229" t="s">
        <v>27</v>
      </c>
      <c r="F143" s="229" t="s">
        <v>962</v>
      </c>
      <c r="G143" s="227"/>
      <c r="H143" s="230">
        <v>-78.650000000000006</v>
      </c>
      <c r="I143" s="231">
        <v>194646.7</v>
      </c>
      <c r="J143" s="232" t="s">
        <v>423</v>
      </c>
      <c r="K143" s="233">
        <v>-2</v>
      </c>
    </row>
    <row r="144" spans="1:11" s="226" customFormat="1" ht="12.75" customHeight="1" x14ac:dyDescent="0.2">
      <c r="A144" s="226" t="s">
        <v>53</v>
      </c>
      <c r="B144" s="228">
        <v>46083</v>
      </c>
      <c r="C144" s="229" t="s">
        <v>596</v>
      </c>
      <c r="D144" s="229" t="s">
        <v>55</v>
      </c>
      <c r="E144" s="229" t="s">
        <v>291</v>
      </c>
      <c r="F144" s="229" t="s">
        <v>19</v>
      </c>
      <c r="G144" s="227">
        <v>1000</v>
      </c>
      <c r="H144" s="230"/>
      <c r="I144" s="231">
        <v>195646.7</v>
      </c>
      <c r="J144" s="232" t="s">
        <v>428</v>
      </c>
      <c r="K144" s="233">
        <v>2</v>
      </c>
    </row>
    <row r="145" spans="1:11" s="226" customFormat="1" ht="12.75" customHeight="1" x14ac:dyDescent="0.2">
      <c r="A145" s="226" t="s">
        <v>53</v>
      </c>
      <c r="B145" s="228">
        <v>46083</v>
      </c>
      <c r="C145" s="229" t="s">
        <v>596</v>
      </c>
      <c r="D145" s="229" t="s">
        <v>55</v>
      </c>
      <c r="E145" s="229" t="s">
        <v>291</v>
      </c>
      <c r="F145" s="229" t="s">
        <v>19</v>
      </c>
      <c r="G145" s="227">
        <v>902.08</v>
      </c>
      <c r="H145" s="230"/>
      <c r="I145" s="231">
        <v>196548.78</v>
      </c>
      <c r="J145" s="232" t="s">
        <v>428</v>
      </c>
      <c r="K145" s="233">
        <v>2</v>
      </c>
    </row>
    <row r="146" spans="1:11" s="226" customFormat="1" ht="12.75" customHeight="1" x14ac:dyDescent="0.2">
      <c r="A146" s="226" t="s">
        <v>53</v>
      </c>
      <c r="B146" s="228">
        <v>46083</v>
      </c>
      <c r="C146" s="229" t="s">
        <v>596</v>
      </c>
      <c r="D146" s="229" t="s">
        <v>55</v>
      </c>
      <c r="E146" s="229" t="s">
        <v>291</v>
      </c>
      <c r="F146" s="229" t="s">
        <v>19</v>
      </c>
      <c r="G146" s="227">
        <v>48.96</v>
      </c>
      <c r="H146" s="230"/>
      <c r="I146" s="231">
        <v>196597.74</v>
      </c>
      <c r="J146" s="232" t="s">
        <v>428</v>
      </c>
      <c r="K146" s="233">
        <v>2</v>
      </c>
    </row>
    <row r="147" spans="1:11" s="226" customFormat="1" ht="12.75" customHeight="1" x14ac:dyDescent="0.2">
      <c r="A147" s="226" t="s">
        <v>53</v>
      </c>
      <c r="B147" s="228">
        <v>46083</v>
      </c>
      <c r="C147" s="229" t="s">
        <v>596</v>
      </c>
      <c r="D147" s="229" t="s">
        <v>55</v>
      </c>
      <c r="E147" s="229" t="s">
        <v>291</v>
      </c>
      <c r="F147" s="229" t="s">
        <v>19</v>
      </c>
      <c r="G147" s="227">
        <v>48.96</v>
      </c>
      <c r="H147" s="230"/>
      <c r="I147" s="231">
        <v>196646.7</v>
      </c>
      <c r="J147" s="232" t="s">
        <v>428</v>
      </c>
      <c r="K147" s="233">
        <v>2</v>
      </c>
    </row>
    <row r="148" spans="1:11" s="226" customFormat="1" ht="12.75" customHeight="1" x14ac:dyDescent="0.2">
      <c r="A148" s="226" t="s">
        <v>53</v>
      </c>
      <c r="B148" s="228">
        <v>46083</v>
      </c>
      <c r="C148" s="229" t="s">
        <v>596</v>
      </c>
      <c r="D148" s="229" t="s">
        <v>55</v>
      </c>
      <c r="E148" s="229" t="s">
        <v>291</v>
      </c>
      <c r="F148" s="229" t="s">
        <v>19</v>
      </c>
      <c r="G148" s="227">
        <v>48.96</v>
      </c>
      <c r="H148" s="230"/>
      <c r="I148" s="231">
        <v>196695.66</v>
      </c>
      <c r="J148" s="232" t="s">
        <v>428</v>
      </c>
      <c r="K148" s="233">
        <v>2</v>
      </c>
    </row>
    <row r="149" spans="1:11" s="226" customFormat="1" ht="12.75" customHeight="1" x14ac:dyDescent="0.2">
      <c r="A149" s="226" t="s">
        <v>53</v>
      </c>
      <c r="B149" s="228">
        <v>46083</v>
      </c>
      <c r="C149" s="229" t="s">
        <v>596</v>
      </c>
      <c r="D149" s="229" t="s">
        <v>55</v>
      </c>
      <c r="E149" s="229" t="s">
        <v>291</v>
      </c>
      <c r="F149" s="229" t="s">
        <v>19</v>
      </c>
      <c r="G149" s="227">
        <v>48.96</v>
      </c>
      <c r="H149" s="230"/>
      <c r="I149" s="231">
        <v>196744.62</v>
      </c>
      <c r="J149" s="232" t="s">
        <v>428</v>
      </c>
      <c r="K149" s="233">
        <v>2</v>
      </c>
    </row>
    <row r="150" spans="1:11" s="226" customFormat="1" ht="12.75" customHeight="1" x14ac:dyDescent="0.2">
      <c r="A150" s="226" t="s">
        <v>69</v>
      </c>
      <c r="B150" s="228">
        <v>46083</v>
      </c>
      <c r="C150" s="229" t="s">
        <v>597</v>
      </c>
      <c r="D150" s="229" t="s">
        <v>598</v>
      </c>
      <c r="E150" s="229" t="s">
        <v>243</v>
      </c>
      <c r="F150" s="229" t="s">
        <v>85</v>
      </c>
      <c r="G150" s="227">
        <v>1005</v>
      </c>
      <c r="H150" s="230"/>
      <c r="I150" s="231">
        <v>197749.62</v>
      </c>
      <c r="J150" s="232" t="s">
        <v>428</v>
      </c>
      <c r="K150" s="233">
        <v>2</v>
      </c>
    </row>
    <row r="151" spans="1:11" s="226" customFormat="1" ht="12.75" customHeight="1" x14ac:dyDescent="0.2">
      <c r="A151" s="226" t="s">
        <v>69</v>
      </c>
      <c r="B151" s="228">
        <v>46083</v>
      </c>
      <c r="C151" s="229" t="s">
        <v>597</v>
      </c>
      <c r="D151" s="229" t="s">
        <v>598</v>
      </c>
      <c r="E151" s="229" t="s">
        <v>243</v>
      </c>
      <c r="F151" s="229" t="s">
        <v>85</v>
      </c>
      <c r="G151" s="227">
        <v>49.52</v>
      </c>
      <c r="H151" s="230"/>
      <c r="I151" s="231">
        <v>197799.14</v>
      </c>
      <c r="J151" s="232" t="s">
        <v>428</v>
      </c>
      <c r="K151" s="233">
        <v>2</v>
      </c>
    </row>
    <row r="152" spans="1:11" s="226" customFormat="1" ht="12.75" customHeight="1" x14ac:dyDescent="0.2">
      <c r="A152" s="226" t="s">
        <v>69</v>
      </c>
      <c r="B152" s="228">
        <v>46083</v>
      </c>
      <c r="C152" s="229" t="s">
        <v>599</v>
      </c>
      <c r="D152" s="229" t="s">
        <v>600</v>
      </c>
      <c r="E152" s="229" t="s">
        <v>122</v>
      </c>
      <c r="F152" s="229" t="s">
        <v>91</v>
      </c>
      <c r="G152" s="227">
        <v>49.52</v>
      </c>
      <c r="H152" s="230"/>
      <c r="I152" s="231">
        <v>197848.66</v>
      </c>
      <c r="J152" s="232" t="s">
        <v>425</v>
      </c>
      <c r="K152" s="233">
        <v>2</v>
      </c>
    </row>
    <row r="153" spans="1:11" s="226" customFormat="1" ht="12.75" customHeight="1" x14ac:dyDescent="0.2">
      <c r="A153" s="226" t="s">
        <v>69</v>
      </c>
      <c r="B153" s="228">
        <v>46083</v>
      </c>
      <c r="C153" s="229" t="s">
        <v>599</v>
      </c>
      <c r="D153" s="229" t="s">
        <v>600</v>
      </c>
      <c r="E153" s="229" t="s">
        <v>122</v>
      </c>
      <c r="F153" s="229" t="s">
        <v>91</v>
      </c>
      <c r="G153" s="227">
        <v>1020</v>
      </c>
      <c r="H153" s="230"/>
      <c r="I153" s="231">
        <v>198868.66</v>
      </c>
      <c r="J153" s="232" t="s">
        <v>425</v>
      </c>
      <c r="K153" s="233">
        <v>2</v>
      </c>
    </row>
    <row r="154" spans="1:11" s="226" customFormat="1" ht="12.75" customHeight="1" x14ac:dyDescent="0.2">
      <c r="A154" s="226" t="s">
        <v>53</v>
      </c>
      <c r="B154" s="228">
        <v>46083</v>
      </c>
      <c r="C154" s="229" t="s">
        <v>601</v>
      </c>
      <c r="D154" s="229" t="s">
        <v>602</v>
      </c>
      <c r="E154" s="229" t="s">
        <v>65</v>
      </c>
      <c r="F154" s="229" t="s">
        <v>91</v>
      </c>
      <c r="G154" s="227">
        <v>48.96</v>
      </c>
      <c r="H154" s="230"/>
      <c r="I154" s="231">
        <v>198917.62</v>
      </c>
      <c r="J154" s="232" t="s">
        <v>425</v>
      </c>
      <c r="K154" s="233">
        <v>2</v>
      </c>
    </row>
    <row r="155" spans="1:11" s="226" customFormat="1" ht="12.75" customHeight="1" x14ac:dyDescent="0.2">
      <c r="A155" s="226" t="s">
        <v>53</v>
      </c>
      <c r="B155" s="228">
        <v>46083</v>
      </c>
      <c r="C155" s="229" t="s">
        <v>601</v>
      </c>
      <c r="D155" s="229" t="s">
        <v>602</v>
      </c>
      <c r="E155" s="229" t="s">
        <v>65</v>
      </c>
      <c r="F155" s="229" t="s">
        <v>91</v>
      </c>
      <c r="G155" s="227">
        <v>1000</v>
      </c>
      <c r="H155" s="230"/>
      <c r="I155" s="231">
        <v>199917.62</v>
      </c>
      <c r="J155" s="232" t="s">
        <v>425</v>
      </c>
      <c r="K155" s="233">
        <v>2</v>
      </c>
    </row>
    <row r="156" spans="1:11" s="226" customFormat="1" ht="12.75" customHeight="1" x14ac:dyDescent="0.2">
      <c r="A156" s="226" t="s">
        <v>53</v>
      </c>
      <c r="B156" s="228">
        <v>46083</v>
      </c>
      <c r="C156" s="229" t="s">
        <v>603</v>
      </c>
      <c r="D156" s="229" t="s">
        <v>604</v>
      </c>
      <c r="E156" s="229" t="s">
        <v>175</v>
      </c>
      <c r="F156" s="229" t="s">
        <v>91</v>
      </c>
      <c r="G156" s="227">
        <v>48.96</v>
      </c>
      <c r="H156" s="230"/>
      <c r="I156" s="231">
        <v>199966.58</v>
      </c>
      <c r="J156" s="232" t="s">
        <v>425</v>
      </c>
      <c r="K156" s="233">
        <v>2</v>
      </c>
    </row>
    <row r="157" spans="1:11" s="226" customFormat="1" ht="12.75" customHeight="1" x14ac:dyDescent="0.2">
      <c r="A157" s="226" t="s">
        <v>53</v>
      </c>
      <c r="B157" s="228">
        <v>46083</v>
      </c>
      <c r="C157" s="229" t="s">
        <v>603</v>
      </c>
      <c r="D157" s="229" t="s">
        <v>604</v>
      </c>
      <c r="E157" s="229" t="s">
        <v>175</v>
      </c>
      <c r="F157" s="229" t="s">
        <v>91</v>
      </c>
      <c r="G157" s="227">
        <v>1000</v>
      </c>
      <c r="H157" s="230"/>
      <c r="I157" s="231">
        <v>200966.58</v>
      </c>
      <c r="J157" s="232" t="s">
        <v>425</v>
      </c>
      <c r="K157" s="233">
        <v>2</v>
      </c>
    </row>
    <row r="158" spans="1:11" s="226" customFormat="1" ht="12.75" customHeight="1" x14ac:dyDescent="0.2">
      <c r="A158" s="226" t="s">
        <v>53</v>
      </c>
      <c r="B158" s="228">
        <v>46083</v>
      </c>
      <c r="C158" s="229" t="s">
        <v>605</v>
      </c>
      <c r="D158" s="229" t="s">
        <v>606</v>
      </c>
      <c r="E158" s="229" t="s">
        <v>255</v>
      </c>
      <c r="F158" s="229" t="s">
        <v>91</v>
      </c>
      <c r="G158" s="227">
        <v>48.96</v>
      </c>
      <c r="H158" s="230"/>
      <c r="I158" s="231">
        <v>201015.54</v>
      </c>
      <c r="J158" s="232" t="s">
        <v>425</v>
      </c>
      <c r="K158" s="233">
        <v>2</v>
      </c>
    </row>
    <row r="159" spans="1:11" s="226" customFormat="1" ht="12.75" customHeight="1" x14ac:dyDescent="0.2">
      <c r="A159" s="226" t="s">
        <v>53</v>
      </c>
      <c r="B159" s="228">
        <v>46083</v>
      </c>
      <c r="C159" s="229" t="s">
        <v>605</v>
      </c>
      <c r="D159" s="229" t="s">
        <v>606</v>
      </c>
      <c r="E159" s="229" t="s">
        <v>255</v>
      </c>
      <c r="F159" s="229" t="s">
        <v>91</v>
      </c>
      <c r="G159" s="227">
        <v>1040</v>
      </c>
      <c r="H159" s="230"/>
      <c r="I159" s="231">
        <v>202055.54</v>
      </c>
      <c r="J159" s="232" t="s">
        <v>425</v>
      </c>
      <c r="K159" s="233">
        <v>2</v>
      </c>
    </row>
    <row r="160" spans="1:11" s="226" customFormat="1" ht="12.75" customHeight="1" x14ac:dyDescent="0.2">
      <c r="A160" s="226" t="s">
        <v>53</v>
      </c>
      <c r="B160" s="228">
        <v>46083</v>
      </c>
      <c r="C160" s="229" t="s">
        <v>607</v>
      </c>
      <c r="D160" s="229" t="s">
        <v>55</v>
      </c>
      <c r="E160" s="229" t="s">
        <v>103</v>
      </c>
      <c r="F160" s="229" t="s">
        <v>22</v>
      </c>
      <c r="G160" s="227">
        <v>1000</v>
      </c>
      <c r="H160" s="230"/>
      <c r="I160" s="231">
        <v>203055.54</v>
      </c>
      <c r="J160" s="232" t="s">
        <v>428</v>
      </c>
      <c r="K160" s="233">
        <v>2</v>
      </c>
    </row>
    <row r="161" spans="1:11" s="226" customFormat="1" ht="12.75" customHeight="1" x14ac:dyDescent="0.2">
      <c r="A161" s="226" t="s">
        <v>53</v>
      </c>
      <c r="B161" s="228">
        <v>46083</v>
      </c>
      <c r="C161" s="229" t="s">
        <v>607</v>
      </c>
      <c r="D161" s="229" t="s">
        <v>55</v>
      </c>
      <c r="E161" s="229" t="s">
        <v>103</v>
      </c>
      <c r="F161" s="229" t="s">
        <v>22</v>
      </c>
      <c r="G161" s="227">
        <v>48.96</v>
      </c>
      <c r="H161" s="230"/>
      <c r="I161" s="231">
        <v>203104.5</v>
      </c>
      <c r="J161" s="232" t="s">
        <v>428</v>
      </c>
      <c r="K161" s="233">
        <v>2</v>
      </c>
    </row>
    <row r="162" spans="1:11" s="226" customFormat="1" ht="12.75" customHeight="1" x14ac:dyDescent="0.2">
      <c r="A162" s="226" t="s">
        <v>69</v>
      </c>
      <c r="B162" s="228">
        <v>46083</v>
      </c>
      <c r="C162" s="229" t="s">
        <v>608</v>
      </c>
      <c r="D162" s="229" t="s">
        <v>55</v>
      </c>
      <c r="E162" s="229" t="s">
        <v>77</v>
      </c>
      <c r="F162" s="229" t="s">
        <v>19</v>
      </c>
      <c r="G162" s="227">
        <v>1005</v>
      </c>
      <c r="H162" s="230"/>
      <c r="I162" s="231">
        <v>204109.5</v>
      </c>
      <c r="J162" s="232" t="s">
        <v>428</v>
      </c>
      <c r="K162" s="233">
        <v>2</v>
      </c>
    </row>
    <row r="163" spans="1:11" s="226" customFormat="1" ht="12.75" customHeight="1" x14ac:dyDescent="0.2">
      <c r="A163" s="226" t="s">
        <v>69</v>
      </c>
      <c r="B163" s="228">
        <v>46083</v>
      </c>
      <c r="C163" s="229" t="s">
        <v>608</v>
      </c>
      <c r="D163" s="229" t="s">
        <v>55</v>
      </c>
      <c r="E163" s="229" t="s">
        <v>77</v>
      </c>
      <c r="F163" s="229" t="s">
        <v>19</v>
      </c>
      <c r="G163" s="227">
        <v>49.52</v>
      </c>
      <c r="H163" s="230"/>
      <c r="I163" s="231">
        <v>204159.02</v>
      </c>
      <c r="J163" s="232" t="s">
        <v>428</v>
      </c>
      <c r="K163" s="233">
        <v>2</v>
      </c>
    </row>
    <row r="164" spans="1:11" s="226" customFormat="1" ht="12.75" customHeight="1" x14ac:dyDescent="0.2">
      <c r="A164" s="226" t="s">
        <v>53</v>
      </c>
      <c r="B164" s="228">
        <v>46083</v>
      </c>
      <c r="C164" s="229" t="s">
        <v>609</v>
      </c>
      <c r="D164" s="229" t="s">
        <v>610</v>
      </c>
      <c r="E164" s="229" t="s">
        <v>160</v>
      </c>
      <c r="F164" s="229" t="s">
        <v>18</v>
      </c>
      <c r="G164" s="227">
        <v>48.96</v>
      </c>
      <c r="H164" s="230"/>
      <c r="I164" s="231">
        <v>204207.98</v>
      </c>
      <c r="J164" s="232" t="s">
        <v>425</v>
      </c>
      <c r="K164" s="233">
        <v>2</v>
      </c>
    </row>
    <row r="165" spans="1:11" s="226" customFormat="1" ht="12.75" customHeight="1" x14ac:dyDescent="0.2">
      <c r="A165" s="226" t="s">
        <v>53</v>
      </c>
      <c r="B165" s="228">
        <v>46083</v>
      </c>
      <c r="C165" s="229" t="s">
        <v>609</v>
      </c>
      <c r="D165" s="229" t="s">
        <v>610</v>
      </c>
      <c r="E165" s="229" t="s">
        <v>160</v>
      </c>
      <c r="F165" s="229" t="s">
        <v>18</v>
      </c>
      <c r="G165" s="227">
        <v>1000</v>
      </c>
      <c r="H165" s="230"/>
      <c r="I165" s="231">
        <v>205207.98</v>
      </c>
      <c r="J165" s="232" t="s">
        <v>425</v>
      </c>
      <c r="K165" s="233">
        <v>2</v>
      </c>
    </row>
    <row r="166" spans="1:11" s="226" customFormat="1" ht="12.75" customHeight="1" x14ac:dyDescent="0.2">
      <c r="A166" s="226" t="s">
        <v>69</v>
      </c>
      <c r="B166" s="228">
        <v>46083</v>
      </c>
      <c r="C166" s="229" t="s">
        <v>611</v>
      </c>
      <c r="D166" s="229" t="s">
        <v>612</v>
      </c>
      <c r="E166" s="229" t="s">
        <v>260</v>
      </c>
      <c r="F166" s="229" t="s">
        <v>130</v>
      </c>
      <c r="G166" s="227">
        <v>49.52</v>
      </c>
      <c r="H166" s="230"/>
      <c r="I166" s="231">
        <v>205257.5</v>
      </c>
      <c r="J166" s="232" t="s">
        <v>425</v>
      </c>
      <c r="K166" s="233">
        <v>2</v>
      </c>
    </row>
    <row r="167" spans="1:11" s="226" customFormat="1" ht="12.75" customHeight="1" x14ac:dyDescent="0.2">
      <c r="A167" s="226" t="s">
        <v>69</v>
      </c>
      <c r="B167" s="228">
        <v>46083</v>
      </c>
      <c r="C167" s="229" t="s">
        <v>611</v>
      </c>
      <c r="D167" s="229" t="s">
        <v>612</v>
      </c>
      <c r="E167" s="229" t="s">
        <v>260</v>
      </c>
      <c r="F167" s="229" t="s">
        <v>130</v>
      </c>
      <c r="G167" s="227">
        <v>1020</v>
      </c>
      <c r="H167" s="230"/>
      <c r="I167" s="231">
        <v>206277.5</v>
      </c>
      <c r="J167" s="232" t="s">
        <v>425</v>
      </c>
      <c r="K167" s="233">
        <v>2</v>
      </c>
    </row>
    <row r="168" spans="1:11" s="226" customFormat="1" ht="12.75" customHeight="1" x14ac:dyDescent="0.2">
      <c r="A168" s="226" t="s">
        <v>69</v>
      </c>
      <c r="B168" s="228">
        <v>46083</v>
      </c>
      <c r="C168" s="229" t="s">
        <v>613</v>
      </c>
      <c r="D168" s="229" t="s">
        <v>55</v>
      </c>
      <c r="E168" s="229" t="s">
        <v>102</v>
      </c>
      <c r="F168" s="229" t="s">
        <v>22</v>
      </c>
      <c r="G168" s="227">
        <v>1005</v>
      </c>
      <c r="H168" s="230"/>
      <c r="I168" s="231">
        <v>207282.5</v>
      </c>
      <c r="J168" s="232" t="s">
        <v>428</v>
      </c>
      <c r="K168" s="233">
        <v>2</v>
      </c>
    </row>
    <row r="169" spans="1:11" s="226" customFormat="1" ht="12.75" customHeight="1" x14ac:dyDescent="0.2">
      <c r="A169" s="226" t="s">
        <v>69</v>
      </c>
      <c r="B169" s="228">
        <v>46083</v>
      </c>
      <c r="C169" s="229" t="s">
        <v>613</v>
      </c>
      <c r="D169" s="229" t="s">
        <v>55</v>
      </c>
      <c r="E169" s="229" t="s">
        <v>102</v>
      </c>
      <c r="F169" s="229" t="s">
        <v>22</v>
      </c>
      <c r="G169" s="227">
        <v>735</v>
      </c>
      <c r="H169" s="230"/>
      <c r="I169" s="231">
        <v>208017.5</v>
      </c>
      <c r="J169" s="232" t="s">
        <v>428</v>
      </c>
      <c r="K169" s="233">
        <v>2</v>
      </c>
    </row>
    <row r="170" spans="1:11" s="226" customFormat="1" ht="12.75" customHeight="1" x14ac:dyDescent="0.2">
      <c r="A170" s="226" t="s">
        <v>69</v>
      </c>
      <c r="B170" s="228">
        <v>46083</v>
      </c>
      <c r="C170" s="229" t="s">
        <v>613</v>
      </c>
      <c r="D170" s="229" t="s">
        <v>55</v>
      </c>
      <c r="E170" s="229" t="s">
        <v>102</v>
      </c>
      <c r="F170" s="229" t="s">
        <v>22</v>
      </c>
      <c r="G170" s="227">
        <v>49.52</v>
      </c>
      <c r="H170" s="230"/>
      <c r="I170" s="231">
        <v>208067.02</v>
      </c>
      <c r="J170" s="232" t="s">
        <v>428</v>
      </c>
      <c r="K170" s="233">
        <v>2</v>
      </c>
    </row>
    <row r="171" spans="1:11" s="226" customFormat="1" ht="12.75" customHeight="1" x14ac:dyDescent="0.2">
      <c r="A171" s="226" t="s">
        <v>53</v>
      </c>
      <c r="B171" s="228">
        <v>46083</v>
      </c>
      <c r="C171" s="229" t="s">
        <v>614</v>
      </c>
      <c r="D171" s="229" t="s">
        <v>615</v>
      </c>
      <c r="E171" s="229" t="s">
        <v>154</v>
      </c>
      <c r="F171" s="229" t="s">
        <v>21</v>
      </c>
      <c r="G171" s="227">
        <v>48.96</v>
      </c>
      <c r="H171" s="230"/>
      <c r="I171" s="231">
        <v>208115.98</v>
      </c>
      <c r="J171" s="232" t="s">
        <v>425</v>
      </c>
      <c r="K171" s="233">
        <v>2</v>
      </c>
    </row>
    <row r="172" spans="1:11" s="226" customFormat="1" ht="12.75" customHeight="1" x14ac:dyDescent="0.2">
      <c r="A172" s="226" t="s">
        <v>53</v>
      </c>
      <c r="B172" s="228">
        <v>46083</v>
      </c>
      <c r="C172" s="229" t="s">
        <v>614</v>
      </c>
      <c r="D172" s="229" t="s">
        <v>615</v>
      </c>
      <c r="E172" s="229" t="s">
        <v>154</v>
      </c>
      <c r="F172" s="229" t="s">
        <v>21</v>
      </c>
      <c r="G172" s="227">
        <v>1000</v>
      </c>
      <c r="H172" s="230"/>
      <c r="I172" s="231">
        <v>209115.98</v>
      </c>
      <c r="J172" s="232" t="s">
        <v>425</v>
      </c>
      <c r="K172" s="233">
        <v>2</v>
      </c>
    </row>
    <row r="173" spans="1:11" s="226" customFormat="1" ht="12.75" customHeight="1" x14ac:dyDescent="0.2">
      <c r="A173" s="226" t="s">
        <v>69</v>
      </c>
      <c r="B173" s="228">
        <v>46083</v>
      </c>
      <c r="C173" s="229" t="s">
        <v>616</v>
      </c>
      <c r="D173" s="229" t="s">
        <v>617</v>
      </c>
      <c r="E173" s="229" t="s">
        <v>114</v>
      </c>
      <c r="F173" s="229" t="s">
        <v>17</v>
      </c>
      <c r="G173" s="227">
        <v>49.52</v>
      </c>
      <c r="H173" s="230"/>
      <c r="I173" s="231">
        <v>209165.5</v>
      </c>
      <c r="J173" s="232" t="s">
        <v>425</v>
      </c>
      <c r="K173" s="233">
        <v>2</v>
      </c>
    </row>
    <row r="174" spans="1:11" s="226" customFormat="1" ht="12.75" customHeight="1" x14ac:dyDescent="0.2">
      <c r="A174" s="226" t="s">
        <v>69</v>
      </c>
      <c r="B174" s="228">
        <v>46083</v>
      </c>
      <c r="C174" s="229" t="s">
        <v>616</v>
      </c>
      <c r="D174" s="229" t="s">
        <v>617</v>
      </c>
      <c r="E174" s="229" t="s">
        <v>114</v>
      </c>
      <c r="F174" s="229" t="s">
        <v>17</v>
      </c>
      <c r="G174" s="227">
        <v>1005</v>
      </c>
      <c r="H174" s="230"/>
      <c r="I174" s="231">
        <v>210170.5</v>
      </c>
      <c r="J174" s="232" t="s">
        <v>425</v>
      </c>
      <c r="K174" s="233">
        <v>2</v>
      </c>
    </row>
    <row r="175" spans="1:11" s="226" customFormat="1" ht="12.75" customHeight="1" x14ac:dyDescent="0.2">
      <c r="A175" s="226" t="s">
        <v>69</v>
      </c>
      <c r="B175" s="228">
        <v>46083</v>
      </c>
      <c r="C175" s="229" t="s">
        <v>618</v>
      </c>
      <c r="D175" s="229" t="s">
        <v>55</v>
      </c>
      <c r="E175" s="229" t="s">
        <v>125</v>
      </c>
      <c r="F175" s="229" t="s">
        <v>19</v>
      </c>
      <c r="G175" s="227">
        <v>1005</v>
      </c>
      <c r="H175" s="230"/>
      <c r="I175" s="231">
        <v>211175.5</v>
      </c>
      <c r="J175" s="232" t="s">
        <v>428</v>
      </c>
      <c r="K175" s="233">
        <v>2</v>
      </c>
    </row>
    <row r="176" spans="1:11" s="226" customFormat="1" ht="12.75" customHeight="1" x14ac:dyDescent="0.2">
      <c r="A176" s="226" t="s">
        <v>69</v>
      </c>
      <c r="B176" s="228">
        <v>46083</v>
      </c>
      <c r="C176" s="229" t="s">
        <v>618</v>
      </c>
      <c r="D176" s="229" t="s">
        <v>55</v>
      </c>
      <c r="E176" s="229" t="s">
        <v>125</v>
      </c>
      <c r="F176" s="229" t="s">
        <v>19</v>
      </c>
      <c r="G176" s="227">
        <v>49.52</v>
      </c>
      <c r="H176" s="230"/>
      <c r="I176" s="231">
        <v>211225.02</v>
      </c>
      <c r="J176" s="232" t="s">
        <v>428</v>
      </c>
      <c r="K176" s="233">
        <v>2</v>
      </c>
    </row>
    <row r="177" spans="1:11" s="226" customFormat="1" ht="12.75" customHeight="1" x14ac:dyDescent="0.2">
      <c r="A177" s="226" t="s">
        <v>53</v>
      </c>
      <c r="B177" s="228">
        <v>46083</v>
      </c>
      <c r="C177" s="229" t="s">
        <v>619</v>
      </c>
      <c r="D177" s="229" t="s">
        <v>620</v>
      </c>
      <c r="E177" s="229" t="s">
        <v>129</v>
      </c>
      <c r="F177" s="229" t="s">
        <v>130</v>
      </c>
      <c r="G177" s="227">
        <v>48.96</v>
      </c>
      <c r="H177" s="230"/>
      <c r="I177" s="231">
        <v>211273.98</v>
      </c>
      <c r="J177" s="232" t="s">
        <v>425</v>
      </c>
      <c r="K177" s="233">
        <v>2</v>
      </c>
    </row>
    <row r="178" spans="1:11" s="226" customFormat="1" ht="12.75" customHeight="1" x14ac:dyDescent="0.2">
      <c r="A178" s="226" t="s">
        <v>53</v>
      </c>
      <c r="B178" s="228">
        <v>46083</v>
      </c>
      <c r="C178" s="229" t="s">
        <v>619</v>
      </c>
      <c r="D178" s="229" t="s">
        <v>620</v>
      </c>
      <c r="E178" s="229" t="s">
        <v>129</v>
      </c>
      <c r="F178" s="229" t="s">
        <v>130</v>
      </c>
      <c r="G178" s="227">
        <v>1000</v>
      </c>
      <c r="H178" s="230"/>
      <c r="I178" s="231">
        <v>212273.98</v>
      </c>
      <c r="J178" s="232" t="s">
        <v>425</v>
      </c>
      <c r="K178" s="233">
        <v>2</v>
      </c>
    </row>
    <row r="179" spans="1:11" s="226" customFormat="1" ht="12.75" customHeight="1" x14ac:dyDescent="0.2">
      <c r="A179" s="226" t="s">
        <v>69</v>
      </c>
      <c r="B179" s="228">
        <v>46083</v>
      </c>
      <c r="C179" s="229" t="s">
        <v>621</v>
      </c>
      <c r="D179" s="229" t="s">
        <v>622</v>
      </c>
      <c r="E179" s="229" t="s">
        <v>241</v>
      </c>
      <c r="F179" s="229" t="s">
        <v>17</v>
      </c>
      <c r="G179" s="227">
        <v>49.52</v>
      </c>
      <c r="H179" s="230"/>
      <c r="I179" s="231">
        <v>212323.5</v>
      </c>
      <c r="J179" s="232" t="s">
        <v>425</v>
      </c>
      <c r="K179" s="233">
        <v>2</v>
      </c>
    </row>
    <row r="180" spans="1:11" s="226" customFormat="1" ht="12.75" customHeight="1" x14ac:dyDescent="0.2">
      <c r="A180" s="226" t="s">
        <v>69</v>
      </c>
      <c r="B180" s="228">
        <v>46083</v>
      </c>
      <c r="C180" s="229" t="s">
        <v>621</v>
      </c>
      <c r="D180" s="229" t="s">
        <v>622</v>
      </c>
      <c r="E180" s="229" t="s">
        <v>241</v>
      </c>
      <c r="F180" s="229" t="s">
        <v>17</v>
      </c>
      <c r="G180" s="227">
        <v>1005</v>
      </c>
      <c r="H180" s="230"/>
      <c r="I180" s="231">
        <v>213328.5</v>
      </c>
      <c r="J180" s="224" t="s">
        <v>425</v>
      </c>
      <c r="K180" s="233">
        <v>2</v>
      </c>
    </row>
    <row r="181" spans="1:11" s="226" customFormat="1" ht="12.75" customHeight="1" x14ac:dyDescent="0.2">
      <c r="A181" s="226" t="s">
        <v>53</v>
      </c>
      <c r="B181" s="228">
        <v>46083</v>
      </c>
      <c r="C181" s="229" t="s">
        <v>623</v>
      </c>
      <c r="D181" s="229" t="s">
        <v>55</v>
      </c>
      <c r="E181" s="229" t="s">
        <v>110</v>
      </c>
      <c r="F181" s="229" t="s">
        <v>19</v>
      </c>
      <c r="G181" s="227">
        <v>1000</v>
      </c>
      <c r="H181" s="230"/>
      <c r="I181" s="231">
        <v>214328.5</v>
      </c>
      <c r="J181" s="232" t="s">
        <v>428</v>
      </c>
      <c r="K181" s="233">
        <v>2</v>
      </c>
    </row>
    <row r="182" spans="1:11" s="226" customFormat="1" ht="12.75" customHeight="1" x14ac:dyDescent="0.2">
      <c r="A182" s="226" t="s">
        <v>53</v>
      </c>
      <c r="B182" s="228">
        <v>46083</v>
      </c>
      <c r="C182" s="229" t="s">
        <v>623</v>
      </c>
      <c r="D182" s="229" t="s">
        <v>55</v>
      </c>
      <c r="E182" s="229" t="s">
        <v>110</v>
      </c>
      <c r="F182" s="229" t="s">
        <v>19</v>
      </c>
      <c r="G182" s="227">
        <v>48.96</v>
      </c>
      <c r="H182" s="230"/>
      <c r="I182" s="231">
        <v>214377.46</v>
      </c>
      <c r="J182" s="232" t="s">
        <v>428</v>
      </c>
      <c r="K182" s="233">
        <v>2</v>
      </c>
    </row>
    <row r="183" spans="1:11" s="226" customFormat="1" ht="12.75" customHeight="1" x14ac:dyDescent="0.2">
      <c r="A183" s="226" t="s">
        <v>69</v>
      </c>
      <c r="B183" s="228">
        <v>46083</v>
      </c>
      <c r="C183" s="229" t="s">
        <v>624</v>
      </c>
      <c r="D183" s="229" t="s">
        <v>625</v>
      </c>
      <c r="E183" s="229" t="s">
        <v>135</v>
      </c>
      <c r="F183" s="229" t="s">
        <v>130</v>
      </c>
      <c r="G183" s="227">
        <v>49.52</v>
      </c>
      <c r="H183" s="230"/>
      <c r="I183" s="231">
        <v>214426.98</v>
      </c>
      <c r="J183" s="224" t="s">
        <v>425</v>
      </c>
      <c r="K183" s="233">
        <v>2</v>
      </c>
    </row>
    <row r="184" spans="1:11" s="226" customFormat="1" ht="12.75" customHeight="1" x14ac:dyDescent="0.2">
      <c r="A184" s="226" t="s">
        <v>69</v>
      </c>
      <c r="B184" s="228">
        <v>46083</v>
      </c>
      <c r="C184" s="229" t="s">
        <v>624</v>
      </c>
      <c r="D184" s="229" t="s">
        <v>625</v>
      </c>
      <c r="E184" s="229" t="s">
        <v>135</v>
      </c>
      <c r="F184" s="229" t="s">
        <v>130</v>
      </c>
      <c r="G184" s="227">
        <v>1005</v>
      </c>
      <c r="H184" s="230"/>
      <c r="I184" s="231">
        <v>215431.98</v>
      </c>
      <c r="J184" s="224" t="s">
        <v>425</v>
      </c>
      <c r="K184" s="233">
        <v>2</v>
      </c>
    </row>
    <row r="185" spans="1:11" s="226" customFormat="1" ht="12.75" customHeight="1" x14ac:dyDescent="0.2">
      <c r="A185" s="226" t="s">
        <v>69</v>
      </c>
      <c r="B185" s="228">
        <v>46083</v>
      </c>
      <c r="C185" s="229" t="s">
        <v>624</v>
      </c>
      <c r="D185" s="229" t="s">
        <v>625</v>
      </c>
      <c r="E185" s="229" t="s">
        <v>135</v>
      </c>
      <c r="F185" s="229" t="s">
        <v>130</v>
      </c>
      <c r="G185" s="227">
        <v>385</v>
      </c>
      <c r="H185" s="230"/>
      <c r="I185" s="231">
        <v>215816.98</v>
      </c>
      <c r="J185" s="232" t="s">
        <v>425</v>
      </c>
      <c r="K185" s="233">
        <v>2</v>
      </c>
    </row>
    <row r="186" spans="1:11" s="226" customFormat="1" ht="12.75" customHeight="1" x14ac:dyDescent="0.2">
      <c r="A186" s="226" t="s">
        <v>53</v>
      </c>
      <c r="B186" s="228">
        <v>46083</v>
      </c>
      <c r="C186" s="229" t="s">
        <v>626</v>
      </c>
      <c r="D186" s="229" t="s">
        <v>55</v>
      </c>
      <c r="E186" s="229" t="s">
        <v>126</v>
      </c>
      <c r="F186" s="229" t="s">
        <v>19</v>
      </c>
      <c r="G186" s="227">
        <v>1000</v>
      </c>
      <c r="H186" s="230"/>
      <c r="I186" s="231">
        <v>216816.98</v>
      </c>
      <c r="J186" s="232" t="s">
        <v>428</v>
      </c>
      <c r="K186" s="233">
        <v>2</v>
      </c>
    </row>
    <row r="187" spans="1:11" s="226" customFormat="1" ht="12.75" customHeight="1" x14ac:dyDescent="0.2">
      <c r="A187" s="226" t="s">
        <v>53</v>
      </c>
      <c r="B187" s="228">
        <v>46083</v>
      </c>
      <c r="C187" s="229" t="s">
        <v>626</v>
      </c>
      <c r="D187" s="229" t="s">
        <v>55</v>
      </c>
      <c r="E187" s="229" t="s">
        <v>126</v>
      </c>
      <c r="F187" s="229" t="s">
        <v>19</v>
      </c>
      <c r="G187" s="227">
        <v>48.96</v>
      </c>
      <c r="H187" s="230"/>
      <c r="I187" s="231">
        <v>216865.94</v>
      </c>
      <c r="J187" s="224" t="s">
        <v>428</v>
      </c>
      <c r="K187" s="233">
        <v>2</v>
      </c>
    </row>
    <row r="188" spans="1:11" s="226" customFormat="1" ht="12.75" customHeight="1" x14ac:dyDescent="0.2">
      <c r="A188" s="226" t="s">
        <v>53</v>
      </c>
      <c r="B188" s="228">
        <v>46083</v>
      </c>
      <c r="C188" s="229" t="s">
        <v>627</v>
      </c>
      <c r="D188" s="229" t="s">
        <v>628</v>
      </c>
      <c r="E188" s="229" t="s">
        <v>62</v>
      </c>
      <c r="F188" s="229" t="s">
        <v>130</v>
      </c>
      <c r="G188" s="227">
        <v>48.96</v>
      </c>
      <c r="H188" s="230"/>
      <c r="I188" s="231">
        <v>216914.9</v>
      </c>
      <c r="J188" s="224" t="s">
        <v>423</v>
      </c>
      <c r="K188" s="233">
        <v>2</v>
      </c>
    </row>
    <row r="189" spans="1:11" s="226" customFormat="1" ht="12.75" customHeight="1" x14ac:dyDescent="0.2">
      <c r="A189" s="226" t="s">
        <v>53</v>
      </c>
      <c r="B189" s="228">
        <v>46083</v>
      </c>
      <c r="C189" s="229" t="s">
        <v>627</v>
      </c>
      <c r="D189" s="229" t="s">
        <v>628</v>
      </c>
      <c r="E189" s="229" t="s">
        <v>62</v>
      </c>
      <c r="F189" s="229" t="s">
        <v>130</v>
      </c>
      <c r="G189" s="227">
        <v>1000</v>
      </c>
      <c r="H189" s="230"/>
      <c r="I189" s="231">
        <v>217914.9</v>
      </c>
      <c r="J189" s="232" t="s">
        <v>423</v>
      </c>
      <c r="K189" s="233">
        <v>2</v>
      </c>
    </row>
    <row r="190" spans="1:11" s="226" customFormat="1" ht="12.75" customHeight="1" x14ac:dyDescent="0.2">
      <c r="A190" s="226" t="s">
        <v>69</v>
      </c>
      <c r="B190" s="228">
        <v>46083</v>
      </c>
      <c r="C190" s="229" t="s">
        <v>629</v>
      </c>
      <c r="D190" s="229" t="s">
        <v>55</v>
      </c>
      <c r="E190" s="229" t="s">
        <v>116</v>
      </c>
      <c r="F190" s="229" t="s">
        <v>57</v>
      </c>
      <c r="G190" s="227">
        <v>1005</v>
      </c>
      <c r="H190" s="230"/>
      <c r="I190" s="231">
        <v>218919.9</v>
      </c>
      <c r="J190" s="232" t="s">
        <v>428</v>
      </c>
      <c r="K190" s="233">
        <v>2</v>
      </c>
    </row>
    <row r="191" spans="1:11" s="226" customFormat="1" ht="12.75" customHeight="1" x14ac:dyDescent="0.2">
      <c r="A191" s="226" t="s">
        <v>69</v>
      </c>
      <c r="B191" s="228">
        <v>46083</v>
      </c>
      <c r="C191" s="229" t="s">
        <v>629</v>
      </c>
      <c r="D191" s="229" t="s">
        <v>55</v>
      </c>
      <c r="E191" s="229" t="s">
        <v>116</v>
      </c>
      <c r="F191" s="229" t="s">
        <v>57</v>
      </c>
      <c r="G191" s="227">
        <v>49.52</v>
      </c>
      <c r="H191" s="230"/>
      <c r="I191" s="231">
        <v>218969.42</v>
      </c>
      <c r="J191" s="224" t="s">
        <v>428</v>
      </c>
      <c r="K191" s="233">
        <v>2</v>
      </c>
    </row>
    <row r="192" spans="1:11" s="226" customFormat="1" ht="12.75" customHeight="1" x14ac:dyDescent="0.2">
      <c r="A192" s="226" t="s">
        <v>69</v>
      </c>
      <c r="B192" s="228">
        <v>46083</v>
      </c>
      <c r="C192" s="229" t="s">
        <v>630</v>
      </c>
      <c r="D192" s="229" t="s">
        <v>55</v>
      </c>
      <c r="E192" s="229" t="s">
        <v>117</v>
      </c>
      <c r="F192" s="229" t="s">
        <v>22</v>
      </c>
      <c r="G192" s="235">
        <v>1005</v>
      </c>
      <c r="H192" s="230"/>
      <c r="I192" s="231">
        <v>219974.42</v>
      </c>
      <c r="J192" s="224" t="s">
        <v>426</v>
      </c>
      <c r="K192" s="233">
        <v>2</v>
      </c>
    </row>
    <row r="193" spans="1:11" s="226" customFormat="1" ht="12.75" customHeight="1" x14ac:dyDescent="0.2">
      <c r="A193" s="226" t="s">
        <v>69</v>
      </c>
      <c r="B193" s="228">
        <v>46083</v>
      </c>
      <c r="C193" s="229" t="s">
        <v>630</v>
      </c>
      <c r="D193" s="229" t="s">
        <v>55</v>
      </c>
      <c r="E193" s="229" t="s">
        <v>117</v>
      </c>
      <c r="F193" s="229" t="s">
        <v>22</v>
      </c>
      <c r="G193" s="235">
        <v>49.52</v>
      </c>
      <c r="H193" s="230"/>
      <c r="I193" s="231">
        <v>220023.94</v>
      </c>
      <c r="J193" s="224" t="s">
        <v>426</v>
      </c>
      <c r="K193" s="233">
        <v>2</v>
      </c>
    </row>
    <row r="194" spans="1:11" s="226" customFormat="1" ht="12.75" customHeight="1" x14ac:dyDescent="0.2">
      <c r="A194" s="226" t="s">
        <v>53</v>
      </c>
      <c r="B194" s="228">
        <v>46083</v>
      </c>
      <c r="C194" s="229" t="s">
        <v>631</v>
      </c>
      <c r="D194" s="229" t="s">
        <v>632</v>
      </c>
      <c r="E194" s="229" t="s">
        <v>632</v>
      </c>
      <c r="F194" s="229" t="s">
        <v>632</v>
      </c>
      <c r="G194" s="227">
        <v>592.08000000000004</v>
      </c>
      <c r="H194" s="230"/>
      <c r="I194" s="231">
        <v>220616.02</v>
      </c>
      <c r="J194" s="224" t="s">
        <v>429</v>
      </c>
      <c r="K194" s="233">
        <v>2</v>
      </c>
    </row>
    <row r="195" spans="1:11" s="226" customFormat="1" ht="12.75" customHeight="1" x14ac:dyDescent="0.2">
      <c r="A195" s="226" t="s">
        <v>53</v>
      </c>
      <c r="B195" s="228">
        <v>46084</v>
      </c>
      <c r="C195" s="229" t="s">
        <v>633</v>
      </c>
      <c r="D195" s="229" t="s">
        <v>634</v>
      </c>
      <c r="E195" s="229" t="s">
        <v>258</v>
      </c>
      <c r="F195" s="229" t="s">
        <v>963</v>
      </c>
      <c r="G195" s="227"/>
      <c r="H195" s="230">
        <v>-27.48</v>
      </c>
      <c r="I195" s="231">
        <v>220588.54</v>
      </c>
      <c r="J195" s="228">
        <v>46104</v>
      </c>
      <c r="K195" s="233">
        <v>-4</v>
      </c>
    </row>
    <row r="196" spans="1:11" s="226" customFormat="1" ht="12.75" customHeight="1" x14ac:dyDescent="0.2">
      <c r="A196" s="226" t="s">
        <v>53</v>
      </c>
      <c r="B196" s="228">
        <v>46084</v>
      </c>
      <c r="C196" s="229" t="s">
        <v>635</v>
      </c>
      <c r="D196" s="229" t="s">
        <v>636</v>
      </c>
      <c r="E196" s="229" t="s">
        <v>265</v>
      </c>
      <c r="F196" s="229" t="s">
        <v>119</v>
      </c>
      <c r="G196" s="227"/>
      <c r="H196" s="230">
        <v>-822.61</v>
      </c>
      <c r="I196" s="231">
        <v>219765.93</v>
      </c>
      <c r="J196" s="228">
        <v>46094</v>
      </c>
      <c r="K196" s="233">
        <v>-4</v>
      </c>
    </row>
    <row r="197" spans="1:11" s="226" customFormat="1" ht="12.75" customHeight="1" x14ac:dyDescent="0.2">
      <c r="A197" s="226" t="s">
        <v>53</v>
      </c>
      <c r="B197" s="228">
        <v>46084</v>
      </c>
      <c r="C197" s="229" t="s">
        <v>635</v>
      </c>
      <c r="D197" s="229" t="s">
        <v>636</v>
      </c>
      <c r="E197" s="229" t="s">
        <v>265</v>
      </c>
      <c r="F197" s="229" t="s">
        <v>119</v>
      </c>
      <c r="G197" s="227"/>
      <c r="H197" s="230">
        <v>-3290.43</v>
      </c>
      <c r="I197" s="231">
        <v>216475.5</v>
      </c>
      <c r="J197" s="228">
        <v>46094</v>
      </c>
      <c r="K197" s="233">
        <v>-4</v>
      </c>
    </row>
    <row r="198" spans="1:11" s="226" customFormat="1" ht="12.75" customHeight="1" x14ac:dyDescent="0.2">
      <c r="A198" s="226" t="s">
        <v>69</v>
      </c>
      <c r="B198" s="228">
        <v>46084</v>
      </c>
      <c r="C198" s="229" t="s">
        <v>635</v>
      </c>
      <c r="D198" s="229" t="s">
        <v>636</v>
      </c>
      <c r="E198" s="229" t="s">
        <v>265</v>
      </c>
      <c r="F198" s="229" t="s">
        <v>119</v>
      </c>
      <c r="G198" s="227"/>
      <c r="H198" s="230">
        <v>-798.45</v>
      </c>
      <c r="I198" s="231">
        <v>215677.05</v>
      </c>
      <c r="J198" s="228">
        <v>46094</v>
      </c>
      <c r="K198" s="233">
        <v>-4</v>
      </c>
    </row>
    <row r="199" spans="1:11" s="226" customFormat="1" ht="12.75" customHeight="1" x14ac:dyDescent="0.2">
      <c r="A199" s="226" t="s">
        <v>69</v>
      </c>
      <c r="B199" s="228">
        <v>46084</v>
      </c>
      <c r="C199" s="229" t="s">
        <v>635</v>
      </c>
      <c r="D199" s="229" t="s">
        <v>636</v>
      </c>
      <c r="E199" s="229" t="s">
        <v>265</v>
      </c>
      <c r="F199" s="229" t="s">
        <v>119</v>
      </c>
      <c r="G199" s="227"/>
      <c r="H199" s="230">
        <v>-3193.79</v>
      </c>
      <c r="I199" s="231">
        <v>212483.26</v>
      </c>
      <c r="J199" s="228">
        <v>46094</v>
      </c>
      <c r="K199" s="233">
        <v>-4</v>
      </c>
    </row>
    <row r="200" spans="1:11" s="226" customFormat="1" ht="12.75" customHeight="1" x14ac:dyDescent="0.2">
      <c r="A200" s="226" t="s">
        <v>69</v>
      </c>
      <c r="B200" s="228">
        <v>46084</v>
      </c>
      <c r="C200" s="229" t="s">
        <v>637</v>
      </c>
      <c r="D200" s="229" t="s">
        <v>638</v>
      </c>
      <c r="E200" s="229" t="s">
        <v>131</v>
      </c>
      <c r="F200" s="229" t="s">
        <v>21</v>
      </c>
      <c r="G200" s="227">
        <v>49.52</v>
      </c>
      <c r="H200" s="230"/>
      <c r="I200" s="231">
        <v>212532.78</v>
      </c>
      <c r="J200" s="232" t="s">
        <v>423</v>
      </c>
      <c r="K200" s="233">
        <v>2</v>
      </c>
    </row>
    <row r="201" spans="1:11" s="226" customFormat="1" ht="12.75" customHeight="1" x14ac:dyDescent="0.2">
      <c r="A201" s="226" t="s">
        <v>69</v>
      </c>
      <c r="B201" s="228">
        <v>46084</v>
      </c>
      <c r="C201" s="229" t="s">
        <v>637</v>
      </c>
      <c r="D201" s="229" t="s">
        <v>638</v>
      </c>
      <c r="E201" s="229" t="s">
        <v>131</v>
      </c>
      <c r="F201" s="229" t="s">
        <v>21</v>
      </c>
      <c r="G201" s="227">
        <v>1005</v>
      </c>
      <c r="H201" s="230"/>
      <c r="I201" s="231">
        <v>213537.78</v>
      </c>
      <c r="J201" s="232" t="s">
        <v>423</v>
      </c>
      <c r="K201" s="233">
        <v>2</v>
      </c>
    </row>
    <row r="202" spans="1:11" s="226" customFormat="1" ht="12.75" customHeight="1" x14ac:dyDescent="0.2">
      <c r="A202" s="226" t="s">
        <v>69</v>
      </c>
      <c r="B202" s="228">
        <v>46084</v>
      </c>
      <c r="C202" s="229" t="s">
        <v>639</v>
      </c>
      <c r="D202" s="229" t="s">
        <v>640</v>
      </c>
      <c r="E202" s="229" t="s">
        <v>146</v>
      </c>
      <c r="F202" s="229" t="s">
        <v>85</v>
      </c>
      <c r="G202" s="235">
        <v>1020</v>
      </c>
      <c r="H202" s="230"/>
      <c r="I202" s="231">
        <v>214557.78</v>
      </c>
      <c r="J202" s="232" t="s">
        <v>426</v>
      </c>
      <c r="K202" s="233">
        <v>2</v>
      </c>
    </row>
    <row r="203" spans="1:11" s="226" customFormat="1" ht="12.75" customHeight="1" x14ac:dyDescent="0.2">
      <c r="A203" s="226" t="s">
        <v>69</v>
      </c>
      <c r="B203" s="228">
        <v>46084</v>
      </c>
      <c r="C203" s="229" t="s">
        <v>639</v>
      </c>
      <c r="D203" s="229" t="s">
        <v>640</v>
      </c>
      <c r="E203" s="229" t="s">
        <v>146</v>
      </c>
      <c r="F203" s="229" t="s">
        <v>85</v>
      </c>
      <c r="G203" s="235">
        <v>49.52</v>
      </c>
      <c r="H203" s="230"/>
      <c r="I203" s="231">
        <v>214607.3</v>
      </c>
      <c r="J203" s="224" t="s">
        <v>426</v>
      </c>
      <c r="K203" s="233">
        <v>2</v>
      </c>
    </row>
    <row r="204" spans="1:11" s="226" customFormat="1" ht="12.75" customHeight="1" x14ac:dyDescent="0.2">
      <c r="A204" s="226" t="s">
        <v>53</v>
      </c>
      <c r="B204" s="228">
        <v>46084</v>
      </c>
      <c r="C204" s="229" t="s">
        <v>641</v>
      </c>
      <c r="D204" s="229" t="s">
        <v>642</v>
      </c>
      <c r="E204" s="229" t="s">
        <v>123</v>
      </c>
      <c r="F204" s="229" t="s">
        <v>91</v>
      </c>
      <c r="G204" s="227">
        <v>48.96</v>
      </c>
      <c r="H204" s="230"/>
      <c r="I204" s="231">
        <v>214656.26</v>
      </c>
      <c r="J204" s="232" t="s">
        <v>423</v>
      </c>
      <c r="K204" s="233">
        <v>2</v>
      </c>
    </row>
    <row r="205" spans="1:11" s="226" customFormat="1" ht="12.75" customHeight="1" x14ac:dyDescent="0.2">
      <c r="A205" s="226" t="s">
        <v>53</v>
      </c>
      <c r="B205" s="228">
        <v>46084</v>
      </c>
      <c r="C205" s="229" t="s">
        <v>641</v>
      </c>
      <c r="D205" s="229" t="s">
        <v>642</v>
      </c>
      <c r="E205" s="229" t="s">
        <v>123</v>
      </c>
      <c r="F205" s="229" t="s">
        <v>91</v>
      </c>
      <c r="G205" s="227">
        <v>1000</v>
      </c>
      <c r="H205" s="230"/>
      <c r="I205" s="231">
        <v>215656.26</v>
      </c>
      <c r="J205" s="232" t="s">
        <v>423</v>
      </c>
      <c r="K205" s="233">
        <v>2</v>
      </c>
    </row>
    <row r="206" spans="1:11" s="226" customFormat="1" ht="12.75" customHeight="1" x14ac:dyDescent="0.2">
      <c r="A206" s="226" t="s">
        <v>53</v>
      </c>
      <c r="B206" s="228">
        <v>46084</v>
      </c>
      <c r="C206" s="229" t="s">
        <v>643</v>
      </c>
      <c r="D206" s="229" t="s">
        <v>55</v>
      </c>
      <c r="E206" s="229" t="s">
        <v>120</v>
      </c>
      <c r="F206" s="229" t="s">
        <v>57</v>
      </c>
      <c r="G206" s="235">
        <v>1000</v>
      </c>
      <c r="H206" s="230"/>
      <c r="I206" s="231">
        <v>216656.26</v>
      </c>
      <c r="J206" s="224" t="s">
        <v>426</v>
      </c>
      <c r="K206" s="233">
        <v>2</v>
      </c>
    </row>
    <row r="207" spans="1:11" s="226" customFormat="1" ht="12.75" customHeight="1" x14ac:dyDescent="0.2">
      <c r="A207" s="226" t="s">
        <v>53</v>
      </c>
      <c r="B207" s="228">
        <v>46084</v>
      </c>
      <c r="C207" s="229" t="s">
        <v>643</v>
      </c>
      <c r="D207" s="229" t="s">
        <v>55</v>
      </c>
      <c r="E207" s="229" t="s">
        <v>120</v>
      </c>
      <c r="F207" s="229" t="s">
        <v>57</v>
      </c>
      <c r="G207" s="235">
        <v>48.96</v>
      </c>
      <c r="H207" s="230"/>
      <c r="I207" s="231">
        <v>216705.22</v>
      </c>
      <c r="J207" s="224" t="s">
        <v>426</v>
      </c>
      <c r="K207" s="233">
        <v>2</v>
      </c>
    </row>
    <row r="208" spans="1:11" s="226" customFormat="1" ht="12.75" customHeight="1" x14ac:dyDescent="0.2">
      <c r="A208" s="226" t="s">
        <v>69</v>
      </c>
      <c r="B208" s="228">
        <v>46084</v>
      </c>
      <c r="C208" s="229" t="s">
        <v>644</v>
      </c>
      <c r="D208" s="229" t="s">
        <v>645</v>
      </c>
      <c r="E208" s="229" t="s">
        <v>107</v>
      </c>
      <c r="F208" s="229" t="s">
        <v>17</v>
      </c>
      <c r="G208" s="227">
        <v>49.52</v>
      </c>
      <c r="H208" s="230"/>
      <c r="I208" s="231">
        <v>216754.74</v>
      </c>
      <c r="J208" s="232" t="s">
        <v>423</v>
      </c>
      <c r="K208" s="233">
        <v>2</v>
      </c>
    </row>
    <row r="209" spans="1:11" s="226" customFormat="1" ht="12.75" customHeight="1" x14ac:dyDescent="0.2">
      <c r="A209" s="226" t="s">
        <v>69</v>
      </c>
      <c r="B209" s="228">
        <v>46084</v>
      </c>
      <c r="C209" s="229" t="s">
        <v>644</v>
      </c>
      <c r="D209" s="229" t="s">
        <v>645</v>
      </c>
      <c r="E209" s="229" t="s">
        <v>107</v>
      </c>
      <c r="F209" s="229" t="s">
        <v>17</v>
      </c>
      <c r="G209" s="227">
        <v>1020</v>
      </c>
      <c r="H209" s="230"/>
      <c r="I209" s="231">
        <v>217774.74</v>
      </c>
      <c r="J209" s="232" t="s">
        <v>423</v>
      </c>
      <c r="K209" s="233">
        <v>2</v>
      </c>
    </row>
    <row r="210" spans="1:11" s="226" customFormat="1" ht="12.75" customHeight="1" x14ac:dyDescent="0.2">
      <c r="A210" s="226" t="s">
        <v>53</v>
      </c>
      <c r="B210" s="228">
        <v>46084</v>
      </c>
      <c r="C210" s="229" t="s">
        <v>646</v>
      </c>
      <c r="D210" s="229" t="s">
        <v>55</v>
      </c>
      <c r="E210" s="229" t="s">
        <v>86</v>
      </c>
      <c r="F210" s="229" t="s">
        <v>964</v>
      </c>
      <c r="G210" s="235">
        <v>1000</v>
      </c>
      <c r="H210" s="230"/>
      <c r="I210" s="231">
        <v>218774.74</v>
      </c>
      <c r="J210" s="232" t="s">
        <v>426</v>
      </c>
      <c r="K210" s="233">
        <v>2</v>
      </c>
    </row>
    <row r="211" spans="1:11" s="226" customFormat="1" ht="12.75" customHeight="1" x14ac:dyDescent="0.2">
      <c r="A211" s="226" t="s">
        <v>53</v>
      </c>
      <c r="B211" s="228">
        <v>46084</v>
      </c>
      <c r="C211" s="229" t="s">
        <v>646</v>
      </c>
      <c r="D211" s="229" t="s">
        <v>55</v>
      </c>
      <c r="E211" s="229" t="s">
        <v>86</v>
      </c>
      <c r="F211" s="229" t="s">
        <v>964</v>
      </c>
      <c r="G211" s="235">
        <v>48.96</v>
      </c>
      <c r="H211" s="230"/>
      <c r="I211" s="231">
        <v>218823.7</v>
      </c>
      <c r="J211" s="232" t="s">
        <v>426</v>
      </c>
      <c r="K211" s="233">
        <v>2</v>
      </c>
    </row>
    <row r="212" spans="1:11" s="226" customFormat="1" ht="12.75" customHeight="1" x14ac:dyDescent="0.2">
      <c r="A212" s="226" t="s">
        <v>53</v>
      </c>
      <c r="B212" s="228">
        <v>46084</v>
      </c>
      <c r="C212" s="229" t="s">
        <v>647</v>
      </c>
      <c r="D212" s="229" t="s">
        <v>55</v>
      </c>
      <c r="E212" s="229" t="s">
        <v>112</v>
      </c>
      <c r="F212" s="229" t="s">
        <v>57</v>
      </c>
      <c r="G212" s="235">
        <v>1000</v>
      </c>
      <c r="H212" s="230"/>
      <c r="I212" s="231">
        <v>219823.7</v>
      </c>
      <c r="J212" s="232" t="s">
        <v>426</v>
      </c>
      <c r="K212" s="233">
        <v>2</v>
      </c>
    </row>
    <row r="213" spans="1:11" s="226" customFormat="1" ht="12.75" customHeight="1" x14ac:dyDescent="0.2">
      <c r="A213" s="226" t="s">
        <v>53</v>
      </c>
      <c r="B213" s="228">
        <v>46084</v>
      </c>
      <c r="C213" s="229" t="s">
        <v>647</v>
      </c>
      <c r="D213" s="229" t="s">
        <v>55</v>
      </c>
      <c r="E213" s="229" t="s">
        <v>112</v>
      </c>
      <c r="F213" s="229" t="s">
        <v>57</v>
      </c>
      <c r="G213" s="235">
        <v>48.96</v>
      </c>
      <c r="H213" s="230"/>
      <c r="I213" s="231">
        <v>219872.66</v>
      </c>
      <c r="J213" s="232" t="s">
        <v>426</v>
      </c>
      <c r="K213" s="233">
        <v>2</v>
      </c>
    </row>
    <row r="214" spans="1:11" s="226" customFormat="1" ht="12.75" customHeight="1" x14ac:dyDescent="0.2">
      <c r="A214" s="226" t="s">
        <v>69</v>
      </c>
      <c r="B214" s="228">
        <v>46084</v>
      </c>
      <c r="C214" s="229" t="s">
        <v>648</v>
      </c>
      <c r="D214" s="229" t="s">
        <v>55</v>
      </c>
      <c r="E214" s="229" t="s">
        <v>261</v>
      </c>
      <c r="F214" s="229" t="s">
        <v>57</v>
      </c>
      <c r="G214" s="235">
        <v>1020</v>
      </c>
      <c r="H214" s="230"/>
      <c r="I214" s="231">
        <v>220892.66</v>
      </c>
      <c r="J214" s="232" t="s">
        <v>426</v>
      </c>
      <c r="K214" s="233">
        <v>2</v>
      </c>
    </row>
    <row r="215" spans="1:11" s="226" customFormat="1" ht="12.75" customHeight="1" x14ac:dyDescent="0.2">
      <c r="A215" s="226" t="s">
        <v>69</v>
      </c>
      <c r="B215" s="228">
        <v>46084</v>
      </c>
      <c r="C215" s="229" t="s">
        <v>648</v>
      </c>
      <c r="D215" s="229" t="s">
        <v>55</v>
      </c>
      <c r="E215" s="229" t="s">
        <v>261</v>
      </c>
      <c r="F215" s="229" t="s">
        <v>57</v>
      </c>
      <c r="G215" s="235">
        <v>49.52</v>
      </c>
      <c r="H215" s="230"/>
      <c r="I215" s="231">
        <v>220942.18</v>
      </c>
      <c r="J215" s="232" t="s">
        <v>426</v>
      </c>
      <c r="K215" s="233">
        <v>2</v>
      </c>
    </row>
    <row r="216" spans="1:11" s="226" customFormat="1" ht="12.75" customHeight="1" x14ac:dyDescent="0.2">
      <c r="A216" s="226" t="s">
        <v>53</v>
      </c>
      <c r="B216" s="228">
        <v>46084</v>
      </c>
      <c r="C216" s="229" t="s">
        <v>649</v>
      </c>
      <c r="D216" s="229" t="s">
        <v>650</v>
      </c>
      <c r="E216" s="229" t="s">
        <v>133</v>
      </c>
      <c r="F216" s="229" t="s">
        <v>21</v>
      </c>
      <c r="G216" s="227">
        <v>48.96</v>
      </c>
      <c r="H216" s="230"/>
      <c r="I216" s="231">
        <v>220991.14</v>
      </c>
      <c r="J216" s="232" t="s">
        <v>423</v>
      </c>
      <c r="K216" s="233">
        <v>2</v>
      </c>
    </row>
    <row r="217" spans="1:11" s="226" customFormat="1" ht="12.75" customHeight="1" x14ac:dyDescent="0.2">
      <c r="A217" s="226" t="s">
        <v>53</v>
      </c>
      <c r="B217" s="228">
        <v>46084</v>
      </c>
      <c r="C217" s="229" t="s">
        <v>649</v>
      </c>
      <c r="D217" s="229" t="s">
        <v>650</v>
      </c>
      <c r="E217" s="229" t="s">
        <v>133</v>
      </c>
      <c r="F217" s="229" t="s">
        <v>21</v>
      </c>
      <c r="G217" s="227">
        <v>1000</v>
      </c>
      <c r="H217" s="230"/>
      <c r="I217" s="231">
        <v>221991.14</v>
      </c>
      <c r="J217" s="232" t="s">
        <v>423</v>
      </c>
      <c r="K217" s="233">
        <v>2</v>
      </c>
    </row>
    <row r="218" spans="1:11" s="226" customFormat="1" ht="12.75" customHeight="1" x14ac:dyDescent="0.2">
      <c r="A218" s="226" t="s">
        <v>53</v>
      </c>
      <c r="B218" s="228">
        <v>46084</v>
      </c>
      <c r="C218" s="229" t="s">
        <v>651</v>
      </c>
      <c r="D218" s="229" t="s">
        <v>55</v>
      </c>
      <c r="E218" s="229" t="s">
        <v>159</v>
      </c>
      <c r="F218" s="229" t="s">
        <v>22</v>
      </c>
      <c r="G218" s="235">
        <v>1000</v>
      </c>
      <c r="H218" s="230"/>
      <c r="I218" s="231">
        <v>222991.14</v>
      </c>
      <c r="J218" s="224" t="s">
        <v>426</v>
      </c>
      <c r="K218" s="233">
        <v>2</v>
      </c>
    </row>
    <row r="219" spans="1:11" s="226" customFormat="1" ht="12.75" customHeight="1" x14ac:dyDescent="0.2">
      <c r="A219" s="226" t="s">
        <v>53</v>
      </c>
      <c r="B219" s="228">
        <v>46084</v>
      </c>
      <c r="C219" s="229" t="s">
        <v>651</v>
      </c>
      <c r="D219" s="229" t="s">
        <v>55</v>
      </c>
      <c r="E219" s="229" t="s">
        <v>159</v>
      </c>
      <c r="F219" s="229" t="s">
        <v>22</v>
      </c>
      <c r="G219" s="235">
        <v>48.96</v>
      </c>
      <c r="H219" s="230"/>
      <c r="I219" s="231">
        <v>223040.1</v>
      </c>
      <c r="J219" s="224" t="s">
        <v>426</v>
      </c>
      <c r="K219" s="233">
        <v>2</v>
      </c>
    </row>
    <row r="220" spans="1:11" s="226" customFormat="1" ht="12.75" customHeight="1" x14ac:dyDescent="0.2">
      <c r="A220" s="226" t="s">
        <v>53</v>
      </c>
      <c r="B220" s="228">
        <v>46084</v>
      </c>
      <c r="C220" s="229" t="s">
        <v>652</v>
      </c>
      <c r="D220" s="229" t="s">
        <v>653</v>
      </c>
      <c r="E220" s="229" t="s">
        <v>127</v>
      </c>
      <c r="F220" s="229" t="s">
        <v>20</v>
      </c>
      <c r="G220" s="227">
        <v>75</v>
      </c>
      <c r="H220" s="230"/>
      <c r="I220" s="231">
        <v>223115.1</v>
      </c>
      <c r="J220" s="232" t="s">
        <v>426</v>
      </c>
      <c r="K220" s="233">
        <v>2</v>
      </c>
    </row>
    <row r="221" spans="1:11" s="226" customFormat="1" ht="12.75" customHeight="1" x14ac:dyDescent="0.2">
      <c r="A221" s="226" t="s">
        <v>53</v>
      </c>
      <c r="B221" s="228">
        <v>46084</v>
      </c>
      <c r="C221" s="229" t="s">
        <v>652</v>
      </c>
      <c r="D221" s="229" t="s">
        <v>653</v>
      </c>
      <c r="E221" s="229" t="s">
        <v>127</v>
      </c>
      <c r="F221" s="229" t="s">
        <v>20</v>
      </c>
      <c r="G221" s="227">
        <v>75</v>
      </c>
      <c r="H221" s="230"/>
      <c r="I221" s="231">
        <v>223190.1</v>
      </c>
      <c r="J221" s="232" t="s">
        <v>426</v>
      </c>
      <c r="K221" s="233">
        <v>2</v>
      </c>
    </row>
    <row r="222" spans="1:11" s="226" customFormat="1" ht="12.75" customHeight="1" x14ac:dyDescent="0.2">
      <c r="A222" s="226" t="s">
        <v>53</v>
      </c>
      <c r="B222" s="228">
        <v>46084</v>
      </c>
      <c r="C222" s="229" t="s">
        <v>652</v>
      </c>
      <c r="D222" s="229" t="s">
        <v>653</v>
      </c>
      <c r="E222" s="229" t="s">
        <v>127</v>
      </c>
      <c r="F222" s="229" t="s">
        <v>20</v>
      </c>
      <c r="G222" s="227">
        <v>923.9</v>
      </c>
      <c r="H222" s="230"/>
      <c r="I222" s="231">
        <v>224114</v>
      </c>
      <c r="J222" s="232" t="s">
        <v>426</v>
      </c>
      <c r="K222" s="233">
        <v>2</v>
      </c>
    </row>
    <row r="223" spans="1:11" s="226" customFormat="1" ht="12.75" customHeight="1" x14ac:dyDescent="0.2">
      <c r="A223" s="226" t="s">
        <v>53</v>
      </c>
      <c r="B223" s="228">
        <v>46084</v>
      </c>
      <c r="C223" s="229" t="s">
        <v>652</v>
      </c>
      <c r="D223" s="229" t="s">
        <v>653</v>
      </c>
      <c r="E223" s="229" t="s">
        <v>127</v>
      </c>
      <c r="F223" s="229" t="s">
        <v>20</v>
      </c>
      <c r="G223" s="227">
        <v>48.96</v>
      </c>
      <c r="H223" s="230"/>
      <c r="I223" s="231">
        <v>224162.96</v>
      </c>
      <c r="J223" s="232" t="s">
        <v>426</v>
      </c>
      <c r="K223" s="233">
        <v>2</v>
      </c>
    </row>
    <row r="224" spans="1:11" s="226" customFormat="1" ht="12.75" customHeight="1" x14ac:dyDescent="0.2">
      <c r="A224" s="226" t="s">
        <v>53</v>
      </c>
      <c r="B224" s="228">
        <v>46084</v>
      </c>
      <c r="C224" s="229" t="s">
        <v>652</v>
      </c>
      <c r="D224" s="229" t="s">
        <v>653</v>
      </c>
      <c r="E224" s="229" t="s">
        <v>127</v>
      </c>
      <c r="F224" s="229" t="s">
        <v>20</v>
      </c>
      <c r="G224" s="227">
        <v>78.02</v>
      </c>
      <c r="H224" s="230"/>
      <c r="I224" s="231">
        <v>224240.98</v>
      </c>
      <c r="J224" s="232" t="s">
        <v>426</v>
      </c>
      <c r="K224" s="233">
        <v>2</v>
      </c>
    </row>
    <row r="225" spans="1:11" s="226" customFormat="1" ht="12.75" customHeight="1" x14ac:dyDescent="0.2">
      <c r="A225" s="226" t="s">
        <v>53</v>
      </c>
      <c r="B225" s="228">
        <v>46084</v>
      </c>
      <c r="C225" s="229" t="s">
        <v>654</v>
      </c>
      <c r="D225" s="229" t="s">
        <v>655</v>
      </c>
      <c r="E225" s="229" t="s">
        <v>289</v>
      </c>
      <c r="F225" s="229" t="s">
        <v>20</v>
      </c>
      <c r="G225" s="227">
        <v>500</v>
      </c>
      <c r="H225" s="230"/>
      <c r="I225" s="231">
        <v>224740.98</v>
      </c>
      <c r="J225" s="232" t="s">
        <v>426</v>
      </c>
      <c r="K225" s="233">
        <v>2</v>
      </c>
    </row>
    <row r="226" spans="1:11" s="226" customFormat="1" ht="12.75" customHeight="1" x14ac:dyDescent="0.2">
      <c r="A226" s="226" t="s">
        <v>53</v>
      </c>
      <c r="B226" s="228">
        <v>46084</v>
      </c>
      <c r="C226" s="229" t="s">
        <v>656</v>
      </c>
      <c r="D226" s="229" t="s">
        <v>657</v>
      </c>
      <c r="E226" s="229" t="s">
        <v>289</v>
      </c>
      <c r="F226" s="229" t="s">
        <v>20</v>
      </c>
      <c r="G226" s="227">
        <v>500</v>
      </c>
      <c r="H226" s="230"/>
      <c r="I226" s="231">
        <v>225240.98</v>
      </c>
      <c r="J226" s="224" t="s">
        <v>426</v>
      </c>
      <c r="K226" s="233">
        <v>2</v>
      </c>
    </row>
    <row r="227" spans="1:11" s="226" customFormat="1" ht="12.75" customHeight="1" x14ac:dyDescent="0.2">
      <c r="A227" s="226" t="s">
        <v>53</v>
      </c>
      <c r="B227" s="228">
        <v>46084</v>
      </c>
      <c r="C227" s="229" t="s">
        <v>658</v>
      </c>
      <c r="D227" s="229" t="s">
        <v>659</v>
      </c>
      <c r="E227" s="229" t="s">
        <v>289</v>
      </c>
      <c r="F227" s="229" t="s">
        <v>20</v>
      </c>
      <c r="G227" s="227">
        <v>451.04</v>
      </c>
      <c r="H227" s="230"/>
      <c r="I227" s="231">
        <v>225692.02</v>
      </c>
      <c r="J227" s="224" t="s">
        <v>426</v>
      </c>
      <c r="K227" s="233">
        <v>2</v>
      </c>
    </row>
    <row r="228" spans="1:11" s="226" customFormat="1" ht="12.75" customHeight="1" x14ac:dyDescent="0.2">
      <c r="A228" s="226" t="s">
        <v>53</v>
      </c>
      <c r="B228" s="228">
        <v>46084</v>
      </c>
      <c r="C228" s="229" t="s">
        <v>658</v>
      </c>
      <c r="D228" s="229" t="s">
        <v>659</v>
      </c>
      <c r="E228" s="229" t="s">
        <v>289</v>
      </c>
      <c r="F228" s="229" t="s">
        <v>20</v>
      </c>
      <c r="G228" s="227">
        <v>48.96</v>
      </c>
      <c r="H228" s="230"/>
      <c r="I228" s="231">
        <v>225740.98</v>
      </c>
      <c r="J228" s="224" t="s">
        <v>426</v>
      </c>
      <c r="K228" s="233">
        <v>2</v>
      </c>
    </row>
    <row r="229" spans="1:11" s="226" customFormat="1" ht="12.75" customHeight="1" x14ac:dyDescent="0.2">
      <c r="A229" s="226" t="s">
        <v>53</v>
      </c>
      <c r="B229" s="228">
        <v>46084</v>
      </c>
      <c r="C229" s="229" t="s">
        <v>660</v>
      </c>
      <c r="D229" s="229" t="s">
        <v>661</v>
      </c>
      <c r="E229" s="229" t="s">
        <v>289</v>
      </c>
      <c r="F229" s="229" t="s">
        <v>20</v>
      </c>
      <c r="G229" s="227">
        <v>500</v>
      </c>
      <c r="H229" s="230"/>
      <c r="I229" s="231">
        <v>226240.98</v>
      </c>
      <c r="J229" s="224" t="s">
        <v>426</v>
      </c>
      <c r="K229" s="233">
        <v>2</v>
      </c>
    </row>
    <row r="230" spans="1:11" s="226" customFormat="1" ht="12.75" customHeight="1" x14ac:dyDescent="0.2">
      <c r="A230" s="226" t="s">
        <v>53</v>
      </c>
      <c r="B230" s="228">
        <v>46084</v>
      </c>
      <c r="C230" s="229" t="s">
        <v>662</v>
      </c>
      <c r="D230" s="229" t="s">
        <v>663</v>
      </c>
      <c r="E230" s="229" t="s">
        <v>289</v>
      </c>
      <c r="F230" s="229" t="s">
        <v>20</v>
      </c>
      <c r="G230" s="227">
        <v>48.96</v>
      </c>
      <c r="H230" s="230"/>
      <c r="I230" s="231">
        <v>226289.94</v>
      </c>
      <c r="J230" s="224" t="s">
        <v>426</v>
      </c>
      <c r="K230" s="233">
        <v>2</v>
      </c>
    </row>
    <row r="231" spans="1:11" s="226" customFormat="1" ht="12.75" customHeight="1" x14ac:dyDescent="0.2">
      <c r="A231" s="226" t="s">
        <v>53</v>
      </c>
      <c r="B231" s="228">
        <v>46084</v>
      </c>
      <c r="C231" s="229" t="s">
        <v>662</v>
      </c>
      <c r="D231" s="229" t="s">
        <v>663</v>
      </c>
      <c r="E231" s="229" t="s">
        <v>289</v>
      </c>
      <c r="F231" s="229" t="s">
        <v>20</v>
      </c>
      <c r="G231" s="227">
        <v>48.96</v>
      </c>
      <c r="H231" s="230"/>
      <c r="I231" s="231">
        <v>226338.9</v>
      </c>
      <c r="J231" s="224" t="s">
        <v>426</v>
      </c>
      <c r="K231" s="233">
        <v>2</v>
      </c>
    </row>
    <row r="232" spans="1:11" s="226" customFormat="1" ht="12.75" customHeight="1" x14ac:dyDescent="0.2">
      <c r="A232" s="226" t="s">
        <v>69</v>
      </c>
      <c r="B232" s="228">
        <v>46084</v>
      </c>
      <c r="C232" s="229" t="s">
        <v>664</v>
      </c>
      <c r="D232" s="229" t="s">
        <v>665</v>
      </c>
      <c r="E232" s="229" t="s">
        <v>128</v>
      </c>
      <c r="F232" s="229" t="s">
        <v>20</v>
      </c>
      <c r="G232" s="227">
        <v>9.91</v>
      </c>
      <c r="H232" s="230"/>
      <c r="I232" s="231">
        <v>226348.81</v>
      </c>
      <c r="J232" s="224" t="s">
        <v>426</v>
      </c>
      <c r="K232" s="233">
        <v>2</v>
      </c>
    </row>
    <row r="233" spans="1:11" s="226" customFormat="1" ht="12.75" customHeight="1" x14ac:dyDescent="0.2">
      <c r="A233" s="226" t="s">
        <v>69</v>
      </c>
      <c r="B233" s="228">
        <v>46084</v>
      </c>
      <c r="C233" s="229" t="s">
        <v>664</v>
      </c>
      <c r="D233" s="229" t="s">
        <v>665</v>
      </c>
      <c r="E233" s="229" t="s">
        <v>128</v>
      </c>
      <c r="F233" s="229" t="s">
        <v>20</v>
      </c>
      <c r="G233" s="227">
        <v>1005</v>
      </c>
      <c r="H233" s="230"/>
      <c r="I233" s="231">
        <v>227353.81</v>
      </c>
      <c r="J233" s="224" t="s">
        <v>426</v>
      </c>
      <c r="K233" s="233">
        <v>2</v>
      </c>
    </row>
    <row r="234" spans="1:11" s="226" customFormat="1" ht="12.75" customHeight="1" x14ac:dyDescent="0.2">
      <c r="A234" s="226" t="s">
        <v>69</v>
      </c>
      <c r="B234" s="228">
        <v>46084</v>
      </c>
      <c r="C234" s="229" t="s">
        <v>664</v>
      </c>
      <c r="D234" s="229" t="s">
        <v>665</v>
      </c>
      <c r="E234" s="229" t="s">
        <v>128</v>
      </c>
      <c r="F234" s="229" t="s">
        <v>20</v>
      </c>
      <c r="G234" s="227">
        <v>29.09</v>
      </c>
      <c r="H234" s="230"/>
      <c r="I234" s="231">
        <v>227382.9</v>
      </c>
      <c r="J234" s="224" t="s">
        <v>426</v>
      </c>
      <c r="K234" s="233">
        <v>2</v>
      </c>
    </row>
    <row r="235" spans="1:11" s="226" customFormat="1" ht="12.75" customHeight="1" x14ac:dyDescent="0.2">
      <c r="A235" s="226" t="s">
        <v>69</v>
      </c>
      <c r="B235" s="228">
        <v>46084</v>
      </c>
      <c r="C235" s="229" t="s">
        <v>666</v>
      </c>
      <c r="D235" s="229" t="s">
        <v>667</v>
      </c>
      <c r="E235" s="229" t="s">
        <v>235</v>
      </c>
      <c r="F235" s="229" t="s">
        <v>20</v>
      </c>
      <c r="G235" s="227">
        <v>500</v>
      </c>
      <c r="H235" s="230"/>
      <c r="I235" s="231">
        <v>227882.9</v>
      </c>
      <c r="J235" s="224" t="s">
        <v>426</v>
      </c>
      <c r="K235" s="233">
        <v>2</v>
      </c>
    </row>
    <row r="236" spans="1:11" s="226" customFormat="1" ht="12.75" customHeight="1" x14ac:dyDescent="0.2">
      <c r="A236" s="226" t="s">
        <v>69</v>
      </c>
      <c r="B236" s="228">
        <v>46084</v>
      </c>
      <c r="C236" s="229" t="s">
        <v>668</v>
      </c>
      <c r="D236" s="229" t="s">
        <v>669</v>
      </c>
      <c r="E236" s="229" t="s">
        <v>235</v>
      </c>
      <c r="F236" s="229" t="s">
        <v>20</v>
      </c>
      <c r="G236" s="227">
        <v>500</v>
      </c>
      <c r="H236" s="230"/>
      <c r="I236" s="231">
        <v>228382.9</v>
      </c>
      <c r="J236" s="224" t="s">
        <v>426</v>
      </c>
      <c r="K236" s="233">
        <v>2</v>
      </c>
    </row>
    <row r="237" spans="1:11" s="226" customFormat="1" ht="12.75" customHeight="1" x14ac:dyDescent="0.2">
      <c r="A237" s="226" t="s">
        <v>69</v>
      </c>
      <c r="B237" s="228">
        <v>46084</v>
      </c>
      <c r="C237" s="229" t="s">
        <v>670</v>
      </c>
      <c r="D237" s="229" t="s">
        <v>671</v>
      </c>
      <c r="E237" s="229" t="s">
        <v>235</v>
      </c>
      <c r="F237" s="229" t="s">
        <v>20</v>
      </c>
      <c r="G237" s="227">
        <v>5.32</v>
      </c>
      <c r="H237" s="230"/>
      <c r="I237" s="231">
        <v>228388.22</v>
      </c>
      <c r="J237" s="224" t="s">
        <v>426</v>
      </c>
      <c r="K237" s="233">
        <v>2</v>
      </c>
    </row>
    <row r="238" spans="1:11" s="226" customFormat="1" ht="12.75" customHeight="1" x14ac:dyDescent="0.2">
      <c r="A238" s="226" t="s">
        <v>69</v>
      </c>
      <c r="B238" s="228">
        <v>46084</v>
      </c>
      <c r="C238" s="229" t="s">
        <v>670</v>
      </c>
      <c r="D238" s="229" t="s">
        <v>671</v>
      </c>
      <c r="E238" s="229" t="s">
        <v>235</v>
      </c>
      <c r="F238" s="229" t="s">
        <v>20</v>
      </c>
      <c r="G238" s="227">
        <v>2.34</v>
      </c>
      <c r="H238" s="230"/>
      <c r="I238" s="231">
        <v>228390.56</v>
      </c>
      <c r="J238" s="232" t="s">
        <v>426</v>
      </c>
      <c r="K238" s="233">
        <v>2</v>
      </c>
    </row>
    <row r="239" spans="1:11" s="226" customFormat="1" ht="12.75" customHeight="1" x14ac:dyDescent="0.2">
      <c r="A239" s="226" t="s">
        <v>69</v>
      </c>
      <c r="B239" s="228">
        <v>46084</v>
      </c>
      <c r="C239" s="229" t="s">
        <v>670</v>
      </c>
      <c r="D239" s="229" t="s">
        <v>671</v>
      </c>
      <c r="E239" s="229" t="s">
        <v>235</v>
      </c>
      <c r="F239" s="229" t="s">
        <v>20</v>
      </c>
      <c r="G239" s="227">
        <v>49.52</v>
      </c>
      <c r="H239" s="230"/>
      <c r="I239" s="231">
        <v>228440.08</v>
      </c>
      <c r="J239" s="232" t="s">
        <v>426</v>
      </c>
      <c r="K239" s="233">
        <v>2</v>
      </c>
    </row>
    <row r="240" spans="1:11" s="226" customFormat="1" ht="12.75" customHeight="1" x14ac:dyDescent="0.2">
      <c r="A240" s="226" t="s">
        <v>69</v>
      </c>
      <c r="B240" s="228">
        <v>46084</v>
      </c>
      <c r="C240" s="229" t="s">
        <v>672</v>
      </c>
      <c r="D240" s="229" t="s">
        <v>673</v>
      </c>
      <c r="E240" s="229" t="s">
        <v>182</v>
      </c>
      <c r="F240" s="229" t="s">
        <v>20</v>
      </c>
      <c r="G240" s="227">
        <v>500</v>
      </c>
      <c r="H240" s="230"/>
      <c r="I240" s="231">
        <v>228940.08</v>
      </c>
      <c r="J240" s="232" t="s">
        <v>426</v>
      </c>
      <c r="K240" s="233">
        <v>2</v>
      </c>
    </row>
    <row r="241" spans="1:11" s="226" customFormat="1" ht="12.75" customHeight="1" x14ac:dyDescent="0.2">
      <c r="A241" s="226" t="s">
        <v>69</v>
      </c>
      <c r="B241" s="228">
        <v>46084</v>
      </c>
      <c r="C241" s="229" t="s">
        <v>674</v>
      </c>
      <c r="D241" s="229" t="s">
        <v>675</v>
      </c>
      <c r="E241" s="229" t="s">
        <v>182</v>
      </c>
      <c r="F241" s="229" t="s">
        <v>20</v>
      </c>
      <c r="G241" s="227">
        <v>500</v>
      </c>
      <c r="H241" s="230"/>
      <c r="I241" s="231">
        <v>229440.08</v>
      </c>
      <c r="J241" s="232" t="s">
        <v>426</v>
      </c>
      <c r="K241" s="233">
        <v>2</v>
      </c>
    </row>
    <row r="242" spans="1:11" s="226" customFormat="1" ht="12.75" customHeight="1" x14ac:dyDescent="0.2">
      <c r="A242" s="226" t="s">
        <v>69</v>
      </c>
      <c r="B242" s="228">
        <v>46084</v>
      </c>
      <c r="C242" s="229" t="s">
        <v>676</v>
      </c>
      <c r="D242" s="229" t="s">
        <v>677</v>
      </c>
      <c r="E242" s="229" t="s">
        <v>182</v>
      </c>
      <c r="F242" s="229" t="s">
        <v>20</v>
      </c>
      <c r="G242" s="227">
        <v>0.06</v>
      </c>
      <c r="H242" s="230"/>
      <c r="I242" s="231">
        <v>229440.14</v>
      </c>
      <c r="J242" s="232" t="s">
        <v>426</v>
      </c>
      <c r="K242" s="233">
        <v>2</v>
      </c>
    </row>
    <row r="243" spans="1:11" s="226" customFormat="1" ht="12.75" customHeight="1" x14ac:dyDescent="0.2">
      <c r="A243" s="226" t="s">
        <v>69</v>
      </c>
      <c r="B243" s="228">
        <v>46084</v>
      </c>
      <c r="C243" s="229" t="s">
        <v>676</v>
      </c>
      <c r="D243" s="229" t="s">
        <v>677</v>
      </c>
      <c r="E243" s="229" t="s">
        <v>182</v>
      </c>
      <c r="F243" s="229" t="s">
        <v>20</v>
      </c>
      <c r="G243" s="230">
        <v>4.96</v>
      </c>
      <c r="H243" s="230"/>
      <c r="I243" s="231">
        <v>229445.1</v>
      </c>
      <c r="J243" s="224" t="s">
        <v>426</v>
      </c>
      <c r="K243" s="233">
        <v>2</v>
      </c>
    </row>
    <row r="244" spans="1:11" s="226" customFormat="1" ht="12.75" customHeight="1" x14ac:dyDescent="0.2">
      <c r="A244" s="226" t="s">
        <v>69</v>
      </c>
      <c r="B244" s="228">
        <v>46084</v>
      </c>
      <c r="C244" s="229" t="s">
        <v>676</v>
      </c>
      <c r="D244" s="229" t="s">
        <v>677</v>
      </c>
      <c r="E244" s="229" t="s">
        <v>182</v>
      </c>
      <c r="F244" s="229" t="s">
        <v>20</v>
      </c>
      <c r="G244" s="230">
        <v>49.52</v>
      </c>
      <c r="H244" s="230"/>
      <c r="I244" s="231">
        <v>229494.62</v>
      </c>
      <c r="J244" s="224" t="s">
        <v>426</v>
      </c>
      <c r="K244" s="233">
        <v>2</v>
      </c>
    </row>
    <row r="245" spans="1:11" s="226" customFormat="1" ht="12.75" customHeight="1" x14ac:dyDescent="0.2">
      <c r="A245" s="226" t="s">
        <v>53</v>
      </c>
      <c r="B245" s="228">
        <v>46084</v>
      </c>
      <c r="C245" s="229" t="s">
        <v>678</v>
      </c>
      <c r="D245" s="229" t="s">
        <v>55</v>
      </c>
      <c r="E245" s="229" t="s">
        <v>101</v>
      </c>
      <c r="F245" s="229" t="s">
        <v>19</v>
      </c>
      <c r="G245" s="235">
        <v>1000</v>
      </c>
      <c r="H245" s="230"/>
      <c r="I245" s="231">
        <v>230494.62</v>
      </c>
      <c r="J245" s="224" t="s">
        <v>426</v>
      </c>
      <c r="K245" s="233">
        <v>2</v>
      </c>
    </row>
    <row r="246" spans="1:11" s="226" customFormat="1" ht="12.75" customHeight="1" x14ac:dyDescent="0.2">
      <c r="A246" s="226" t="s">
        <v>53</v>
      </c>
      <c r="B246" s="228">
        <v>46084</v>
      </c>
      <c r="C246" s="229" t="s">
        <v>678</v>
      </c>
      <c r="D246" s="229" t="s">
        <v>55</v>
      </c>
      <c r="E246" s="229" t="s">
        <v>101</v>
      </c>
      <c r="F246" s="229" t="s">
        <v>19</v>
      </c>
      <c r="G246" s="235">
        <v>48.96</v>
      </c>
      <c r="H246" s="230"/>
      <c r="I246" s="231">
        <v>230543.58</v>
      </c>
      <c r="J246" s="232" t="s">
        <v>426</v>
      </c>
      <c r="K246" s="233">
        <v>2</v>
      </c>
    </row>
    <row r="247" spans="1:11" s="226" customFormat="1" ht="12.75" customHeight="1" x14ac:dyDescent="0.2">
      <c r="A247" s="226" t="s">
        <v>53</v>
      </c>
      <c r="B247" s="228">
        <v>46084</v>
      </c>
      <c r="C247" s="229" t="s">
        <v>679</v>
      </c>
      <c r="D247" s="229" t="s">
        <v>680</v>
      </c>
      <c r="E247" s="229" t="s">
        <v>246</v>
      </c>
      <c r="F247" s="229" t="s">
        <v>17</v>
      </c>
      <c r="G247" s="227">
        <v>48.96</v>
      </c>
      <c r="H247" s="230"/>
      <c r="I247" s="231">
        <v>230592.54</v>
      </c>
      <c r="J247" s="232" t="s">
        <v>423</v>
      </c>
      <c r="K247" s="233">
        <v>2</v>
      </c>
    </row>
    <row r="248" spans="1:11" s="226" customFormat="1" ht="12.75" customHeight="1" x14ac:dyDescent="0.2">
      <c r="A248" s="226" t="s">
        <v>53</v>
      </c>
      <c r="B248" s="228">
        <v>46084</v>
      </c>
      <c r="C248" s="229" t="s">
        <v>679</v>
      </c>
      <c r="D248" s="229" t="s">
        <v>680</v>
      </c>
      <c r="E248" s="229" t="s">
        <v>246</v>
      </c>
      <c r="F248" s="229" t="s">
        <v>17</v>
      </c>
      <c r="G248" s="227">
        <v>140.11000000000001</v>
      </c>
      <c r="H248" s="230"/>
      <c r="I248" s="231">
        <v>230732.65</v>
      </c>
      <c r="J248" s="232" t="s">
        <v>423</v>
      </c>
      <c r="K248" s="233">
        <v>2</v>
      </c>
    </row>
    <row r="249" spans="1:11" s="226" customFormat="1" ht="12.75" customHeight="1" x14ac:dyDescent="0.2">
      <c r="A249" s="226" t="s">
        <v>53</v>
      </c>
      <c r="B249" s="228">
        <v>46084</v>
      </c>
      <c r="C249" s="229" t="s">
        <v>679</v>
      </c>
      <c r="D249" s="229" t="s">
        <v>680</v>
      </c>
      <c r="E249" s="229" t="s">
        <v>246</v>
      </c>
      <c r="F249" s="229" t="s">
        <v>17</v>
      </c>
      <c r="G249" s="227">
        <v>1000</v>
      </c>
      <c r="H249" s="230"/>
      <c r="I249" s="231">
        <v>231732.65</v>
      </c>
      <c r="J249" s="232" t="s">
        <v>423</v>
      </c>
      <c r="K249" s="233">
        <v>2</v>
      </c>
    </row>
    <row r="250" spans="1:11" s="226" customFormat="1" ht="12.75" customHeight="1" x14ac:dyDescent="0.2">
      <c r="A250" s="226" t="s">
        <v>53</v>
      </c>
      <c r="B250" s="228">
        <v>46084</v>
      </c>
      <c r="C250" s="229" t="s">
        <v>681</v>
      </c>
      <c r="D250" s="229" t="s">
        <v>55</v>
      </c>
      <c r="E250" s="229" t="s">
        <v>137</v>
      </c>
      <c r="F250" s="229" t="s">
        <v>57</v>
      </c>
      <c r="G250" s="235">
        <v>1000</v>
      </c>
      <c r="H250" s="230"/>
      <c r="I250" s="231">
        <v>232732.65</v>
      </c>
      <c r="J250" s="232" t="s">
        <v>426</v>
      </c>
      <c r="K250" s="233">
        <v>2</v>
      </c>
    </row>
    <row r="251" spans="1:11" s="226" customFormat="1" ht="12.75" customHeight="1" x14ac:dyDescent="0.2">
      <c r="A251" s="226" t="s">
        <v>53</v>
      </c>
      <c r="B251" s="228">
        <v>46084</v>
      </c>
      <c r="C251" s="229" t="s">
        <v>681</v>
      </c>
      <c r="D251" s="229" t="s">
        <v>55</v>
      </c>
      <c r="E251" s="229" t="s">
        <v>137</v>
      </c>
      <c r="F251" s="229" t="s">
        <v>57</v>
      </c>
      <c r="G251" s="235">
        <v>48.96</v>
      </c>
      <c r="H251" s="230"/>
      <c r="I251" s="231">
        <v>232781.61</v>
      </c>
      <c r="J251" s="232" t="s">
        <v>426</v>
      </c>
      <c r="K251" s="233">
        <v>2</v>
      </c>
    </row>
    <row r="252" spans="1:11" s="226" customFormat="1" ht="12.75" customHeight="1" x14ac:dyDescent="0.2">
      <c r="A252" s="226" t="s">
        <v>53</v>
      </c>
      <c r="B252" s="228">
        <v>46084</v>
      </c>
      <c r="C252" s="229" t="s">
        <v>682</v>
      </c>
      <c r="D252" s="229" t="s">
        <v>55</v>
      </c>
      <c r="E252" s="229" t="s">
        <v>183</v>
      </c>
      <c r="F252" s="229" t="s">
        <v>19</v>
      </c>
      <c r="G252" s="235">
        <v>1000</v>
      </c>
      <c r="H252" s="230"/>
      <c r="I252" s="231">
        <v>233781.61</v>
      </c>
      <c r="J252" s="232" t="s">
        <v>426</v>
      </c>
      <c r="K252" s="233">
        <v>2</v>
      </c>
    </row>
    <row r="253" spans="1:11" s="226" customFormat="1" ht="12.75" customHeight="1" x14ac:dyDescent="0.2">
      <c r="A253" s="226" t="s">
        <v>53</v>
      </c>
      <c r="B253" s="228">
        <v>46084</v>
      </c>
      <c r="C253" s="229" t="s">
        <v>682</v>
      </c>
      <c r="D253" s="229" t="s">
        <v>55</v>
      </c>
      <c r="E253" s="229" t="s">
        <v>183</v>
      </c>
      <c r="F253" s="229" t="s">
        <v>19</v>
      </c>
      <c r="G253" s="235">
        <v>48.96</v>
      </c>
      <c r="H253" s="230"/>
      <c r="I253" s="231">
        <v>233830.57</v>
      </c>
      <c r="J253" s="232" t="s">
        <v>426</v>
      </c>
      <c r="K253" s="233">
        <v>2</v>
      </c>
    </row>
    <row r="254" spans="1:11" s="226" customFormat="1" ht="12.75" customHeight="1" x14ac:dyDescent="0.2">
      <c r="A254" s="226" t="s">
        <v>69</v>
      </c>
      <c r="B254" s="228">
        <v>46084</v>
      </c>
      <c r="C254" s="229" t="s">
        <v>683</v>
      </c>
      <c r="D254" s="229" t="s">
        <v>684</v>
      </c>
      <c r="E254" s="229" t="s">
        <v>180</v>
      </c>
      <c r="F254" s="229" t="s">
        <v>16</v>
      </c>
      <c r="G254" s="227">
        <v>49.52</v>
      </c>
      <c r="H254" s="230"/>
      <c r="I254" s="231">
        <v>233880.09</v>
      </c>
      <c r="J254" s="232" t="s">
        <v>422</v>
      </c>
      <c r="K254" s="233">
        <v>2</v>
      </c>
    </row>
    <row r="255" spans="1:11" s="226" customFormat="1" ht="12.75" customHeight="1" x14ac:dyDescent="0.2">
      <c r="A255" s="226" t="s">
        <v>69</v>
      </c>
      <c r="B255" s="228">
        <v>46084</v>
      </c>
      <c r="C255" s="229" t="s">
        <v>683</v>
      </c>
      <c r="D255" s="229" t="s">
        <v>684</v>
      </c>
      <c r="E255" s="229" t="s">
        <v>180</v>
      </c>
      <c r="F255" s="229" t="s">
        <v>16</v>
      </c>
      <c r="G255" s="227">
        <v>1020</v>
      </c>
      <c r="H255" s="230"/>
      <c r="I255" s="231">
        <v>234900.09</v>
      </c>
      <c r="J255" s="232" t="s">
        <v>422</v>
      </c>
      <c r="K255" s="233">
        <v>2</v>
      </c>
    </row>
    <row r="256" spans="1:11" s="226" customFormat="1" ht="12.75" customHeight="1" x14ac:dyDescent="0.2">
      <c r="A256" s="226" t="s">
        <v>53</v>
      </c>
      <c r="B256" s="228">
        <v>46084</v>
      </c>
      <c r="C256" s="229" t="s">
        <v>685</v>
      </c>
      <c r="D256" s="229" t="s">
        <v>55</v>
      </c>
      <c r="E256" s="229" t="s">
        <v>82</v>
      </c>
      <c r="F256" s="229" t="s">
        <v>19</v>
      </c>
      <c r="G256" s="235">
        <v>1040</v>
      </c>
      <c r="H256" s="230"/>
      <c r="I256" s="231">
        <v>235940.09</v>
      </c>
      <c r="J256" s="232" t="s">
        <v>426</v>
      </c>
      <c r="K256" s="233">
        <v>2</v>
      </c>
    </row>
    <row r="257" spans="1:11" s="226" customFormat="1" ht="12.75" customHeight="1" x14ac:dyDescent="0.2">
      <c r="A257" s="226" t="s">
        <v>53</v>
      </c>
      <c r="B257" s="228">
        <v>46084</v>
      </c>
      <c r="C257" s="229" t="s">
        <v>685</v>
      </c>
      <c r="D257" s="229" t="s">
        <v>55</v>
      </c>
      <c r="E257" s="229" t="s">
        <v>82</v>
      </c>
      <c r="F257" s="229" t="s">
        <v>19</v>
      </c>
      <c r="G257" s="235">
        <v>48.96</v>
      </c>
      <c r="H257" s="230"/>
      <c r="I257" s="231">
        <v>235989.05</v>
      </c>
      <c r="J257" s="232" t="s">
        <v>426</v>
      </c>
      <c r="K257" s="233">
        <v>2</v>
      </c>
    </row>
    <row r="258" spans="1:11" s="226" customFormat="1" ht="12.75" customHeight="1" x14ac:dyDescent="0.2">
      <c r="A258" s="226" t="s">
        <v>53</v>
      </c>
      <c r="B258" s="228">
        <v>46084</v>
      </c>
      <c r="C258" s="229" t="s">
        <v>686</v>
      </c>
      <c r="D258" s="229" t="s">
        <v>687</v>
      </c>
      <c r="E258" s="229" t="s">
        <v>947</v>
      </c>
      <c r="F258" s="229" t="s">
        <v>965</v>
      </c>
      <c r="G258" s="259">
        <v>10154.49</v>
      </c>
      <c r="H258" s="230"/>
      <c r="I258" s="231">
        <v>246143.54</v>
      </c>
      <c r="J258" s="232" t="s">
        <v>428</v>
      </c>
      <c r="K258" s="233">
        <v>2</v>
      </c>
    </row>
    <row r="259" spans="1:11" s="226" customFormat="1" ht="12.75" customHeight="1" x14ac:dyDescent="0.2">
      <c r="A259" s="226" t="s">
        <v>69</v>
      </c>
      <c r="B259" s="228">
        <v>46084</v>
      </c>
      <c r="C259" s="229" t="s">
        <v>686</v>
      </c>
      <c r="D259" s="229" t="s">
        <v>687</v>
      </c>
      <c r="E259" s="229" t="s">
        <v>947</v>
      </c>
      <c r="F259" s="229" t="s">
        <v>966</v>
      </c>
      <c r="G259" s="259">
        <v>8291.4599999999991</v>
      </c>
      <c r="H259" s="230"/>
      <c r="I259" s="231">
        <v>254435</v>
      </c>
      <c r="J259" s="232" t="s">
        <v>428</v>
      </c>
      <c r="K259" s="233">
        <v>2</v>
      </c>
    </row>
    <row r="260" spans="1:11" s="226" customFormat="1" ht="12.75" customHeight="1" x14ac:dyDescent="0.2">
      <c r="A260" s="226" t="s">
        <v>69</v>
      </c>
      <c r="B260" s="228">
        <v>46085</v>
      </c>
      <c r="C260" s="229" t="s">
        <v>688</v>
      </c>
      <c r="D260" s="229" t="s">
        <v>689</v>
      </c>
      <c r="E260" s="229" t="s">
        <v>948</v>
      </c>
      <c r="F260" s="229" t="s">
        <v>967</v>
      </c>
      <c r="G260" s="227"/>
      <c r="H260" s="230">
        <v>-64.19</v>
      </c>
      <c r="I260" s="231">
        <v>254370.81</v>
      </c>
      <c r="J260" s="232" t="s">
        <v>425</v>
      </c>
      <c r="K260" s="233">
        <v>-2</v>
      </c>
    </row>
    <row r="261" spans="1:11" s="226" customFormat="1" ht="12.75" customHeight="1" x14ac:dyDescent="0.2">
      <c r="A261" s="226" t="s">
        <v>53</v>
      </c>
      <c r="B261" s="228">
        <v>46085</v>
      </c>
      <c r="C261" s="229" t="s">
        <v>690</v>
      </c>
      <c r="D261" s="229" t="s">
        <v>691</v>
      </c>
      <c r="E261" s="229" t="s">
        <v>189</v>
      </c>
      <c r="F261" s="229" t="s">
        <v>968</v>
      </c>
      <c r="G261" s="227"/>
      <c r="H261" s="250">
        <v>-55.82</v>
      </c>
      <c r="I261" s="231">
        <v>254314.99</v>
      </c>
      <c r="J261" s="232" t="s">
        <v>427</v>
      </c>
      <c r="K261" s="233">
        <v>-2</v>
      </c>
    </row>
    <row r="262" spans="1:11" s="226" customFormat="1" ht="12.75" customHeight="1" x14ac:dyDescent="0.2">
      <c r="A262" s="226" t="s">
        <v>53</v>
      </c>
      <c r="B262" s="228">
        <v>46085</v>
      </c>
      <c r="C262" s="229" t="s">
        <v>690</v>
      </c>
      <c r="D262" s="229" t="s">
        <v>691</v>
      </c>
      <c r="E262" s="229" t="s">
        <v>189</v>
      </c>
      <c r="F262" s="229" t="s">
        <v>968</v>
      </c>
      <c r="G262" s="227"/>
      <c r="H262" s="250">
        <v>-387.69</v>
      </c>
      <c r="I262" s="231">
        <v>253927.3</v>
      </c>
      <c r="J262" s="232" t="s">
        <v>427</v>
      </c>
      <c r="K262" s="233">
        <v>-2</v>
      </c>
    </row>
    <row r="263" spans="1:11" s="226" customFormat="1" ht="12.75" customHeight="1" x14ac:dyDescent="0.2">
      <c r="A263" s="226" t="s">
        <v>53</v>
      </c>
      <c r="B263" s="228">
        <v>46085</v>
      </c>
      <c r="C263" s="229" t="s">
        <v>690</v>
      </c>
      <c r="D263" s="229" t="s">
        <v>691</v>
      </c>
      <c r="E263" s="229" t="s">
        <v>189</v>
      </c>
      <c r="F263" s="229" t="s">
        <v>968</v>
      </c>
      <c r="G263" s="227"/>
      <c r="H263" s="250">
        <v>-32.18</v>
      </c>
      <c r="I263" s="231">
        <v>253895.12</v>
      </c>
      <c r="J263" s="232" t="s">
        <v>427</v>
      </c>
      <c r="K263" s="233">
        <v>-2</v>
      </c>
    </row>
    <row r="264" spans="1:11" s="226" customFormat="1" ht="12.75" customHeight="1" x14ac:dyDescent="0.2">
      <c r="A264" s="226" t="s">
        <v>53</v>
      </c>
      <c r="B264" s="228">
        <v>46085</v>
      </c>
      <c r="C264" s="229" t="s">
        <v>690</v>
      </c>
      <c r="D264" s="229" t="s">
        <v>691</v>
      </c>
      <c r="E264" s="229" t="s">
        <v>189</v>
      </c>
      <c r="F264" s="229" t="s">
        <v>968</v>
      </c>
      <c r="G264" s="251">
        <v>20.55</v>
      </c>
      <c r="H264" s="230"/>
      <c r="I264" s="231">
        <v>253915.67</v>
      </c>
      <c r="J264" s="232" t="s">
        <v>427</v>
      </c>
      <c r="K264" s="233">
        <v>-2</v>
      </c>
    </row>
    <row r="265" spans="1:11" s="226" customFormat="1" ht="12.75" customHeight="1" x14ac:dyDescent="0.2">
      <c r="A265" s="226" t="s">
        <v>53</v>
      </c>
      <c r="B265" s="228">
        <v>46085</v>
      </c>
      <c r="C265" s="229" t="s">
        <v>690</v>
      </c>
      <c r="D265" s="229" t="s">
        <v>691</v>
      </c>
      <c r="E265" s="229" t="s">
        <v>189</v>
      </c>
      <c r="F265" s="229" t="s">
        <v>968</v>
      </c>
      <c r="G265" s="251">
        <v>2.0299999999999998</v>
      </c>
      <c r="H265" s="230"/>
      <c r="I265" s="231">
        <v>253917.7</v>
      </c>
      <c r="J265" s="232" t="s">
        <v>427</v>
      </c>
      <c r="K265" s="233">
        <v>-2</v>
      </c>
    </row>
    <row r="266" spans="1:11" s="226" customFormat="1" ht="12.75" customHeight="1" x14ac:dyDescent="0.2">
      <c r="A266" s="226" t="s">
        <v>53</v>
      </c>
      <c r="B266" s="228">
        <v>46085</v>
      </c>
      <c r="C266" s="229" t="s">
        <v>690</v>
      </c>
      <c r="D266" s="229" t="s">
        <v>691</v>
      </c>
      <c r="E266" s="229" t="s">
        <v>189</v>
      </c>
      <c r="F266" s="229" t="s">
        <v>968</v>
      </c>
      <c r="G266" s="251">
        <v>2.19</v>
      </c>
      <c r="H266" s="230"/>
      <c r="I266" s="231">
        <v>253919.89</v>
      </c>
      <c r="J266" s="232" t="s">
        <v>427</v>
      </c>
      <c r="K266" s="233">
        <v>-2</v>
      </c>
    </row>
    <row r="267" spans="1:11" s="226" customFormat="1" ht="12.75" customHeight="1" x14ac:dyDescent="0.2">
      <c r="A267" s="226" t="s">
        <v>53</v>
      </c>
      <c r="B267" s="228">
        <v>46085</v>
      </c>
      <c r="C267" s="229" t="s">
        <v>690</v>
      </c>
      <c r="D267" s="229" t="s">
        <v>691</v>
      </c>
      <c r="E267" s="229" t="s">
        <v>189</v>
      </c>
      <c r="F267" s="229" t="s">
        <v>968</v>
      </c>
      <c r="G267" s="251">
        <v>0.14000000000000001</v>
      </c>
      <c r="H267" s="230"/>
      <c r="I267" s="231">
        <v>253920.03</v>
      </c>
      <c r="J267" s="232" t="s">
        <v>427</v>
      </c>
      <c r="K267" s="233">
        <v>-2</v>
      </c>
    </row>
    <row r="268" spans="1:11" s="226" customFormat="1" ht="12.75" customHeight="1" x14ac:dyDescent="0.2">
      <c r="A268" s="226" t="s">
        <v>53</v>
      </c>
      <c r="B268" s="228">
        <v>46085</v>
      </c>
      <c r="C268" s="229" t="s">
        <v>690</v>
      </c>
      <c r="D268" s="229" t="s">
        <v>691</v>
      </c>
      <c r="E268" s="229" t="s">
        <v>189</v>
      </c>
      <c r="F268" s="229" t="s">
        <v>969</v>
      </c>
      <c r="G268" s="227"/>
      <c r="H268" s="250">
        <v>-5.82</v>
      </c>
      <c r="I268" s="231">
        <v>253914.21</v>
      </c>
      <c r="J268" s="232" t="s">
        <v>427</v>
      </c>
      <c r="K268" s="233">
        <v>-2</v>
      </c>
    </row>
    <row r="269" spans="1:11" s="226" customFormat="1" ht="12.75" customHeight="1" x14ac:dyDescent="0.2">
      <c r="A269" s="226" t="s">
        <v>53</v>
      </c>
      <c r="B269" s="228">
        <v>46085</v>
      </c>
      <c r="C269" s="229" t="s">
        <v>690</v>
      </c>
      <c r="D269" s="229" t="s">
        <v>691</v>
      </c>
      <c r="E269" s="229" t="s">
        <v>189</v>
      </c>
      <c r="F269" s="229" t="s">
        <v>969</v>
      </c>
      <c r="G269" s="227"/>
      <c r="H269" s="250">
        <v>-31.92</v>
      </c>
      <c r="I269" s="231">
        <v>253882.29</v>
      </c>
      <c r="J269" s="232" t="s">
        <v>427</v>
      </c>
      <c r="K269" s="233">
        <v>-2</v>
      </c>
    </row>
    <row r="270" spans="1:11" s="226" customFormat="1" ht="12.75" customHeight="1" x14ac:dyDescent="0.2">
      <c r="A270" s="226" t="s">
        <v>53</v>
      </c>
      <c r="B270" s="228">
        <v>46085</v>
      </c>
      <c r="C270" s="229" t="s">
        <v>690</v>
      </c>
      <c r="D270" s="229" t="s">
        <v>691</v>
      </c>
      <c r="E270" s="229" t="s">
        <v>189</v>
      </c>
      <c r="F270" s="229" t="s">
        <v>969</v>
      </c>
      <c r="G270" s="227"/>
      <c r="H270" s="250">
        <v>-2.33</v>
      </c>
      <c r="I270" s="231">
        <v>253879.96</v>
      </c>
      <c r="J270" s="232" t="s">
        <v>427</v>
      </c>
      <c r="K270" s="233">
        <v>-2</v>
      </c>
    </row>
    <row r="271" spans="1:11" s="226" customFormat="1" ht="12.75" customHeight="1" x14ac:dyDescent="0.2">
      <c r="A271" s="226" t="s">
        <v>53</v>
      </c>
      <c r="B271" s="228">
        <v>46085</v>
      </c>
      <c r="C271" s="229" t="s">
        <v>690</v>
      </c>
      <c r="D271" s="229" t="s">
        <v>691</v>
      </c>
      <c r="E271" s="229" t="s">
        <v>189</v>
      </c>
      <c r="F271" s="229" t="s">
        <v>969</v>
      </c>
      <c r="G271" s="227"/>
      <c r="H271" s="250">
        <v>-1.06</v>
      </c>
      <c r="I271" s="231">
        <v>253878.9</v>
      </c>
      <c r="J271" s="232" t="s">
        <v>427</v>
      </c>
      <c r="K271" s="233">
        <v>-2</v>
      </c>
    </row>
    <row r="272" spans="1:11" s="226" customFormat="1" ht="12.75" customHeight="1" x14ac:dyDescent="0.2">
      <c r="A272" s="226" t="s">
        <v>53</v>
      </c>
      <c r="B272" s="228">
        <v>46085</v>
      </c>
      <c r="C272" s="229" t="s">
        <v>690</v>
      </c>
      <c r="D272" s="229" t="s">
        <v>691</v>
      </c>
      <c r="E272" s="229" t="s">
        <v>189</v>
      </c>
      <c r="F272" s="229" t="s">
        <v>969</v>
      </c>
      <c r="G272" s="251">
        <v>1.54</v>
      </c>
      <c r="H272" s="230"/>
      <c r="I272" s="231">
        <v>253880.44</v>
      </c>
      <c r="J272" s="232" t="s">
        <v>427</v>
      </c>
      <c r="K272" s="233">
        <v>-2</v>
      </c>
    </row>
    <row r="273" spans="1:11" s="226" customFormat="1" ht="12.75" customHeight="1" x14ac:dyDescent="0.2">
      <c r="A273" s="226" t="s">
        <v>69</v>
      </c>
      <c r="B273" s="228">
        <v>46085</v>
      </c>
      <c r="C273" s="229" t="s">
        <v>690</v>
      </c>
      <c r="D273" s="229" t="s">
        <v>691</v>
      </c>
      <c r="E273" s="229" t="s">
        <v>189</v>
      </c>
      <c r="F273" s="229" t="s">
        <v>968</v>
      </c>
      <c r="G273" s="227"/>
      <c r="H273" s="250">
        <v>-5.78</v>
      </c>
      <c r="I273" s="231">
        <v>253874.66</v>
      </c>
      <c r="J273" s="232" t="s">
        <v>427</v>
      </c>
      <c r="K273" s="233">
        <v>-2</v>
      </c>
    </row>
    <row r="274" spans="1:11" s="226" customFormat="1" ht="12.75" customHeight="1" x14ac:dyDescent="0.2">
      <c r="A274" s="226" t="s">
        <v>69</v>
      </c>
      <c r="B274" s="228">
        <v>46085</v>
      </c>
      <c r="C274" s="229" t="s">
        <v>690</v>
      </c>
      <c r="D274" s="229" t="s">
        <v>691</v>
      </c>
      <c r="E274" s="229" t="s">
        <v>189</v>
      </c>
      <c r="F274" s="229" t="s">
        <v>968</v>
      </c>
      <c r="G274" s="227"/>
      <c r="H274" s="250">
        <v>-31.9</v>
      </c>
      <c r="I274" s="231">
        <v>253842.76</v>
      </c>
      <c r="J274" s="232" t="s">
        <v>427</v>
      </c>
      <c r="K274" s="233">
        <v>-2</v>
      </c>
    </row>
    <row r="275" spans="1:11" s="226" customFormat="1" ht="12.75" customHeight="1" x14ac:dyDescent="0.2">
      <c r="A275" s="226" t="s">
        <v>69</v>
      </c>
      <c r="B275" s="228">
        <v>46085</v>
      </c>
      <c r="C275" s="229" t="s">
        <v>690</v>
      </c>
      <c r="D275" s="229" t="s">
        <v>691</v>
      </c>
      <c r="E275" s="229" t="s">
        <v>189</v>
      </c>
      <c r="F275" s="229" t="s">
        <v>968</v>
      </c>
      <c r="G275" s="227"/>
      <c r="H275" s="250">
        <v>-53.6</v>
      </c>
      <c r="I275" s="231">
        <v>253789.16</v>
      </c>
      <c r="J275" s="232" t="s">
        <v>427</v>
      </c>
      <c r="K275" s="233">
        <v>-2</v>
      </c>
    </row>
    <row r="276" spans="1:11" s="226" customFormat="1" ht="12.75" customHeight="1" x14ac:dyDescent="0.2">
      <c r="A276" s="226" t="s">
        <v>69</v>
      </c>
      <c r="B276" s="228">
        <v>46085</v>
      </c>
      <c r="C276" s="229" t="s">
        <v>690</v>
      </c>
      <c r="D276" s="229" t="s">
        <v>691</v>
      </c>
      <c r="E276" s="229" t="s">
        <v>189</v>
      </c>
      <c r="F276" s="229" t="s">
        <v>968</v>
      </c>
      <c r="G276" s="227"/>
      <c r="H276" s="250">
        <v>-387.69</v>
      </c>
      <c r="I276" s="231">
        <v>253401.47</v>
      </c>
      <c r="J276" s="232" t="s">
        <v>427</v>
      </c>
      <c r="K276" s="233">
        <v>-2</v>
      </c>
    </row>
    <row r="277" spans="1:11" s="226" customFormat="1" ht="12.75" customHeight="1" x14ac:dyDescent="0.2">
      <c r="A277" s="226" t="s">
        <v>69</v>
      </c>
      <c r="B277" s="228">
        <v>46085</v>
      </c>
      <c r="C277" s="229" t="s">
        <v>690</v>
      </c>
      <c r="D277" s="229" t="s">
        <v>691</v>
      </c>
      <c r="E277" s="229" t="s">
        <v>189</v>
      </c>
      <c r="F277" s="229" t="s">
        <v>968</v>
      </c>
      <c r="G277" s="227"/>
      <c r="H277" s="250">
        <v>-32.03</v>
      </c>
      <c r="I277" s="231">
        <v>253369.44</v>
      </c>
      <c r="J277" s="232" t="s">
        <v>427</v>
      </c>
      <c r="K277" s="233">
        <v>-2</v>
      </c>
    </row>
    <row r="278" spans="1:11" s="226" customFormat="1" ht="12.75" customHeight="1" x14ac:dyDescent="0.2">
      <c r="A278" s="226" t="s">
        <v>69</v>
      </c>
      <c r="B278" s="228">
        <v>46085</v>
      </c>
      <c r="C278" s="229" t="s">
        <v>690</v>
      </c>
      <c r="D278" s="229" t="s">
        <v>691</v>
      </c>
      <c r="E278" s="229" t="s">
        <v>189</v>
      </c>
      <c r="F278" s="229" t="s">
        <v>968</v>
      </c>
      <c r="G278" s="251">
        <v>20.420000000000002</v>
      </c>
      <c r="H278" s="230"/>
      <c r="I278" s="231">
        <v>253389.86</v>
      </c>
      <c r="J278" s="232" t="s">
        <v>427</v>
      </c>
      <c r="K278" s="233">
        <v>-2</v>
      </c>
    </row>
    <row r="279" spans="1:11" s="226" customFormat="1" ht="12.75" customHeight="1" x14ac:dyDescent="0.2">
      <c r="A279" s="226" t="s">
        <v>69</v>
      </c>
      <c r="B279" s="228">
        <v>46085</v>
      </c>
      <c r="C279" s="229" t="s">
        <v>690</v>
      </c>
      <c r="D279" s="229" t="s">
        <v>691</v>
      </c>
      <c r="E279" s="229" t="s">
        <v>189</v>
      </c>
      <c r="F279" s="229" t="s">
        <v>968</v>
      </c>
      <c r="G279" s="251">
        <v>2.0299999999999998</v>
      </c>
      <c r="H279" s="230"/>
      <c r="I279" s="231">
        <v>253391.89</v>
      </c>
      <c r="J279" s="232" t="s">
        <v>427</v>
      </c>
      <c r="K279" s="233">
        <v>-2</v>
      </c>
    </row>
    <row r="280" spans="1:11" s="226" customFormat="1" ht="12.75" customHeight="1" x14ac:dyDescent="0.2">
      <c r="A280" s="226" t="s">
        <v>69</v>
      </c>
      <c r="B280" s="228">
        <v>46085</v>
      </c>
      <c r="C280" s="229" t="s">
        <v>690</v>
      </c>
      <c r="D280" s="229" t="s">
        <v>691</v>
      </c>
      <c r="E280" s="229" t="s">
        <v>189</v>
      </c>
      <c r="F280" s="229" t="s">
        <v>968</v>
      </c>
      <c r="G280" s="251">
        <v>2.17</v>
      </c>
      <c r="H280" s="230"/>
      <c r="I280" s="231">
        <v>253394.06</v>
      </c>
      <c r="J280" s="232" t="s">
        <v>427</v>
      </c>
      <c r="K280" s="233">
        <v>-2</v>
      </c>
    </row>
    <row r="281" spans="1:11" s="226" customFormat="1" ht="12.75" customHeight="1" x14ac:dyDescent="0.2">
      <c r="A281" s="226" t="s">
        <v>69</v>
      </c>
      <c r="B281" s="228">
        <v>46085</v>
      </c>
      <c r="C281" s="229" t="s">
        <v>690</v>
      </c>
      <c r="D281" s="229" t="s">
        <v>691</v>
      </c>
      <c r="E281" s="229" t="s">
        <v>189</v>
      </c>
      <c r="F281" s="229" t="s">
        <v>968</v>
      </c>
      <c r="G281" s="251">
        <v>0.13</v>
      </c>
      <c r="H281" s="230"/>
      <c r="I281" s="231">
        <v>253394.19</v>
      </c>
      <c r="J281" s="232" t="s">
        <v>427</v>
      </c>
      <c r="K281" s="233">
        <v>-2</v>
      </c>
    </row>
    <row r="282" spans="1:11" s="226" customFormat="1" ht="12.75" customHeight="1" x14ac:dyDescent="0.2">
      <c r="A282" s="226" t="s">
        <v>53</v>
      </c>
      <c r="B282" s="228">
        <v>46085</v>
      </c>
      <c r="C282" s="229" t="s">
        <v>692</v>
      </c>
      <c r="D282" s="229" t="s">
        <v>55</v>
      </c>
      <c r="E282" s="229" t="s">
        <v>87</v>
      </c>
      <c r="F282" s="229" t="s">
        <v>19</v>
      </c>
      <c r="G282" s="235">
        <v>1000</v>
      </c>
      <c r="H282" s="230"/>
      <c r="I282" s="231">
        <v>254394.19</v>
      </c>
      <c r="J282" s="232" t="s">
        <v>426</v>
      </c>
      <c r="K282" s="233">
        <v>2</v>
      </c>
    </row>
    <row r="283" spans="1:11" s="226" customFormat="1" ht="12.75" customHeight="1" x14ac:dyDescent="0.2">
      <c r="A283" s="226" t="s">
        <v>53</v>
      </c>
      <c r="B283" s="228">
        <v>46085</v>
      </c>
      <c r="C283" s="229" t="s">
        <v>692</v>
      </c>
      <c r="D283" s="229" t="s">
        <v>55</v>
      </c>
      <c r="E283" s="229" t="s">
        <v>87</v>
      </c>
      <c r="F283" s="229" t="s">
        <v>19</v>
      </c>
      <c r="G283" s="235">
        <v>48.96</v>
      </c>
      <c r="H283" s="230"/>
      <c r="I283" s="231">
        <v>254443.15</v>
      </c>
      <c r="J283" s="232" t="s">
        <v>426</v>
      </c>
      <c r="K283" s="233">
        <v>2</v>
      </c>
    </row>
    <row r="284" spans="1:11" s="226" customFormat="1" ht="12.75" customHeight="1" x14ac:dyDescent="0.2">
      <c r="A284" s="226" t="s">
        <v>53</v>
      </c>
      <c r="B284" s="228">
        <v>46085</v>
      </c>
      <c r="C284" s="229" t="s">
        <v>693</v>
      </c>
      <c r="D284" s="229" t="s">
        <v>694</v>
      </c>
      <c r="E284" s="229" t="s">
        <v>84</v>
      </c>
      <c r="F284" s="229" t="s">
        <v>85</v>
      </c>
      <c r="G284" s="235">
        <v>1000</v>
      </c>
      <c r="H284" s="230"/>
      <c r="I284" s="231">
        <v>255443.15</v>
      </c>
      <c r="J284" s="232" t="s">
        <v>426</v>
      </c>
      <c r="K284" s="233">
        <v>2</v>
      </c>
    </row>
    <row r="285" spans="1:11" s="226" customFormat="1" ht="12.75" customHeight="1" x14ac:dyDescent="0.2">
      <c r="A285" s="226" t="s">
        <v>53</v>
      </c>
      <c r="B285" s="228">
        <v>46085</v>
      </c>
      <c r="C285" s="229" t="s">
        <v>693</v>
      </c>
      <c r="D285" s="229" t="s">
        <v>694</v>
      </c>
      <c r="E285" s="229" t="s">
        <v>84</v>
      </c>
      <c r="F285" s="229" t="s">
        <v>85</v>
      </c>
      <c r="G285" s="235">
        <v>48.96</v>
      </c>
      <c r="H285" s="230"/>
      <c r="I285" s="231">
        <v>255492.11</v>
      </c>
      <c r="J285" s="232" t="s">
        <v>426</v>
      </c>
      <c r="K285" s="233">
        <v>2</v>
      </c>
    </row>
    <row r="286" spans="1:11" s="226" customFormat="1" ht="12.75" customHeight="1" x14ac:dyDescent="0.2">
      <c r="A286" s="226" t="s">
        <v>69</v>
      </c>
      <c r="B286" s="228">
        <v>46085</v>
      </c>
      <c r="C286" s="229" t="s">
        <v>695</v>
      </c>
      <c r="D286" s="229" t="s">
        <v>696</v>
      </c>
      <c r="E286" s="229" t="s">
        <v>170</v>
      </c>
      <c r="F286" s="229" t="s">
        <v>85</v>
      </c>
      <c r="G286" s="235">
        <v>1020</v>
      </c>
      <c r="H286" s="230"/>
      <c r="I286" s="231">
        <v>256512.11</v>
      </c>
      <c r="J286" s="232" t="s">
        <v>426</v>
      </c>
      <c r="K286" s="233">
        <v>2</v>
      </c>
    </row>
    <row r="287" spans="1:11" s="226" customFormat="1" ht="12.75" customHeight="1" x14ac:dyDescent="0.2">
      <c r="A287" s="226" t="s">
        <v>69</v>
      </c>
      <c r="B287" s="228">
        <v>46085</v>
      </c>
      <c r="C287" s="229" t="s">
        <v>695</v>
      </c>
      <c r="D287" s="229" t="s">
        <v>696</v>
      </c>
      <c r="E287" s="229" t="s">
        <v>170</v>
      </c>
      <c r="F287" s="229" t="s">
        <v>85</v>
      </c>
      <c r="G287" s="235">
        <v>49.52</v>
      </c>
      <c r="H287" s="230"/>
      <c r="I287" s="231">
        <v>256561.63</v>
      </c>
      <c r="J287" s="232" t="s">
        <v>426</v>
      </c>
      <c r="K287" s="233">
        <v>2</v>
      </c>
    </row>
    <row r="288" spans="1:11" s="226" customFormat="1" ht="12.75" customHeight="1" x14ac:dyDescent="0.2">
      <c r="A288" s="226" t="s">
        <v>53</v>
      </c>
      <c r="B288" s="228">
        <v>46085</v>
      </c>
      <c r="C288" s="229" t="s">
        <v>697</v>
      </c>
      <c r="D288" s="229" t="s">
        <v>698</v>
      </c>
      <c r="E288" s="229" t="s">
        <v>155</v>
      </c>
      <c r="F288" s="229" t="s">
        <v>17</v>
      </c>
      <c r="G288" s="227">
        <v>48.96</v>
      </c>
      <c r="H288" s="230"/>
      <c r="I288" s="231">
        <v>256610.59</v>
      </c>
      <c r="J288" s="232" t="s">
        <v>422</v>
      </c>
      <c r="K288" s="233">
        <v>2</v>
      </c>
    </row>
    <row r="289" spans="1:11" s="226" customFormat="1" ht="12.75" customHeight="1" x14ac:dyDescent="0.2">
      <c r="A289" s="226" t="s">
        <v>53</v>
      </c>
      <c r="B289" s="228">
        <v>46085</v>
      </c>
      <c r="C289" s="229" t="s">
        <v>697</v>
      </c>
      <c r="D289" s="229" t="s">
        <v>698</v>
      </c>
      <c r="E289" s="229" t="s">
        <v>155</v>
      </c>
      <c r="F289" s="229" t="s">
        <v>17</v>
      </c>
      <c r="G289" s="227">
        <v>1000</v>
      </c>
      <c r="H289" s="230"/>
      <c r="I289" s="231">
        <v>257610.59</v>
      </c>
      <c r="J289" s="232" t="s">
        <v>422</v>
      </c>
      <c r="K289" s="233">
        <v>2</v>
      </c>
    </row>
    <row r="290" spans="1:11" s="226" customFormat="1" ht="12.75" customHeight="1" x14ac:dyDescent="0.2">
      <c r="A290" s="226" t="s">
        <v>69</v>
      </c>
      <c r="B290" s="228">
        <v>46085</v>
      </c>
      <c r="C290" s="229" t="s">
        <v>699</v>
      </c>
      <c r="D290" s="229" t="s">
        <v>55</v>
      </c>
      <c r="E290" s="229" t="s">
        <v>72</v>
      </c>
      <c r="F290" s="229" t="s">
        <v>57</v>
      </c>
      <c r="G290" s="235">
        <v>1005</v>
      </c>
      <c r="H290" s="230"/>
      <c r="I290" s="231">
        <v>258615.59</v>
      </c>
      <c r="J290" s="224" t="s">
        <v>426</v>
      </c>
      <c r="K290" s="233">
        <v>2</v>
      </c>
    </row>
    <row r="291" spans="1:11" s="226" customFormat="1" ht="12.75" customHeight="1" x14ac:dyDescent="0.2">
      <c r="A291" s="226" t="s">
        <v>69</v>
      </c>
      <c r="B291" s="228">
        <v>46085</v>
      </c>
      <c r="C291" s="229" t="s">
        <v>699</v>
      </c>
      <c r="D291" s="229" t="s">
        <v>55</v>
      </c>
      <c r="E291" s="229" t="s">
        <v>72</v>
      </c>
      <c r="F291" s="229" t="s">
        <v>57</v>
      </c>
      <c r="G291" s="235">
        <v>49.52</v>
      </c>
      <c r="H291" s="230"/>
      <c r="I291" s="231">
        <v>258665.11</v>
      </c>
      <c r="J291" s="224" t="s">
        <v>426</v>
      </c>
      <c r="K291" s="233">
        <v>2</v>
      </c>
    </row>
    <row r="292" spans="1:11" s="226" customFormat="1" ht="12.75" customHeight="1" x14ac:dyDescent="0.2">
      <c r="A292" s="226" t="s">
        <v>53</v>
      </c>
      <c r="B292" s="228">
        <v>46085</v>
      </c>
      <c r="C292" s="229" t="s">
        <v>700</v>
      </c>
      <c r="D292" s="229" t="s">
        <v>701</v>
      </c>
      <c r="E292" s="229" t="s">
        <v>157</v>
      </c>
      <c r="F292" s="229" t="s">
        <v>16</v>
      </c>
      <c r="G292" s="227">
        <v>48.96</v>
      </c>
      <c r="H292" s="230"/>
      <c r="I292" s="231">
        <v>258714.07</v>
      </c>
      <c r="J292" s="232" t="s">
        <v>422</v>
      </c>
      <c r="K292" s="233">
        <v>2</v>
      </c>
    </row>
    <row r="293" spans="1:11" s="226" customFormat="1" ht="12.75" customHeight="1" x14ac:dyDescent="0.2">
      <c r="A293" s="226" t="s">
        <v>53</v>
      </c>
      <c r="B293" s="228">
        <v>46085</v>
      </c>
      <c r="C293" s="229" t="s">
        <v>700</v>
      </c>
      <c r="D293" s="229" t="s">
        <v>701</v>
      </c>
      <c r="E293" s="229" t="s">
        <v>157</v>
      </c>
      <c r="F293" s="229" t="s">
        <v>16</v>
      </c>
      <c r="G293" s="227">
        <v>1000</v>
      </c>
      <c r="H293" s="230"/>
      <c r="I293" s="231">
        <v>259714.07</v>
      </c>
      <c r="J293" s="232" t="s">
        <v>422</v>
      </c>
      <c r="K293" s="233">
        <v>2</v>
      </c>
    </row>
    <row r="294" spans="1:11" s="226" customFormat="1" ht="12.75" customHeight="1" x14ac:dyDescent="0.2">
      <c r="A294" s="226" t="s">
        <v>53</v>
      </c>
      <c r="B294" s="228">
        <v>46085</v>
      </c>
      <c r="C294" s="229" t="s">
        <v>702</v>
      </c>
      <c r="D294" s="229" t="s">
        <v>703</v>
      </c>
      <c r="E294" s="229" t="s">
        <v>136</v>
      </c>
      <c r="F294" s="229" t="s">
        <v>18</v>
      </c>
      <c r="G294" s="227">
        <v>48.96</v>
      </c>
      <c r="H294" s="230"/>
      <c r="I294" s="231">
        <v>259763.03</v>
      </c>
      <c r="J294" s="232" t="s">
        <v>422</v>
      </c>
      <c r="K294" s="233">
        <v>2</v>
      </c>
    </row>
    <row r="295" spans="1:11" s="226" customFormat="1" ht="12.75" customHeight="1" x14ac:dyDescent="0.2">
      <c r="A295" s="226" t="s">
        <v>53</v>
      </c>
      <c r="B295" s="228">
        <v>46085</v>
      </c>
      <c r="C295" s="229" t="s">
        <v>702</v>
      </c>
      <c r="D295" s="229" t="s">
        <v>703</v>
      </c>
      <c r="E295" s="229" t="s">
        <v>136</v>
      </c>
      <c r="F295" s="229" t="s">
        <v>18</v>
      </c>
      <c r="G295" s="227">
        <v>1000</v>
      </c>
      <c r="H295" s="230"/>
      <c r="I295" s="231">
        <v>260763.03</v>
      </c>
      <c r="J295" s="232" t="s">
        <v>422</v>
      </c>
      <c r="K295" s="233">
        <v>2</v>
      </c>
    </row>
    <row r="296" spans="1:11" s="226" customFormat="1" ht="12.75" customHeight="1" x14ac:dyDescent="0.2">
      <c r="A296" s="226" t="s">
        <v>69</v>
      </c>
      <c r="B296" s="228">
        <v>46085</v>
      </c>
      <c r="C296" s="229" t="s">
        <v>704</v>
      </c>
      <c r="D296" s="229" t="s">
        <v>55</v>
      </c>
      <c r="E296" s="229" t="s">
        <v>165</v>
      </c>
      <c r="F296" s="229" t="s">
        <v>22</v>
      </c>
      <c r="G296" s="235">
        <v>1005</v>
      </c>
      <c r="H296" s="230"/>
      <c r="I296" s="231">
        <v>261768.03</v>
      </c>
      <c r="J296" s="224" t="s">
        <v>426</v>
      </c>
      <c r="K296" s="233">
        <v>2</v>
      </c>
    </row>
    <row r="297" spans="1:11" s="226" customFormat="1" ht="12.75" customHeight="1" x14ac:dyDescent="0.2">
      <c r="A297" s="226" t="s">
        <v>69</v>
      </c>
      <c r="B297" s="228">
        <v>46085</v>
      </c>
      <c r="C297" s="229" t="s">
        <v>704</v>
      </c>
      <c r="D297" s="229" t="s">
        <v>55</v>
      </c>
      <c r="E297" s="229" t="s">
        <v>165</v>
      </c>
      <c r="F297" s="229" t="s">
        <v>22</v>
      </c>
      <c r="G297" s="235">
        <v>49.52</v>
      </c>
      <c r="H297" s="230"/>
      <c r="I297" s="231">
        <v>261817.55</v>
      </c>
      <c r="J297" s="224" t="s">
        <v>426</v>
      </c>
      <c r="K297" s="233">
        <v>2</v>
      </c>
    </row>
    <row r="298" spans="1:11" s="226" customFormat="1" ht="12.75" customHeight="1" x14ac:dyDescent="0.2">
      <c r="A298" s="226" t="s">
        <v>69</v>
      </c>
      <c r="B298" s="228">
        <v>46085</v>
      </c>
      <c r="C298" s="229" t="s">
        <v>705</v>
      </c>
      <c r="D298" s="229" t="s">
        <v>55</v>
      </c>
      <c r="E298" s="229" t="s">
        <v>132</v>
      </c>
      <c r="F298" s="229" t="s">
        <v>57</v>
      </c>
      <c r="G298" s="235">
        <v>1005</v>
      </c>
      <c r="H298" s="230"/>
      <c r="I298" s="231">
        <v>262822.55</v>
      </c>
      <c r="J298" s="224" t="s">
        <v>426</v>
      </c>
      <c r="K298" s="233">
        <v>2</v>
      </c>
    </row>
    <row r="299" spans="1:11" s="226" customFormat="1" ht="12.75" customHeight="1" x14ac:dyDescent="0.2">
      <c r="A299" s="226" t="s">
        <v>69</v>
      </c>
      <c r="B299" s="228">
        <v>46085</v>
      </c>
      <c r="C299" s="229" t="s">
        <v>705</v>
      </c>
      <c r="D299" s="229" t="s">
        <v>55</v>
      </c>
      <c r="E299" s="229" t="s">
        <v>132</v>
      </c>
      <c r="F299" s="229" t="s">
        <v>57</v>
      </c>
      <c r="G299" s="235">
        <v>49.52</v>
      </c>
      <c r="H299" s="230"/>
      <c r="I299" s="231">
        <v>262872.07</v>
      </c>
      <c r="J299" s="224" t="s">
        <v>426</v>
      </c>
      <c r="K299" s="233">
        <v>2</v>
      </c>
    </row>
    <row r="300" spans="1:11" s="226" customFormat="1" ht="12.75" customHeight="1" x14ac:dyDescent="0.2">
      <c r="A300" s="226" t="s">
        <v>53</v>
      </c>
      <c r="B300" s="228">
        <v>46085</v>
      </c>
      <c r="C300" s="229" t="s">
        <v>706</v>
      </c>
      <c r="D300" s="229" t="s">
        <v>707</v>
      </c>
      <c r="E300" s="229" t="s">
        <v>186</v>
      </c>
      <c r="F300" s="229" t="s">
        <v>130</v>
      </c>
      <c r="G300" s="227">
        <v>48.96</v>
      </c>
      <c r="H300" s="230"/>
      <c r="I300" s="231">
        <v>262921.03000000003</v>
      </c>
      <c r="J300" s="232" t="s">
        <v>422</v>
      </c>
      <c r="K300" s="233">
        <v>2</v>
      </c>
    </row>
    <row r="301" spans="1:11" s="226" customFormat="1" ht="12.75" customHeight="1" x14ac:dyDescent="0.2">
      <c r="A301" s="226" t="s">
        <v>53</v>
      </c>
      <c r="B301" s="228">
        <v>46085</v>
      </c>
      <c r="C301" s="229" t="s">
        <v>706</v>
      </c>
      <c r="D301" s="229" t="s">
        <v>707</v>
      </c>
      <c r="E301" s="229" t="s">
        <v>186</v>
      </c>
      <c r="F301" s="229" t="s">
        <v>130</v>
      </c>
      <c r="G301" s="227">
        <v>936.46</v>
      </c>
      <c r="H301" s="230"/>
      <c r="I301" s="231">
        <v>263857.49</v>
      </c>
      <c r="J301" s="232" t="s">
        <v>422</v>
      </c>
      <c r="K301" s="233">
        <v>2</v>
      </c>
    </row>
    <row r="302" spans="1:11" s="226" customFormat="1" ht="12.75" customHeight="1" x14ac:dyDescent="0.2">
      <c r="A302" s="226" t="s">
        <v>69</v>
      </c>
      <c r="B302" s="228">
        <v>46085</v>
      </c>
      <c r="C302" s="229" t="s">
        <v>708</v>
      </c>
      <c r="D302" s="229" t="s">
        <v>55</v>
      </c>
      <c r="E302" s="229" t="s">
        <v>138</v>
      </c>
      <c r="F302" s="229" t="s">
        <v>22</v>
      </c>
      <c r="G302" s="227">
        <v>1005</v>
      </c>
      <c r="H302" s="230"/>
      <c r="I302" s="231">
        <v>264862.49</v>
      </c>
      <c r="J302" s="232" t="s">
        <v>425</v>
      </c>
      <c r="K302" s="233">
        <v>2</v>
      </c>
    </row>
    <row r="303" spans="1:11" s="226" customFormat="1" ht="12.75" customHeight="1" x14ac:dyDescent="0.2">
      <c r="A303" s="226" t="s">
        <v>69</v>
      </c>
      <c r="B303" s="228">
        <v>46085</v>
      </c>
      <c r="C303" s="229" t="s">
        <v>708</v>
      </c>
      <c r="D303" s="229" t="s">
        <v>55</v>
      </c>
      <c r="E303" s="229" t="s">
        <v>138</v>
      </c>
      <c r="F303" s="229" t="s">
        <v>22</v>
      </c>
      <c r="G303" s="227">
        <v>49.52</v>
      </c>
      <c r="H303" s="230"/>
      <c r="I303" s="231">
        <v>264912.01</v>
      </c>
      <c r="J303" s="232" t="s">
        <v>425</v>
      </c>
      <c r="K303" s="233">
        <v>2</v>
      </c>
    </row>
    <row r="304" spans="1:11" s="226" customFormat="1" ht="12.75" customHeight="1" x14ac:dyDescent="0.2">
      <c r="A304" s="226" t="s">
        <v>69</v>
      </c>
      <c r="B304" s="228">
        <v>46085</v>
      </c>
      <c r="C304" s="229" t="s">
        <v>709</v>
      </c>
      <c r="D304" s="229" t="s">
        <v>710</v>
      </c>
      <c r="E304" s="229" t="s">
        <v>115</v>
      </c>
      <c r="F304" s="229" t="s">
        <v>17</v>
      </c>
      <c r="G304" s="227">
        <v>49.52</v>
      </c>
      <c r="H304" s="230"/>
      <c r="I304" s="231">
        <v>264961.53000000003</v>
      </c>
      <c r="J304" s="232" t="s">
        <v>422</v>
      </c>
      <c r="K304" s="233">
        <v>2</v>
      </c>
    </row>
    <row r="305" spans="1:11" s="226" customFormat="1" ht="12.75" customHeight="1" x14ac:dyDescent="0.2">
      <c r="A305" s="226" t="s">
        <v>69</v>
      </c>
      <c r="B305" s="228">
        <v>46085</v>
      </c>
      <c r="C305" s="229" t="s">
        <v>709</v>
      </c>
      <c r="D305" s="229" t="s">
        <v>710</v>
      </c>
      <c r="E305" s="229" t="s">
        <v>115</v>
      </c>
      <c r="F305" s="229" t="s">
        <v>17</v>
      </c>
      <c r="G305" s="227">
        <v>1005</v>
      </c>
      <c r="H305" s="230"/>
      <c r="I305" s="231">
        <v>265966.53000000003</v>
      </c>
      <c r="J305" s="232" t="s">
        <v>422</v>
      </c>
      <c r="K305" s="233">
        <v>2</v>
      </c>
    </row>
    <row r="306" spans="1:11" s="226" customFormat="1" ht="12.75" customHeight="1" x14ac:dyDescent="0.2">
      <c r="A306" s="226" t="s">
        <v>53</v>
      </c>
      <c r="B306" s="228">
        <v>46085</v>
      </c>
      <c r="C306" s="229" t="s">
        <v>711</v>
      </c>
      <c r="D306" s="229" t="s">
        <v>55</v>
      </c>
      <c r="E306" s="229" t="s">
        <v>139</v>
      </c>
      <c r="F306" s="229" t="s">
        <v>19</v>
      </c>
      <c r="G306" s="227">
        <v>1000</v>
      </c>
      <c r="H306" s="230"/>
      <c r="I306" s="231">
        <v>266966.53000000003</v>
      </c>
      <c r="J306" s="232" t="s">
        <v>425</v>
      </c>
      <c r="K306" s="233">
        <v>2</v>
      </c>
    </row>
    <row r="307" spans="1:11" s="226" customFormat="1" ht="12.75" customHeight="1" x14ac:dyDescent="0.2">
      <c r="A307" s="226" t="s">
        <v>53</v>
      </c>
      <c r="B307" s="228">
        <v>46085</v>
      </c>
      <c r="C307" s="229" t="s">
        <v>711</v>
      </c>
      <c r="D307" s="229" t="s">
        <v>55</v>
      </c>
      <c r="E307" s="229" t="s">
        <v>139</v>
      </c>
      <c r="F307" s="229" t="s">
        <v>19</v>
      </c>
      <c r="G307" s="227">
        <v>48.96</v>
      </c>
      <c r="H307" s="230"/>
      <c r="I307" s="231">
        <v>267015.49</v>
      </c>
      <c r="J307" s="232" t="s">
        <v>425</v>
      </c>
      <c r="K307" s="233">
        <v>2</v>
      </c>
    </row>
    <row r="308" spans="1:11" s="226" customFormat="1" ht="12.75" customHeight="1" x14ac:dyDescent="0.2">
      <c r="A308" s="226" t="s">
        <v>53</v>
      </c>
      <c r="B308" s="228">
        <v>46085</v>
      </c>
      <c r="C308" s="229" t="s">
        <v>712</v>
      </c>
      <c r="D308" s="229" t="s">
        <v>55</v>
      </c>
      <c r="E308" s="229" t="s">
        <v>187</v>
      </c>
      <c r="F308" s="229" t="s">
        <v>22</v>
      </c>
      <c r="G308" s="227">
        <v>1000</v>
      </c>
      <c r="H308" s="230"/>
      <c r="I308" s="231">
        <v>268015.49</v>
      </c>
      <c r="J308" s="232" t="s">
        <v>425</v>
      </c>
      <c r="K308" s="233">
        <v>2</v>
      </c>
    </row>
    <row r="309" spans="1:11" s="226" customFormat="1" ht="12.75" customHeight="1" x14ac:dyDescent="0.2">
      <c r="A309" s="226" t="s">
        <v>53</v>
      </c>
      <c r="B309" s="228">
        <v>46085</v>
      </c>
      <c r="C309" s="229" t="s">
        <v>712</v>
      </c>
      <c r="D309" s="229" t="s">
        <v>55</v>
      </c>
      <c r="E309" s="229" t="s">
        <v>187</v>
      </c>
      <c r="F309" s="229" t="s">
        <v>22</v>
      </c>
      <c r="G309" s="227">
        <v>48.96</v>
      </c>
      <c r="H309" s="230"/>
      <c r="I309" s="231">
        <v>268064.45</v>
      </c>
      <c r="J309" s="232" t="s">
        <v>425</v>
      </c>
      <c r="K309" s="233">
        <v>2</v>
      </c>
    </row>
    <row r="310" spans="1:11" s="226" customFormat="1" ht="12.75" customHeight="1" x14ac:dyDescent="0.2">
      <c r="A310" s="226" t="s">
        <v>53</v>
      </c>
      <c r="B310" s="228">
        <v>46085</v>
      </c>
      <c r="C310" s="229" t="s">
        <v>713</v>
      </c>
      <c r="D310" s="229" t="s">
        <v>240</v>
      </c>
      <c r="E310" s="229" t="s">
        <v>949</v>
      </c>
      <c r="F310" s="229" t="s">
        <v>949</v>
      </c>
      <c r="G310" s="227"/>
      <c r="H310" s="230">
        <v>-24</v>
      </c>
      <c r="I310" s="231">
        <v>268040.45</v>
      </c>
      <c r="J310" s="232" t="s">
        <v>427</v>
      </c>
      <c r="K310" s="233">
        <v>-2</v>
      </c>
    </row>
    <row r="311" spans="1:11" s="226" customFormat="1" ht="12.75" customHeight="1" x14ac:dyDescent="0.2">
      <c r="A311" s="226" t="s">
        <v>53</v>
      </c>
      <c r="B311" s="228">
        <v>46086</v>
      </c>
      <c r="C311" s="229" t="s">
        <v>714</v>
      </c>
      <c r="D311" s="229" t="s">
        <v>413</v>
      </c>
      <c r="E311" s="229" t="s">
        <v>271</v>
      </c>
      <c r="F311" s="229" t="s">
        <v>970</v>
      </c>
      <c r="G311" s="227"/>
      <c r="H311" s="230">
        <v>-36</v>
      </c>
      <c r="I311" s="231">
        <v>268004.45</v>
      </c>
      <c r="J311" s="232" t="s">
        <v>411</v>
      </c>
      <c r="K311" s="233">
        <v>-2</v>
      </c>
    </row>
    <row r="312" spans="1:11" s="226" customFormat="1" ht="12.75" customHeight="1" x14ac:dyDescent="0.2">
      <c r="A312" s="226" t="s">
        <v>53</v>
      </c>
      <c r="B312" s="228">
        <v>46086</v>
      </c>
      <c r="C312" s="229" t="s">
        <v>715</v>
      </c>
      <c r="D312" s="229" t="s">
        <v>419</v>
      </c>
      <c r="E312" s="229" t="s">
        <v>258</v>
      </c>
      <c r="F312" s="229" t="s">
        <v>971</v>
      </c>
      <c r="G312" s="227"/>
      <c r="H312" s="230">
        <v>-119.95</v>
      </c>
      <c r="I312" s="231">
        <v>267884.5</v>
      </c>
      <c r="J312" s="232" t="s">
        <v>418</v>
      </c>
      <c r="K312" s="233">
        <v>-2</v>
      </c>
    </row>
    <row r="313" spans="1:11" s="226" customFormat="1" ht="12.75" customHeight="1" x14ac:dyDescent="0.2">
      <c r="A313" s="226" t="s">
        <v>53</v>
      </c>
      <c r="B313" s="228">
        <v>46086</v>
      </c>
      <c r="C313" s="229" t="s">
        <v>716</v>
      </c>
      <c r="D313" s="229" t="s">
        <v>55</v>
      </c>
      <c r="E313" s="229" t="s">
        <v>118</v>
      </c>
      <c r="F313" s="229" t="s">
        <v>57</v>
      </c>
      <c r="G313" s="227">
        <v>1000</v>
      </c>
      <c r="H313" s="230"/>
      <c r="I313" s="231">
        <v>268884.5</v>
      </c>
      <c r="J313" s="232" t="s">
        <v>425</v>
      </c>
      <c r="K313" s="233">
        <v>2</v>
      </c>
    </row>
    <row r="314" spans="1:11" s="226" customFormat="1" ht="12.75" customHeight="1" x14ac:dyDescent="0.2">
      <c r="A314" s="226" t="s">
        <v>53</v>
      </c>
      <c r="B314" s="228">
        <v>46086</v>
      </c>
      <c r="C314" s="229" t="s">
        <v>716</v>
      </c>
      <c r="D314" s="229" t="s">
        <v>55</v>
      </c>
      <c r="E314" s="229" t="s">
        <v>118</v>
      </c>
      <c r="F314" s="229" t="s">
        <v>57</v>
      </c>
      <c r="G314" s="227">
        <v>48.96</v>
      </c>
      <c r="H314" s="230"/>
      <c r="I314" s="231">
        <v>268933.46000000002</v>
      </c>
      <c r="J314" s="232" t="s">
        <v>425</v>
      </c>
      <c r="K314" s="233">
        <v>2</v>
      </c>
    </row>
    <row r="315" spans="1:11" s="226" customFormat="1" ht="12.75" customHeight="1" x14ac:dyDescent="0.2">
      <c r="A315" s="226" t="s">
        <v>53</v>
      </c>
      <c r="B315" s="228">
        <v>46086</v>
      </c>
      <c r="C315" s="229" t="s">
        <v>717</v>
      </c>
      <c r="D315" s="229" t="s">
        <v>718</v>
      </c>
      <c r="E315" s="229" t="s">
        <v>176</v>
      </c>
      <c r="F315" s="229" t="s">
        <v>85</v>
      </c>
      <c r="G315" s="227">
        <v>1000</v>
      </c>
      <c r="H315" s="230"/>
      <c r="I315" s="231">
        <v>269933.46000000002</v>
      </c>
      <c r="J315" s="232" t="s">
        <v>425</v>
      </c>
      <c r="K315" s="233">
        <v>2</v>
      </c>
    </row>
    <row r="316" spans="1:11" s="226" customFormat="1" ht="12.75" customHeight="1" x14ac:dyDescent="0.2">
      <c r="A316" s="226" t="s">
        <v>53</v>
      </c>
      <c r="B316" s="228">
        <v>46086</v>
      </c>
      <c r="C316" s="229" t="s">
        <v>717</v>
      </c>
      <c r="D316" s="229" t="s">
        <v>718</v>
      </c>
      <c r="E316" s="229" t="s">
        <v>176</v>
      </c>
      <c r="F316" s="229" t="s">
        <v>85</v>
      </c>
      <c r="G316" s="227">
        <v>48.96</v>
      </c>
      <c r="H316" s="230"/>
      <c r="I316" s="231">
        <v>269982.42</v>
      </c>
      <c r="J316" s="232" t="s">
        <v>425</v>
      </c>
      <c r="K316" s="233">
        <v>2</v>
      </c>
    </row>
    <row r="317" spans="1:11" s="226" customFormat="1" ht="12.75" customHeight="1" x14ac:dyDescent="0.2">
      <c r="A317" s="226" t="s">
        <v>53</v>
      </c>
      <c r="B317" s="228">
        <v>46086</v>
      </c>
      <c r="C317" s="229" t="s">
        <v>719</v>
      </c>
      <c r="D317" s="229" t="s">
        <v>720</v>
      </c>
      <c r="E317" s="229" t="s">
        <v>140</v>
      </c>
      <c r="F317" s="229" t="s">
        <v>85</v>
      </c>
      <c r="G317" s="227">
        <v>1000</v>
      </c>
      <c r="H317" s="230"/>
      <c r="I317" s="231">
        <v>270982.42</v>
      </c>
      <c r="J317" s="232" t="s">
        <v>425</v>
      </c>
      <c r="K317" s="233">
        <v>2</v>
      </c>
    </row>
    <row r="318" spans="1:11" s="226" customFormat="1" ht="12.75" customHeight="1" x14ac:dyDescent="0.2">
      <c r="A318" s="226" t="s">
        <v>53</v>
      </c>
      <c r="B318" s="228">
        <v>46086</v>
      </c>
      <c r="C318" s="229" t="s">
        <v>719</v>
      </c>
      <c r="D318" s="229" t="s">
        <v>720</v>
      </c>
      <c r="E318" s="229" t="s">
        <v>140</v>
      </c>
      <c r="F318" s="229" t="s">
        <v>85</v>
      </c>
      <c r="G318" s="227">
        <v>48.96</v>
      </c>
      <c r="H318" s="230"/>
      <c r="I318" s="231">
        <v>271031.38</v>
      </c>
      <c r="J318" s="232" t="s">
        <v>425</v>
      </c>
      <c r="K318" s="233">
        <v>2</v>
      </c>
    </row>
    <row r="319" spans="1:11" s="226" customFormat="1" ht="12.75" customHeight="1" x14ac:dyDescent="0.2">
      <c r="A319" s="226" t="s">
        <v>53</v>
      </c>
      <c r="B319" s="228">
        <v>46086</v>
      </c>
      <c r="C319" s="229" t="s">
        <v>721</v>
      </c>
      <c r="D319" s="229" t="s">
        <v>722</v>
      </c>
      <c r="E319" s="229" t="s">
        <v>141</v>
      </c>
      <c r="F319" s="229" t="s">
        <v>85</v>
      </c>
      <c r="G319" s="227">
        <v>1000</v>
      </c>
      <c r="H319" s="230"/>
      <c r="I319" s="231">
        <v>272031.38</v>
      </c>
      <c r="J319" s="232" t="s">
        <v>425</v>
      </c>
      <c r="K319" s="233">
        <v>2</v>
      </c>
    </row>
    <row r="320" spans="1:11" s="226" customFormat="1" ht="12.75" customHeight="1" x14ac:dyDescent="0.2">
      <c r="A320" s="226" t="s">
        <v>53</v>
      </c>
      <c r="B320" s="228">
        <v>46086</v>
      </c>
      <c r="C320" s="229" t="s">
        <v>721</v>
      </c>
      <c r="D320" s="229" t="s">
        <v>722</v>
      </c>
      <c r="E320" s="229" t="s">
        <v>141</v>
      </c>
      <c r="F320" s="229" t="s">
        <v>85</v>
      </c>
      <c r="G320" s="227">
        <v>48.96</v>
      </c>
      <c r="H320" s="230"/>
      <c r="I320" s="231">
        <v>272080.34000000003</v>
      </c>
      <c r="J320" s="232" t="s">
        <v>425</v>
      </c>
      <c r="K320" s="233">
        <v>2</v>
      </c>
    </row>
    <row r="321" spans="1:11" s="226" customFormat="1" ht="12.75" customHeight="1" x14ac:dyDescent="0.2">
      <c r="A321" s="226" t="s">
        <v>53</v>
      </c>
      <c r="B321" s="228">
        <v>46086</v>
      </c>
      <c r="C321" s="229" t="s">
        <v>723</v>
      </c>
      <c r="D321" s="229" t="s">
        <v>724</v>
      </c>
      <c r="E321" s="229" t="s">
        <v>142</v>
      </c>
      <c r="F321" s="229" t="s">
        <v>972</v>
      </c>
      <c r="G321" s="227">
        <v>75</v>
      </c>
      <c r="H321" s="230"/>
      <c r="I321" s="231">
        <v>272155.34000000003</v>
      </c>
      <c r="J321" s="232" t="s">
        <v>425</v>
      </c>
      <c r="K321" s="233">
        <v>2</v>
      </c>
    </row>
    <row r="322" spans="1:11" s="226" customFormat="1" ht="12.75" customHeight="1" x14ac:dyDescent="0.2">
      <c r="A322" s="226" t="s">
        <v>53</v>
      </c>
      <c r="B322" s="228">
        <v>46086</v>
      </c>
      <c r="C322" s="229" t="s">
        <v>723</v>
      </c>
      <c r="D322" s="229" t="s">
        <v>724</v>
      </c>
      <c r="E322" s="229" t="s">
        <v>142</v>
      </c>
      <c r="F322" s="229" t="s">
        <v>972</v>
      </c>
      <c r="G322" s="227">
        <v>48.96</v>
      </c>
      <c r="H322" s="230"/>
      <c r="I322" s="231">
        <v>272204.3</v>
      </c>
      <c r="J322" s="232" t="s">
        <v>425</v>
      </c>
      <c r="K322" s="233">
        <v>2</v>
      </c>
    </row>
    <row r="323" spans="1:11" s="226" customFormat="1" ht="12.75" customHeight="1" x14ac:dyDescent="0.2">
      <c r="A323" s="226" t="s">
        <v>53</v>
      </c>
      <c r="B323" s="228">
        <v>46086</v>
      </c>
      <c r="C323" s="229" t="s">
        <v>723</v>
      </c>
      <c r="D323" s="229" t="s">
        <v>724</v>
      </c>
      <c r="E323" s="229" t="s">
        <v>142</v>
      </c>
      <c r="F323" s="229" t="s">
        <v>972</v>
      </c>
      <c r="G323" s="227">
        <v>75</v>
      </c>
      <c r="H323" s="230"/>
      <c r="I323" s="231">
        <v>272279.3</v>
      </c>
      <c r="J323" s="232" t="s">
        <v>425</v>
      </c>
      <c r="K323" s="233">
        <v>2</v>
      </c>
    </row>
    <row r="324" spans="1:11" s="226" customFormat="1" ht="12.75" customHeight="1" x14ac:dyDescent="0.2">
      <c r="A324" s="226" t="s">
        <v>53</v>
      </c>
      <c r="B324" s="228">
        <v>46086</v>
      </c>
      <c r="C324" s="229" t="s">
        <v>723</v>
      </c>
      <c r="D324" s="229" t="s">
        <v>724</v>
      </c>
      <c r="E324" s="229" t="s">
        <v>142</v>
      </c>
      <c r="F324" s="229" t="s">
        <v>972</v>
      </c>
      <c r="G324" s="227">
        <v>1000</v>
      </c>
      <c r="H324" s="230"/>
      <c r="I324" s="231">
        <v>273279.3</v>
      </c>
      <c r="J324" s="232" t="s">
        <v>425</v>
      </c>
      <c r="K324" s="233">
        <v>2</v>
      </c>
    </row>
    <row r="325" spans="1:11" s="226" customFormat="1" ht="12.75" customHeight="1" x14ac:dyDescent="0.2">
      <c r="A325" s="226" t="s">
        <v>53</v>
      </c>
      <c r="B325" s="228">
        <v>46086</v>
      </c>
      <c r="C325" s="229" t="s">
        <v>723</v>
      </c>
      <c r="D325" s="229" t="s">
        <v>724</v>
      </c>
      <c r="E325" s="229" t="s">
        <v>142</v>
      </c>
      <c r="F325" s="229" t="s">
        <v>972</v>
      </c>
      <c r="G325" s="227">
        <v>48.96</v>
      </c>
      <c r="H325" s="230"/>
      <c r="I325" s="231">
        <v>273328.26</v>
      </c>
      <c r="J325" s="232" t="s">
        <v>425</v>
      </c>
      <c r="K325" s="233">
        <v>2</v>
      </c>
    </row>
    <row r="326" spans="1:11" s="226" customFormat="1" ht="12.75" customHeight="1" x14ac:dyDescent="0.2">
      <c r="A326" s="226" t="s">
        <v>69</v>
      </c>
      <c r="B326" s="228">
        <v>46086</v>
      </c>
      <c r="C326" s="229" t="s">
        <v>725</v>
      </c>
      <c r="D326" s="229" t="s">
        <v>726</v>
      </c>
      <c r="E326" s="229" t="s">
        <v>156</v>
      </c>
      <c r="F326" s="229" t="s">
        <v>85</v>
      </c>
      <c r="G326" s="227">
        <v>1005</v>
      </c>
      <c r="H326" s="230"/>
      <c r="I326" s="231">
        <v>274333.26</v>
      </c>
      <c r="J326" s="232" t="s">
        <v>425</v>
      </c>
      <c r="K326" s="233">
        <v>2</v>
      </c>
    </row>
    <row r="327" spans="1:11" s="226" customFormat="1" ht="12.75" customHeight="1" x14ac:dyDescent="0.2">
      <c r="A327" s="226" t="s">
        <v>69</v>
      </c>
      <c r="B327" s="228">
        <v>46086</v>
      </c>
      <c r="C327" s="229" t="s">
        <v>725</v>
      </c>
      <c r="D327" s="229" t="s">
        <v>726</v>
      </c>
      <c r="E327" s="229" t="s">
        <v>156</v>
      </c>
      <c r="F327" s="229" t="s">
        <v>85</v>
      </c>
      <c r="G327" s="227">
        <v>49.52</v>
      </c>
      <c r="H327" s="230"/>
      <c r="I327" s="231">
        <v>274382.78000000003</v>
      </c>
      <c r="J327" s="232" t="s">
        <v>425</v>
      </c>
      <c r="K327" s="233">
        <v>2</v>
      </c>
    </row>
    <row r="328" spans="1:11" s="226" customFormat="1" ht="12.75" customHeight="1" x14ac:dyDescent="0.2">
      <c r="A328" s="226" t="s">
        <v>69</v>
      </c>
      <c r="B328" s="228">
        <v>46086</v>
      </c>
      <c r="C328" s="229" t="s">
        <v>727</v>
      </c>
      <c r="D328" s="229" t="s">
        <v>728</v>
      </c>
      <c r="E328" s="229" t="s">
        <v>147</v>
      </c>
      <c r="F328" s="229" t="s">
        <v>85</v>
      </c>
      <c r="G328" s="227">
        <v>1005</v>
      </c>
      <c r="H328" s="230"/>
      <c r="I328" s="231">
        <v>275387.78000000003</v>
      </c>
      <c r="J328" s="232" t="s">
        <v>425</v>
      </c>
      <c r="K328" s="233">
        <v>2</v>
      </c>
    </row>
    <row r="329" spans="1:11" s="226" customFormat="1" ht="12.75" customHeight="1" x14ac:dyDescent="0.2">
      <c r="A329" s="226" t="s">
        <v>69</v>
      </c>
      <c r="B329" s="228">
        <v>46086</v>
      </c>
      <c r="C329" s="229" t="s">
        <v>727</v>
      </c>
      <c r="D329" s="229" t="s">
        <v>728</v>
      </c>
      <c r="E329" s="229" t="s">
        <v>147</v>
      </c>
      <c r="F329" s="229" t="s">
        <v>85</v>
      </c>
      <c r="G329" s="227">
        <v>49.52</v>
      </c>
      <c r="H329" s="230"/>
      <c r="I329" s="231">
        <v>275437.3</v>
      </c>
      <c r="J329" s="232" t="s">
        <v>425</v>
      </c>
      <c r="K329" s="233">
        <v>2</v>
      </c>
    </row>
    <row r="330" spans="1:11" s="226" customFormat="1" ht="12.75" customHeight="1" x14ac:dyDescent="0.2">
      <c r="A330" s="226" t="s">
        <v>69</v>
      </c>
      <c r="B330" s="228">
        <v>46086</v>
      </c>
      <c r="C330" s="229" t="s">
        <v>729</v>
      </c>
      <c r="D330" s="229" t="s">
        <v>730</v>
      </c>
      <c r="E330" s="229" t="s">
        <v>148</v>
      </c>
      <c r="F330" s="229" t="s">
        <v>85</v>
      </c>
      <c r="G330" s="227">
        <v>1005</v>
      </c>
      <c r="H330" s="230"/>
      <c r="I330" s="231">
        <v>276442.3</v>
      </c>
      <c r="J330" s="232" t="s">
        <v>425</v>
      </c>
      <c r="K330" s="233">
        <v>2</v>
      </c>
    </row>
    <row r="331" spans="1:11" s="226" customFormat="1" ht="12.75" customHeight="1" x14ac:dyDescent="0.2">
      <c r="A331" s="226" t="s">
        <v>69</v>
      </c>
      <c r="B331" s="228">
        <v>46086</v>
      </c>
      <c r="C331" s="229" t="s">
        <v>729</v>
      </c>
      <c r="D331" s="229" t="s">
        <v>730</v>
      </c>
      <c r="E331" s="229" t="s">
        <v>148</v>
      </c>
      <c r="F331" s="229" t="s">
        <v>85</v>
      </c>
      <c r="G331" s="227">
        <v>49.52</v>
      </c>
      <c r="H331" s="230"/>
      <c r="I331" s="231">
        <v>276491.82</v>
      </c>
      <c r="J331" s="232" t="s">
        <v>425</v>
      </c>
      <c r="K331" s="233">
        <v>2</v>
      </c>
    </row>
    <row r="332" spans="1:11" s="226" customFormat="1" ht="12.75" customHeight="1" x14ac:dyDescent="0.2">
      <c r="A332" s="226" t="s">
        <v>69</v>
      </c>
      <c r="B332" s="228">
        <v>46086</v>
      </c>
      <c r="C332" s="229" t="s">
        <v>731</v>
      </c>
      <c r="D332" s="229" t="s">
        <v>732</v>
      </c>
      <c r="E332" s="229" t="s">
        <v>163</v>
      </c>
      <c r="F332" s="229" t="s">
        <v>85</v>
      </c>
      <c r="G332" s="227">
        <v>1005</v>
      </c>
      <c r="H332" s="230"/>
      <c r="I332" s="231">
        <v>277496.82</v>
      </c>
      <c r="J332" s="232" t="s">
        <v>425</v>
      </c>
      <c r="K332" s="233">
        <v>2</v>
      </c>
    </row>
    <row r="333" spans="1:11" s="226" customFormat="1" ht="12.75" customHeight="1" x14ac:dyDescent="0.2">
      <c r="A333" s="226" t="s">
        <v>69</v>
      </c>
      <c r="B333" s="228">
        <v>46086</v>
      </c>
      <c r="C333" s="229" t="s">
        <v>731</v>
      </c>
      <c r="D333" s="229" t="s">
        <v>732</v>
      </c>
      <c r="E333" s="229" t="s">
        <v>163</v>
      </c>
      <c r="F333" s="229" t="s">
        <v>85</v>
      </c>
      <c r="G333" s="227">
        <v>49.52</v>
      </c>
      <c r="H333" s="230"/>
      <c r="I333" s="231">
        <v>277546.34000000003</v>
      </c>
      <c r="J333" s="232" t="s">
        <v>425</v>
      </c>
      <c r="K333" s="233">
        <v>2</v>
      </c>
    </row>
    <row r="334" spans="1:11" s="226" customFormat="1" ht="12.75" customHeight="1" x14ac:dyDescent="0.2">
      <c r="A334" s="226" t="s">
        <v>69</v>
      </c>
      <c r="B334" s="228">
        <v>46086</v>
      </c>
      <c r="C334" s="229" t="s">
        <v>733</v>
      </c>
      <c r="D334" s="229" t="s">
        <v>734</v>
      </c>
      <c r="E334" s="229" t="s">
        <v>149</v>
      </c>
      <c r="F334" s="229" t="s">
        <v>85</v>
      </c>
      <c r="G334" s="227">
        <v>1005</v>
      </c>
      <c r="H334" s="230"/>
      <c r="I334" s="231">
        <v>278551.34000000003</v>
      </c>
      <c r="J334" s="232" t="s">
        <v>425</v>
      </c>
      <c r="K334" s="233">
        <v>2</v>
      </c>
    </row>
    <row r="335" spans="1:11" s="226" customFormat="1" ht="12.75" customHeight="1" x14ac:dyDescent="0.2">
      <c r="A335" s="226" t="s">
        <v>69</v>
      </c>
      <c r="B335" s="228">
        <v>46086</v>
      </c>
      <c r="C335" s="229" t="s">
        <v>733</v>
      </c>
      <c r="D335" s="229" t="s">
        <v>734</v>
      </c>
      <c r="E335" s="229" t="s">
        <v>149</v>
      </c>
      <c r="F335" s="229" t="s">
        <v>85</v>
      </c>
      <c r="G335" s="227">
        <v>49.52</v>
      </c>
      <c r="H335" s="230"/>
      <c r="I335" s="231">
        <v>278600.86</v>
      </c>
      <c r="J335" s="232" t="s">
        <v>425</v>
      </c>
      <c r="K335" s="233">
        <v>2</v>
      </c>
    </row>
    <row r="336" spans="1:11" s="226" customFormat="1" ht="12.75" customHeight="1" x14ac:dyDescent="0.2">
      <c r="A336" s="226" t="s">
        <v>69</v>
      </c>
      <c r="B336" s="228">
        <v>46086</v>
      </c>
      <c r="C336" s="229" t="s">
        <v>735</v>
      </c>
      <c r="D336" s="229" t="s">
        <v>736</v>
      </c>
      <c r="E336" s="229" t="s">
        <v>242</v>
      </c>
      <c r="F336" s="229" t="s">
        <v>85</v>
      </c>
      <c r="G336" s="227">
        <v>1005</v>
      </c>
      <c r="H336" s="230"/>
      <c r="I336" s="231">
        <v>279605.86</v>
      </c>
      <c r="J336" s="232" t="s">
        <v>425</v>
      </c>
      <c r="K336" s="233">
        <v>2</v>
      </c>
    </row>
    <row r="337" spans="1:11" s="226" customFormat="1" ht="12.75" customHeight="1" x14ac:dyDescent="0.2">
      <c r="A337" s="226" t="s">
        <v>69</v>
      </c>
      <c r="B337" s="228">
        <v>46086</v>
      </c>
      <c r="C337" s="229" t="s">
        <v>735</v>
      </c>
      <c r="D337" s="229" t="s">
        <v>736</v>
      </c>
      <c r="E337" s="229" t="s">
        <v>242</v>
      </c>
      <c r="F337" s="229" t="s">
        <v>85</v>
      </c>
      <c r="G337" s="227">
        <v>49.52</v>
      </c>
      <c r="H337" s="230"/>
      <c r="I337" s="231">
        <v>279655.38</v>
      </c>
      <c r="J337" s="232" t="s">
        <v>425</v>
      </c>
      <c r="K337" s="233">
        <v>2</v>
      </c>
    </row>
    <row r="338" spans="1:11" s="226" customFormat="1" ht="12.75" customHeight="1" x14ac:dyDescent="0.2">
      <c r="A338" s="226" t="s">
        <v>69</v>
      </c>
      <c r="B338" s="228">
        <v>46086</v>
      </c>
      <c r="C338" s="229" t="s">
        <v>737</v>
      </c>
      <c r="D338" s="229" t="s">
        <v>738</v>
      </c>
      <c r="E338" s="229" t="s">
        <v>164</v>
      </c>
      <c r="F338" s="229" t="s">
        <v>85</v>
      </c>
      <c r="G338" s="227">
        <v>1020</v>
      </c>
      <c r="H338" s="230"/>
      <c r="I338" s="231">
        <v>280675.38</v>
      </c>
      <c r="J338" s="232" t="s">
        <v>425</v>
      </c>
      <c r="K338" s="233">
        <v>2</v>
      </c>
    </row>
    <row r="339" spans="1:11" s="226" customFormat="1" ht="12.75" customHeight="1" x14ac:dyDescent="0.2">
      <c r="A339" s="226" t="s">
        <v>69</v>
      </c>
      <c r="B339" s="228">
        <v>46086</v>
      </c>
      <c r="C339" s="229" t="s">
        <v>737</v>
      </c>
      <c r="D339" s="229" t="s">
        <v>738</v>
      </c>
      <c r="E339" s="229" t="s">
        <v>164</v>
      </c>
      <c r="F339" s="229" t="s">
        <v>85</v>
      </c>
      <c r="G339" s="227">
        <v>49.52</v>
      </c>
      <c r="H339" s="230"/>
      <c r="I339" s="231">
        <v>280724.90000000002</v>
      </c>
      <c r="J339" s="232" t="s">
        <v>425</v>
      </c>
      <c r="K339" s="233">
        <v>2</v>
      </c>
    </row>
    <row r="340" spans="1:11" s="226" customFormat="1" ht="12.75" customHeight="1" x14ac:dyDescent="0.2">
      <c r="A340" s="226" t="s">
        <v>69</v>
      </c>
      <c r="B340" s="228">
        <v>46086</v>
      </c>
      <c r="C340" s="229" t="s">
        <v>739</v>
      </c>
      <c r="D340" s="229" t="s">
        <v>740</v>
      </c>
      <c r="E340" s="229" t="s">
        <v>179</v>
      </c>
      <c r="F340" s="229" t="s">
        <v>973</v>
      </c>
      <c r="G340" s="227">
        <v>1020</v>
      </c>
      <c r="H340" s="230"/>
      <c r="I340" s="231">
        <v>281744.90000000002</v>
      </c>
      <c r="J340" s="232" t="s">
        <v>425</v>
      </c>
      <c r="K340" s="233">
        <v>2</v>
      </c>
    </row>
    <row r="341" spans="1:11" s="226" customFormat="1" ht="12.75" customHeight="1" x14ac:dyDescent="0.2">
      <c r="A341" s="226" t="s">
        <v>69</v>
      </c>
      <c r="B341" s="228">
        <v>46086</v>
      </c>
      <c r="C341" s="229" t="s">
        <v>739</v>
      </c>
      <c r="D341" s="229" t="s">
        <v>740</v>
      </c>
      <c r="E341" s="229" t="s">
        <v>179</v>
      </c>
      <c r="F341" s="229" t="s">
        <v>973</v>
      </c>
      <c r="G341" s="227">
        <v>49.52</v>
      </c>
      <c r="H341" s="230"/>
      <c r="I341" s="231">
        <v>281794.42</v>
      </c>
      <c r="J341" s="232" t="s">
        <v>425</v>
      </c>
      <c r="K341" s="233">
        <v>2</v>
      </c>
    </row>
    <row r="342" spans="1:11" s="226" customFormat="1" ht="12.75" customHeight="1" x14ac:dyDescent="0.2">
      <c r="A342" s="226" t="s">
        <v>69</v>
      </c>
      <c r="B342" s="228">
        <v>46086</v>
      </c>
      <c r="C342" s="229" t="s">
        <v>739</v>
      </c>
      <c r="D342" s="229" t="s">
        <v>740</v>
      </c>
      <c r="E342" s="229" t="s">
        <v>179</v>
      </c>
      <c r="F342" s="229" t="s">
        <v>973</v>
      </c>
      <c r="G342" s="227">
        <v>75</v>
      </c>
      <c r="H342" s="230"/>
      <c r="I342" s="231">
        <v>281869.42</v>
      </c>
      <c r="J342" s="232" t="s">
        <v>425</v>
      </c>
      <c r="K342" s="233">
        <v>2</v>
      </c>
    </row>
    <row r="343" spans="1:11" s="226" customFormat="1" ht="12.75" customHeight="1" x14ac:dyDescent="0.2">
      <c r="A343" s="226" t="s">
        <v>69</v>
      </c>
      <c r="B343" s="228">
        <v>46086</v>
      </c>
      <c r="C343" s="229" t="s">
        <v>739</v>
      </c>
      <c r="D343" s="229" t="s">
        <v>740</v>
      </c>
      <c r="E343" s="229" t="s">
        <v>179</v>
      </c>
      <c r="F343" s="229" t="s">
        <v>973</v>
      </c>
      <c r="G343" s="227">
        <v>50</v>
      </c>
      <c r="H343" s="230"/>
      <c r="I343" s="231">
        <v>281919.42</v>
      </c>
      <c r="J343" s="232" t="s">
        <v>425</v>
      </c>
      <c r="K343" s="233">
        <v>2</v>
      </c>
    </row>
    <row r="344" spans="1:11" s="226" customFormat="1" ht="12.75" customHeight="1" x14ac:dyDescent="0.2">
      <c r="A344" s="226" t="s">
        <v>69</v>
      </c>
      <c r="B344" s="228">
        <v>46086</v>
      </c>
      <c r="C344" s="229" t="s">
        <v>739</v>
      </c>
      <c r="D344" s="229" t="s">
        <v>740</v>
      </c>
      <c r="E344" s="229" t="s">
        <v>179</v>
      </c>
      <c r="F344" s="229" t="s">
        <v>973</v>
      </c>
      <c r="G344" s="227">
        <v>75</v>
      </c>
      <c r="H344" s="230"/>
      <c r="I344" s="231">
        <v>281994.42</v>
      </c>
      <c r="J344" s="232" t="s">
        <v>425</v>
      </c>
      <c r="K344" s="233">
        <v>2</v>
      </c>
    </row>
    <row r="345" spans="1:11" s="226" customFormat="1" ht="12.75" customHeight="1" x14ac:dyDescent="0.2">
      <c r="A345" s="226" t="s">
        <v>69</v>
      </c>
      <c r="B345" s="228">
        <v>46086</v>
      </c>
      <c r="C345" s="229" t="s">
        <v>739</v>
      </c>
      <c r="D345" s="229" t="s">
        <v>740</v>
      </c>
      <c r="E345" s="229" t="s">
        <v>179</v>
      </c>
      <c r="F345" s="229" t="s">
        <v>973</v>
      </c>
      <c r="G345" s="227">
        <v>1020</v>
      </c>
      <c r="H345" s="230"/>
      <c r="I345" s="231">
        <v>283014.42</v>
      </c>
      <c r="J345" s="232" t="s">
        <v>425</v>
      </c>
      <c r="K345" s="233">
        <v>2</v>
      </c>
    </row>
    <row r="346" spans="1:11" s="226" customFormat="1" ht="12.75" customHeight="1" x14ac:dyDescent="0.2">
      <c r="A346" s="226" t="s">
        <v>69</v>
      </c>
      <c r="B346" s="228">
        <v>46086</v>
      </c>
      <c r="C346" s="229" t="s">
        <v>739</v>
      </c>
      <c r="D346" s="229" t="s">
        <v>740</v>
      </c>
      <c r="E346" s="229" t="s">
        <v>179</v>
      </c>
      <c r="F346" s="229" t="s">
        <v>973</v>
      </c>
      <c r="G346" s="227">
        <v>49.52</v>
      </c>
      <c r="H346" s="230"/>
      <c r="I346" s="231">
        <v>283063.94</v>
      </c>
      <c r="J346" s="232" t="s">
        <v>425</v>
      </c>
      <c r="K346" s="233">
        <v>2</v>
      </c>
    </row>
    <row r="347" spans="1:11" s="226" customFormat="1" ht="12.75" customHeight="1" x14ac:dyDescent="0.2">
      <c r="A347" s="226" t="s">
        <v>69</v>
      </c>
      <c r="B347" s="228">
        <v>46086</v>
      </c>
      <c r="C347" s="229" t="s">
        <v>741</v>
      </c>
      <c r="D347" s="229" t="s">
        <v>742</v>
      </c>
      <c r="E347" s="229" t="s">
        <v>150</v>
      </c>
      <c r="F347" s="229" t="s">
        <v>974</v>
      </c>
      <c r="G347" s="227">
        <v>1005</v>
      </c>
      <c r="H347" s="230"/>
      <c r="I347" s="231">
        <v>284068.94</v>
      </c>
      <c r="J347" s="232" t="s">
        <v>425</v>
      </c>
      <c r="K347" s="233">
        <v>2</v>
      </c>
    </row>
    <row r="348" spans="1:11" s="226" customFormat="1" ht="12.75" customHeight="1" x14ac:dyDescent="0.2">
      <c r="A348" s="226" t="s">
        <v>69</v>
      </c>
      <c r="B348" s="228">
        <v>46086</v>
      </c>
      <c r="C348" s="229" t="s">
        <v>741</v>
      </c>
      <c r="D348" s="229" t="s">
        <v>742</v>
      </c>
      <c r="E348" s="229" t="s">
        <v>150</v>
      </c>
      <c r="F348" s="229" t="s">
        <v>974</v>
      </c>
      <c r="G348" s="227">
        <v>49.52</v>
      </c>
      <c r="H348" s="230"/>
      <c r="I348" s="231">
        <v>284118.46000000002</v>
      </c>
      <c r="J348" s="232" t="s">
        <v>425</v>
      </c>
      <c r="K348" s="233">
        <v>2</v>
      </c>
    </row>
    <row r="349" spans="1:11" s="226" customFormat="1" ht="12.75" customHeight="1" x14ac:dyDescent="0.2">
      <c r="A349" s="226" t="s">
        <v>69</v>
      </c>
      <c r="B349" s="228">
        <v>46086</v>
      </c>
      <c r="C349" s="229" t="s">
        <v>743</v>
      </c>
      <c r="D349" s="229" t="s">
        <v>744</v>
      </c>
      <c r="E349" s="229" t="s">
        <v>151</v>
      </c>
      <c r="F349" s="229" t="s">
        <v>85</v>
      </c>
      <c r="G349" s="227">
        <v>1005</v>
      </c>
      <c r="H349" s="230"/>
      <c r="I349" s="231">
        <v>285123.46000000002</v>
      </c>
      <c r="J349" s="232" t="s">
        <v>425</v>
      </c>
      <c r="K349" s="233">
        <v>2</v>
      </c>
    </row>
    <row r="350" spans="1:11" s="226" customFormat="1" ht="12.75" customHeight="1" x14ac:dyDescent="0.2">
      <c r="A350" s="226" t="s">
        <v>69</v>
      </c>
      <c r="B350" s="228">
        <v>46086</v>
      </c>
      <c r="C350" s="229" t="s">
        <v>743</v>
      </c>
      <c r="D350" s="229" t="s">
        <v>744</v>
      </c>
      <c r="E350" s="229" t="s">
        <v>151</v>
      </c>
      <c r="F350" s="229" t="s">
        <v>85</v>
      </c>
      <c r="G350" s="227">
        <v>49.65</v>
      </c>
      <c r="H350" s="230"/>
      <c r="I350" s="231">
        <v>285173.11</v>
      </c>
      <c r="J350" s="232" t="s">
        <v>425</v>
      </c>
      <c r="K350" s="233">
        <v>2</v>
      </c>
    </row>
    <row r="351" spans="1:11" s="226" customFormat="1" ht="12.75" customHeight="1" x14ac:dyDescent="0.2">
      <c r="A351" s="226" t="s">
        <v>69</v>
      </c>
      <c r="B351" s="228">
        <v>46086</v>
      </c>
      <c r="C351" s="229" t="s">
        <v>745</v>
      </c>
      <c r="D351" s="229" t="s">
        <v>746</v>
      </c>
      <c r="E351" s="229" t="s">
        <v>152</v>
      </c>
      <c r="F351" s="229" t="s">
        <v>85</v>
      </c>
      <c r="G351" s="227">
        <v>1005</v>
      </c>
      <c r="H351" s="230"/>
      <c r="I351" s="231">
        <v>286178.11</v>
      </c>
      <c r="J351" s="232" t="s">
        <v>425</v>
      </c>
      <c r="K351" s="233">
        <v>2</v>
      </c>
    </row>
    <row r="352" spans="1:11" s="226" customFormat="1" ht="12.75" customHeight="1" x14ac:dyDescent="0.2">
      <c r="A352" s="226" t="s">
        <v>69</v>
      </c>
      <c r="B352" s="228">
        <v>46086</v>
      </c>
      <c r="C352" s="229" t="s">
        <v>745</v>
      </c>
      <c r="D352" s="229" t="s">
        <v>746</v>
      </c>
      <c r="E352" s="229" t="s">
        <v>152</v>
      </c>
      <c r="F352" s="229" t="s">
        <v>85</v>
      </c>
      <c r="G352" s="227">
        <v>49.52</v>
      </c>
      <c r="H352" s="230"/>
      <c r="I352" s="231">
        <v>286227.63</v>
      </c>
      <c r="J352" s="232" t="s">
        <v>425</v>
      </c>
      <c r="K352" s="233">
        <v>2</v>
      </c>
    </row>
    <row r="353" spans="1:11" s="226" customFormat="1" ht="12.75" customHeight="1" x14ac:dyDescent="0.2">
      <c r="A353" s="226" t="s">
        <v>69</v>
      </c>
      <c r="B353" s="228">
        <v>46086</v>
      </c>
      <c r="C353" s="229" t="s">
        <v>747</v>
      </c>
      <c r="D353" s="229" t="s">
        <v>748</v>
      </c>
      <c r="E353" s="229" t="s">
        <v>153</v>
      </c>
      <c r="F353" s="229" t="s">
        <v>91</v>
      </c>
      <c r="G353" s="227">
        <v>49.52</v>
      </c>
      <c r="H353" s="230"/>
      <c r="I353" s="231">
        <v>286277.15000000002</v>
      </c>
      <c r="J353" s="224" t="s">
        <v>421</v>
      </c>
      <c r="K353" s="233">
        <v>2</v>
      </c>
    </row>
    <row r="354" spans="1:11" s="226" customFormat="1" ht="12.75" customHeight="1" x14ac:dyDescent="0.2">
      <c r="A354" s="226" t="s">
        <v>69</v>
      </c>
      <c r="B354" s="228">
        <v>46086</v>
      </c>
      <c r="C354" s="229" t="s">
        <v>747</v>
      </c>
      <c r="D354" s="229" t="s">
        <v>748</v>
      </c>
      <c r="E354" s="229" t="s">
        <v>153</v>
      </c>
      <c r="F354" s="229" t="s">
        <v>91</v>
      </c>
      <c r="G354" s="227">
        <v>1005</v>
      </c>
      <c r="H354" s="230"/>
      <c r="I354" s="231">
        <v>287282.15000000002</v>
      </c>
      <c r="J354" s="224" t="s">
        <v>421</v>
      </c>
      <c r="K354" s="233">
        <v>2</v>
      </c>
    </row>
    <row r="355" spans="1:11" s="226" customFormat="1" ht="12.75" customHeight="1" x14ac:dyDescent="0.2">
      <c r="A355" s="226" t="s">
        <v>53</v>
      </c>
      <c r="B355" s="228">
        <v>46086</v>
      </c>
      <c r="C355" s="229" t="s">
        <v>749</v>
      </c>
      <c r="D355" s="229" t="s">
        <v>750</v>
      </c>
      <c r="E355" s="229" t="s">
        <v>177</v>
      </c>
      <c r="F355" s="229" t="s">
        <v>292</v>
      </c>
      <c r="G355" s="227">
        <v>48.96</v>
      </c>
      <c r="H355" s="230"/>
      <c r="I355" s="231">
        <v>287331.11</v>
      </c>
      <c r="J355" s="232" t="s">
        <v>421</v>
      </c>
      <c r="K355" s="233">
        <v>2</v>
      </c>
    </row>
    <row r="356" spans="1:11" s="226" customFormat="1" ht="12.75" customHeight="1" x14ac:dyDescent="0.2">
      <c r="A356" s="226" t="s">
        <v>53</v>
      </c>
      <c r="B356" s="228">
        <v>46086</v>
      </c>
      <c r="C356" s="229" t="s">
        <v>749</v>
      </c>
      <c r="D356" s="229" t="s">
        <v>750</v>
      </c>
      <c r="E356" s="229" t="s">
        <v>177</v>
      </c>
      <c r="F356" s="229" t="s">
        <v>292</v>
      </c>
      <c r="G356" s="227">
        <v>1000</v>
      </c>
      <c r="H356" s="230"/>
      <c r="I356" s="231">
        <v>288331.11</v>
      </c>
      <c r="J356" s="232" t="s">
        <v>421</v>
      </c>
      <c r="K356" s="233">
        <v>2</v>
      </c>
    </row>
    <row r="357" spans="1:11" s="226" customFormat="1" ht="12.75" customHeight="1" x14ac:dyDescent="0.2">
      <c r="A357" s="226" t="s">
        <v>69</v>
      </c>
      <c r="B357" s="228">
        <v>46086</v>
      </c>
      <c r="C357" s="229" t="s">
        <v>751</v>
      </c>
      <c r="D357" s="229" t="s">
        <v>752</v>
      </c>
      <c r="E357" s="229" t="s">
        <v>188</v>
      </c>
      <c r="F357" s="229" t="s">
        <v>17</v>
      </c>
      <c r="G357" s="227">
        <v>49.52</v>
      </c>
      <c r="H357" s="230"/>
      <c r="I357" s="231">
        <v>288380.63</v>
      </c>
      <c r="J357" s="232" t="s">
        <v>421</v>
      </c>
      <c r="K357" s="233">
        <v>2</v>
      </c>
    </row>
    <row r="358" spans="1:11" s="226" customFormat="1" ht="12.75" customHeight="1" x14ac:dyDescent="0.2">
      <c r="A358" s="226" t="s">
        <v>69</v>
      </c>
      <c r="B358" s="228">
        <v>46086</v>
      </c>
      <c r="C358" s="229" t="s">
        <v>751</v>
      </c>
      <c r="D358" s="229" t="s">
        <v>752</v>
      </c>
      <c r="E358" s="229" t="s">
        <v>188</v>
      </c>
      <c r="F358" s="229" t="s">
        <v>17</v>
      </c>
      <c r="G358" s="227">
        <v>1005</v>
      </c>
      <c r="H358" s="230"/>
      <c r="I358" s="231">
        <v>289385.63</v>
      </c>
      <c r="J358" s="232" t="s">
        <v>421</v>
      </c>
      <c r="K358" s="233">
        <v>2</v>
      </c>
    </row>
    <row r="359" spans="1:11" s="226" customFormat="1" ht="12.75" customHeight="1" x14ac:dyDescent="0.2">
      <c r="A359" s="226" t="s">
        <v>53</v>
      </c>
      <c r="B359" s="228">
        <v>46086</v>
      </c>
      <c r="C359" s="229" t="s">
        <v>753</v>
      </c>
      <c r="D359" s="229" t="s">
        <v>754</v>
      </c>
      <c r="E359" s="229" t="s">
        <v>158</v>
      </c>
      <c r="F359" s="229" t="s">
        <v>18</v>
      </c>
      <c r="G359" s="227">
        <v>48.96</v>
      </c>
      <c r="H359" s="230"/>
      <c r="I359" s="231">
        <v>289434.59000000003</v>
      </c>
      <c r="J359" s="232" t="s">
        <v>421</v>
      </c>
      <c r="K359" s="233">
        <v>2</v>
      </c>
    </row>
    <row r="360" spans="1:11" s="226" customFormat="1" ht="12.75" customHeight="1" x14ac:dyDescent="0.2">
      <c r="A360" s="226" t="s">
        <v>53</v>
      </c>
      <c r="B360" s="228">
        <v>46086</v>
      </c>
      <c r="C360" s="229" t="s">
        <v>753</v>
      </c>
      <c r="D360" s="229" t="s">
        <v>754</v>
      </c>
      <c r="E360" s="229" t="s">
        <v>158</v>
      </c>
      <c r="F360" s="229" t="s">
        <v>18</v>
      </c>
      <c r="G360" s="227">
        <v>1000</v>
      </c>
      <c r="H360" s="230"/>
      <c r="I360" s="231">
        <v>290434.59000000003</v>
      </c>
      <c r="J360" s="224" t="s">
        <v>421</v>
      </c>
      <c r="K360" s="233">
        <v>2</v>
      </c>
    </row>
    <row r="361" spans="1:11" s="226" customFormat="1" ht="12.75" customHeight="1" x14ac:dyDescent="0.2">
      <c r="A361" s="226" t="s">
        <v>69</v>
      </c>
      <c r="B361" s="228">
        <v>46086</v>
      </c>
      <c r="C361" s="229" t="s">
        <v>755</v>
      </c>
      <c r="D361" s="229" t="s">
        <v>756</v>
      </c>
      <c r="E361" s="229" t="s">
        <v>99</v>
      </c>
      <c r="F361" s="229" t="s">
        <v>18</v>
      </c>
      <c r="G361" s="227">
        <v>49.52</v>
      </c>
      <c r="H361" s="230"/>
      <c r="I361" s="231">
        <v>290484.11</v>
      </c>
      <c r="J361" s="224" t="s">
        <v>421</v>
      </c>
      <c r="K361" s="233">
        <v>2</v>
      </c>
    </row>
    <row r="362" spans="1:11" s="226" customFormat="1" ht="12.75" customHeight="1" x14ac:dyDescent="0.2">
      <c r="A362" s="226" t="s">
        <v>69</v>
      </c>
      <c r="B362" s="228">
        <v>46086</v>
      </c>
      <c r="C362" s="229" t="s">
        <v>755</v>
      </c>
      <c r="D362" s="229" t="s">
        <v>756</v>
      </c>
      <c r="E362" s="229" t="s">
        <v>99</v>
      </c>
      <c r="F362" s="229" t="s">
        <v>18</v>
      </c>
      <c r="G362" s="227">
        <v>1005</v>
      </c>
      <c r="H362" s="230"/>
      <c r="I362" s="231">
        <v>291489.11</v>
      </c>
      <c r="J362" s="224" t="s">
        <v>421</v>
      </c>
      <c r="K362" s="233">
        <v>2</v>
      </c>
    </row>
    <row r="363" spans="1:11" s="226" customFormat="1" ht="12.75" customHeight="1" x14ac:dyDescent="0.2">
      <c r="A363" s="226" t="s">
        <v>53</v>
      </c>
      <c r="B363" s="228">
        <v>46086</v>
      </c>
      <c r="C363" s="229" t="s">
        <v>757</v>
      </c>
      <c r="D363" s="229" t="s">
        <v>758</v>
      </c>
      <c r="E363" s="229" t="s">
        <v>169</v>
      </c>
      <c r="F363" s="229" t="s">
        <v>20</v>
      </c>
      <c r="G363" s="227">
        <v>997.32</v>
      </c>
      <c r="H363" s="230"/>
      <c r="I363" s="231">
        <v>292486.43</v>
      </c>
      <c r="J363" s="224" t="s">
        <v>423</v>
      </c>
      <c r="K363" s="233">
        <v>2</v>
      </c>
    </row>
    <row r="364" spans="1:11" s="226" customFormat="1" ht="12.75" customHeight="1" x14ac:dyDescent="0.2">
      <c r="A364" s="226" t="s">
        <v>53</v>
      </c>
      <c r="B364" s="228">
        <v>46086</v>
      </c>
      <c r="C364" s="229" t="s">
        <v>757</v>
      </c>
      <c r="D364" s="229" t="s">
        <v>758</v>
      </c>
      <c r="E364" s="229" t="s">
        <v>169</v>
      </c>
      <c r="F364" s="229" t="s">
        <v>20</v>
      </c>
      <c r="G364" s="227">
        <v>2.68</v>
      </c>
      <c r="H364" s="230"/>
      <c r="I364" s="231">
        <v>292489.11</v>
      </c>
      <c r="J364" s="224" t="s">
        <v>423</v>
      </c>
      <c r="K364" s="233">
        <v>2</v>
      </c>
    </row>
    <row r="365" spans="1:11" s="226" customFormat="1" ht="12.75" customHeight="1" x14ac:dyDescent="0.2">
      <c r="A365" s="226" t="s">
        <v>53</v>
      </c>
      <c r="B365" s="228">
        <v>46086</v>
      </c>
      <c r="C365" s="229" t="s">
        <v>759</v>
      </c>
      <c r="D365" s="229" t="s">
        <v>760</v>
      </c>
      <c r="E365" s="229" t="s">
        <v>169</v>
      </c>
      <c r="F365" s="229" t="s">
        <v>20</v>
      </c>
      <c r="G365" s="227">
        <v>2.72</v>
      </c>
      <c r="H365" s="230"/>
      <c r="I365" s="231">
        <v>292491.83</v>
      </c>
      <c r="J365" s="224" t="s">
        <v>423</v>
      </c>
      <c r="K365" s="233">
        <v>2</v>
      </c>
    </row>
    <row r="366" spans="1:11" s="226" customFormat="1" ht="12.75" customHeight="1" x14ac:dyDescent="0.2">
      <c r="A366" s="226" t="s">
        <v>53</v>
      </c>
      <c r="B366" s="228">
        <v>46086</v>
      </c>
      <c r="C366" s="229" t="s">
        <v>759</v>
      </c>
      <c r="D366" s="229" t="s">
        <v>760</v>
      </c>
      <c r="E366" s="229" t="s">
        <v>169</v>
      </c>
      <c r="F366" s="229" t="s">
        <v>20</v>
      </c>
      <c r="G366" s="227">
        <v>46.28</v>
      </c>
      <c r="H366" s="230"/>
      <c r="I366" s="231">
        <v>292538.11</v>
      </c>
      <c r="J366" s="224" t="s">
        <v>423</v>
      </c>
      <c r="K366" s="233">
        <v>2</v>
      </c>
    </row>
    <row r="367" spans="1:11" s="226" customFormat="1" ht="12.75" customHeight="1" x14ac:dyDescent="0.2">
      <c r="A367" s="226" t="s">
        <v>53</v>
      </c>
      <c r="B367" s="228">
        <v>46086</v>
      </c>
      <c r="C367" s="229" t="s">
        <v>761</v>
      </c>
      <c r="D367" s="229" t="s">
        <v>762</v>
      </c>
      <c r="E367" s="229" t="s">
        <v>143</v>
      </c>
      <c r="F367" s="229" t="s">
        <v>20</v>
      </c>
      <c r="G367" s="227">
        <v>101</v>
      </c>
      <c r="H367" s="230"/>
      <c r="I367" s="231">
        <v>292639.11</v>
      </c>
      <c r="J367" s="224" t="s">
        <v>423</v>
      </c>
      <c r="K367" s="233">
        <v>2</v>
      </c>
    </row>
    <row r="368" spans="1:11" s="226" customFormat="1" ht="12.75" customHeight="1" x14ac:dyDescent="0.2">
      <c r="A368" s="226" t="s">
        <v>53</v>
      </c>
      <c r="B368" s="228">
        <v>46086</v>
      </c>
      <c r="C368" s="229" t="s">
        <v>761</v>
      </c>
      <c r="D368" s="229" t="s">
        <v>762</v>
      </c>
      <c r="E368" s="229" t="s">
        <v>143</v>
      </c>
      <c r="F368" s="229" t="s">
        <v>20</v>
      </c>
      <c r="G368" s="227">
        <v>48.96</v>
      </c>
      <c r="H368" s="230"/>
      <c r="I368" s="231">
        <v>292688.07</v>
      </c>
      <c r="J368" s="224" t="s">
        <v>423</v>
      </c>
      <c r="K368" s="233">
        <v>2</v>
      </c>
    </row>
    <row r="369" spans="1:11" s="226" customFormat="1" ht="12.75" customHeight="1" x14ac:dyDescent="0.2">
      <c r="A369" s="226" t="s">
        <v>53</v>
      </c>
      <c r="B369" s="228">
        <v>46086</v>
      </c>
      <c r="C369" s="229" t="s">
        <v>761</v>
      </c>
      <c r="D369" s="229" t="s">
        <v>762</v>
      </c>
      <c r="E369" s="229" t="s">
        <v>143</v>
      </c>
      <c r="F369" s="229" t="s">
        <v>20</v>
      </c>
      <c r="G369" s="227">
        <v>749.04</v>
      </c>
      <c r="H369" s="230"/>
      <c r="I369" s="231">
        <v>293437.11</v>
      </c>
      <c r="J369" s="224" t="s">
        <v>423</v>
      </c>
      <c r="K369" s="233">
        <v>2</v>
      </c>
    </row>
    <row r="370" spans="1:11" s="226" customFormat="1" ht="12.75" customHeight="1" x14ac:dyDescent="0.2">
      <c r="A370" s="226" t="s">
        <v>53</v>
      </c>
      <c r="B370" s="228">
        <v>46086</v>
      </c>
      <c r="C370" s="229" t="s">
        <v>761</v>
      </c>
      <c r="D370" s="229" t="s">
        <v>762</v>
      </c>
      <c r="E370" s="229" t="s">
        <v>143</v>
      </c>
      <c r="F370" s="229" t="s">
        <v>20</v>
      </c>
      <c r="G370" s="227">
        <v>75</v>
      </c>
      <c r="H370" s="230"/>
      <c r="I370" s="231">
        <v>293512.11</v>
      </c>
      <c r="J370" s="232" t="s">
        <v>423</v>
      </c>
      <c r="K370" s="233">
        <v>2</v>
      </c>
    </row>
    <row r="371" spans="1:11" s="226" customFormat="1" ht="12.75" customHeight="1" x14ac:dyDescent="0.2">
      <c r="A371" s="226" t="s">
        <v>53</v>
      </c>
      <c r="B371" s="228">
        <v>46086</v>
      </c>
      <c r="C371" s="229" t="s">
        <v>761</v>
      </c>
      <c r="D371" s="229" t="s">
        <v>762</v>
      </c>
      <c r="E371" s="229" t="s">
        <v>143</v>
      </c>
      <c r="F371" s="229" t="s">
        <v>20</v>
      </c>
      <c r="G371" s="227">
        <v>75</v>
      </c>
      <c r="H371" s="230"/>
      <c r="I371" s="231">
        <v>293587.11</v>
      </c>
      <c r="J371" s="232" t="s">
        <v>423</v>
      </c>
      <c r="K371" s="233">
        <v>2</v>
      </c>
    </row>
    <row r="372" spans="1:11" s="226" customFormat="1" ht="12.75" customHeight="1" x14ac:dyDescent="0.2">
      <c r="A372" s="226" t="s">
        <v>53</v>
      </c>
      <c r="B372" s="228">
        <v>46086</v>
      </c>
      <c r="C372" s="229" t="s">
        <v>763</v>
      </c>
      <c r="D372" s="229" t="s">
        <v>764</v>
      </c>
      <c r="E372" s="229" t="s">
        <v>61</v>
      </c>
      <c r="F372" s="229" t="s">
        <v>20</v>
      </c>
      <c r="G372" s="227">
        <v>170.48</v>
      </c>
      <c r="H372" s="230"/>
      <c r="I372" s="231">
        <v>293757.59000000003</v>
      </c>
      <c r="J372" s="232" t="s">
        <v>423</v>
      </c>
      <c r="K372" s="233">
        <v>2</v>
      </c>
    </row>
    <row r="373" spans="1:11" s="226" customFormat="1" ht="12.75" customHeight="1" x14ac:dyDescent="0.2">
      <c r="A373" s="226" t="s">
        <v>53</v>
      </c>
      <c r="B373" s="228">
        <v>46086</v>
      </c>
      <c r="C373" s="229" t="s">
        <v>763</v>
      </c>
      <c r="D373" s="229" t="s">
        <v>764</v>
      </c>
      <c r="E373" s="229" t="s">
        <v>61</v>
      </c>
      <c r="F373" s="229" t="s">
        <v>20</v>
      </c>
      <c r="G373" s="227">
        <v>880.56</v>
      </c>
      <c r="H373" s="230"/>
      <c r="I373" s="231">
        <v>294638.15000000002</v>
      </c>
      <c r="J373" s="232" t="s">
        <v>423</v>
      </c>
      <c r="K373" s="233">
        <v>2</v>
      </c>
    </row>
    <row r="374" spans="1:11" s="226" customFormat="1" ht="12.75" customHeight="1" x14ac:dyDescent="0.2">
      <c r="A374" s="226" t="s">
        <v>53</v>
      </c>
      <c r="B374" s="228">
        <v>46086</v>
      </c>
      <c r="C374" s="229" t="s">
        <v>763</v>
      </c>
      <c r="D374" s="229" t="s">
        <v>764</v>
      </c>
      <c r="E374" s="229" t="s">
        <v>61</v>
      </c>
      <c r="F374" s="229" t="s">
        <v>20</v>
      </c>
      <c r="G374" s="227">
        <v>48.96</v>
      </c>
      <c r="H374" s="230"/>
      <c r="I374" s="231">
        <v>294687.11</v>
      </c>
      <c r="J374" s="232" t="s">
        <v>423</v>
      </c>
      <c r="K374" s="233">
        <v>2</v>
      </c>
    </row>
    <row r="375" spans="1:11" s="226" customFormat="1" ht="12.75" customHeight="1" x14ac:dyDescent="0.2">
      <c r="A375" s="226" t="s">
        <v>53</v>
      </c>
      <c r="B375" s="228">
        <v>46086</v>
      </c>
      <c r="C375" s="229" t="s">
        <v>765</v>
      </c>
      <c r="D375" s="229" t="s">
        <v>766</v>
      </c>
      <c r="E375" s="229" t="s">
        <v>67</v>
      </c>
      <c r="F375" s="229" t="s">
        <v>20</v>
      </c>
      <c r="G375" s="227">
        <v>1000</v>
      </c>
      <c r="H375" s="230"/>
      <c r="I375" s="231">
        <v>295687.11</v>
      </c>
      <c r="J375" s="232" t="s">
        <v>423</v>
      </c>
      <c r="K375" s="233">
        <v>2</v>
      </c>
    </row>
    <row r="376" spans="1:11" s="226" customFormat="1" ht="12.75" customHeight="1" x14ac:dyDescent="0.2">
      <c r="A376" s="226" t="s">
        <v>53</v>
      </c>
      <c r="B376" s="228">
        <v>46086</v>
      </c>
      <c r="C376" s="229" t="s">
        <v>765</v>
      </c>
      <c r="D376" s="229" t="s">
        <v>766</v>
      </c>
      <c r="E376" s="229" t="s">
        <v>67</v>
      </c>
      <c r="F376" s="229" t="s">
        <v>20</v>
      </c>
      <c r="G376" s="227">
        <v>48.96</v>
      </c>
      <c r="H376" s="230"/>
      <c r="I376" s="231">
        <v>295736.07</v>
      </c>
      <c r="J376" s="232" t="s">
        <v>423</v>
      </c>
      <c r="K376" s="233">
        <v>2</v>
      </c>
    </row>
    <row r="377" spans="1:11" s="226" customFormat="1" ht="12.75" customHeight="1" x14ac:dyDescent="0.2">
      <c r="A377" s="226" t="s">
        <v>53</v>
      </c>
      <c r="B377" s="228">
        <v>46086</v>
      </c>
      <c r="C377" s="229" t="s">
        <v>767</v>
      </c>
      <c r="D377" s="229" t="s">
        <v>768</v>
      </c>
      <c r="E377" s="229" t="s">
        <v>161</v>
      </c>
      <c r="F377" s="229" t="s">
        <v>20</v>
      </c>
      <c r="G377" s="227">
        <v>5.03</v>
      </c>
      <c r="H377" s="230"/>
      <c r="I377" s="231">
        <v>295741.09999999998</v>
      </c>
      <c r="J377" s="232" t="s">
        <v>423</v>
      </c>
      <c r="K377" s="233">
        <v>2</v>
      </c>
    </row>
    <row r="378" spans="1:11" s="226" customFormat="1" ht="12.75" customHeight="1" x14ac:dyDescent="0.2">
      <c r="A378" s="226" t="s">
        <v>53</v>
      </c>
      <c r="B378" s="228">
        <v>46086</v>
      </c>
      <c r="C378" s="229" t="s">
        <v>767</v>
      </c>
      <c r="D378" s="229" t="s">
        <v>768</v>
      </c>
      <c r="E378" s="229" t="s">
        <v>161</v>
      </c>
      <c r="F378" s="229" t="s">
        <v>20</v>
      </c>
      <c r="G378" s="227">
        <v>995.01</v>
      </c>
      <c r="H378" s="230"/>
      <c r="I378" s="231">
        <v>296736.11</v>
      </c>
      <c r="J378" s="232" t="s">
        <v>423</v>
      </c>
      <c r="K378" s="233">
        <v>2</v>
      </c>
    </row>
    <row r="379" spans="1:11" s="226" customFormat="1" ht="12.75" customHeight="1" x14ac:dyDescent="0.2">
      <c r="A379" s="226" t="s">
        <v>53</v>
      </c>
      <c r="B379" s="228">
        <v>46086</v>
      </c>
      <c r="C379" s="229" t="s">
        <v>767</v>
      </c>
      <c r="D379" s="229" t="s">
        <v>768</v>
      </c>
      <c r="E379" s="229" t="s">
        <v>161</v>
      </c>
      <c r="F379" s="229" t="s">
        <v>20</v>
      </c>
      <c r="G379" s="227">
        <v>48.96</v>
      </c>
      <c r="H379" s="230"/>
      <c r="I379" s="231">
        <v>296785.07</v>
      </c>
      <c r="J379" s="232" t="s">
        <v>423</v>
      </c>
      <c r="K379" s="233">
        <v>2</v>
      </c>
    </row>
    <row r="380" spans="1:11" s="226" customFormat="1" ht="12.75" customHeight="1" x14ac:dyDescent="0.2">
      <c r="A380" s="226" t="s">
        <v>69</v>
      </c>
      <c r="B380" s="228">
        <v>46086</v>
      </c>
      <c r="C380" s="229" t="s">
        <v>769</v>
      </c>
      <c r="D380" s="229" t="s">
        <v>770</v>
      </c>
      <c r="E380" s="229" t="s">
        <v>150</v>
      </c>
      <c r="F380" s="229" t="s">
        <v>20</v>
      </c>
      <c r="G380" s="227">
        <v>75</v>
      </c>
      <c r="H380" s="230"/>
      <c r="I380" s="231">
        <v>296860.07</v>
      </c>
      <c r="J380" s="232" t="s">
        <v>423</v>
      </c>
      <c r="K380" s="233">
        <v>2</v>
      </c>
    </row>
    <row r="381" spans="1:11" s="226" customFormat="1" ht="12.75" customHeight="1" x14ac:dyDescent="0.2">
      <c r="A381" s="226" t="s">
        <v>69</v>
      </c>
      <c r="B381" s="228">
        <v>46086</v>
      </c>
      <c r="C381" s="229" t="s">
        <v>769</v>
      </c>
      <c r="D381" s="229" t="s">
        <v>770</v>
      </c>
      <c r="E381" s="229" t="s">
        <v>150</v>
      </c>
      <c r="F381" s="229" t="s">
        <v>20</v>
      </c>
      <c r="G381" s="227">
        <v>50</v>
      </c>
      <c r="H381" s="230"/>
      <c r="I381" s="231">
        <v>296910.07</v>
      </c>
      <c r="J381" s="232" t="s">
        <v>423</v>
      </c>
      <c r="K381" s="233">
        <v>2</v>
      </c>
    </row>
    <row r="382" spans="1:11" s="226" customFormat="1" ht="12.75" customHeight="1" x14ac:dyDescent="0.2">
      <c r="A382" s="226" t="s">
        <v>69</v>
      </c>
      <c r="B382" s="228">
        <v>46086</v>
      </c>
      <c r="C382" s="229" t="s">
        <v>769</v>
      </c>
      <c r="D382" s="229" t="s">
        <v>770</v>
      </c>
      <c r="E382" s="229" t="s">
        <v>150</v>
      </c>
      <c r="F382" s="229" t="s">
        <v>20</v>
      </c>
      <c r="G382" s="227">
        <v>875</v>
      </c>
      <c r="H382" s="230"/>
      <c r="I382" s="231">
        <v>297785.07</v>
      </c>
      <c r="J382" s="232" t="s">
        <v>423</v>
      </c>
      <c r="K382" s="233">
        <v>2</v>
      </c>
    </row>
    <row r="383" spans="1:11" s="226" customFormat="1" ht="12.75" customHeight="1" x14ac:dyDescent="0.2">
      <c r="A383" s="226" t="s">
        <v>69</v>
      </c>
      <c r="B383" s="228">
        <v>46086</v>
      </c>
      <c r="C383" s="229" t="s">
        <v>771</v>
      </c>
      <c r="D383" s="229" t="s">
        <v>772</v>
      </c>
      <c r="E383" s="229" t="s">
        <v>150</v>
      </c>
      <c r="F383" s="229" t="s">
        <v>20</v>
      </c>
      <c r="G383" s="227">
        <v>99.52</v>
      </c>
      <c r="H383" s="230"/>
      <c r="I383" s="231">
        <v>297884.59000000003</v>
      </c>
      <c r="J383" s="232" t="s">
        <v>423</v>
      </c>
      <c r="K383" s="233">
        <v>2</v>
      </c>
    </row>
    <row r="384" spans="1:11" s="226" customFormat="1" ht="12.75" customHeight="1" x14ac:dyDescent="0.2">
      <c r="A384" s="226" t="s">
        <v>53</v>
      </c>
      <c r="B384" s="228">
        <v>46086</v>
      </c>
      <c r="C384" s="229" t="s">
        <v>773</v>
      </c>
      <c r="D384" s="229" t="s">
        <v>55</v>
      </c>
      <c r="E384" s="229" t="s">
        <v>166</v>
      </c>
      <c r="F384" s="229" t="s">
        <v>19</v>
      </c>
      <c r="G384" s="220">
        <v>1000</v>
      </c>
      <c r="H384" s="230"/>
      <c r="I384" s="231">
        <v>298884.59000000003</v>
      </c>
      <c r="J384" s="232" t="s">
        <v>422</v>
      </c>
      <c r="K384" s="233">
        <v>2</v>
      </c>
    </row>
    <row r="385" spans="1:11" s="226" customFormat="1" ht="12.75" customHeight="1" x14ac:dyDescent="0.2">
      <c r="A385" s="226" t="s">
        <v>53</v>
      </c>
      <c r="B385" s="228">
        <v>46086</v>
      </c>
      <c r="C385" s="229" t="s">
        <v>773</v>
      </c>
      <c r="D385" s="229" t="s">
        <v>55</v>
      </c>
      <c r="E385" s="229" t="s">
        <v>166</v>
      </c>
      <c r="F385" s="229" t="s">
        <v>19</v>
      </c>
      <c r="G385" s="220">
        <v>48.96</v>
      </c>
      <c r="H385" s="230"/>
      <c r="I385" s="231">
        <v>298933.55</v>
      </c>
      <c r="J385" s="232" t="s">
        <v>422</v>
      </c>
      <c r="K385" s="233">
        <v>2</v>
      </c>
    </row>
    <row r="386" spans="1:11" s="226" customFormat="1" ht="12.75" customHeight="1" x14ac:dyDescent="0.2">
      <c r="A386" s="226" t="s">
        <v>69</v>
      </c>
      <c r="B386" s="228">
        <v>46086</v>
      </c>
      <c r="C386" s="229" t="s">
        <v>774</v>
      </c>
      <c r="D386" s="229" t="s">
        <v>775</v>
      </c>
      <c r="E386" s="229" t="s">
        <v>81</v>
      </c>
      <c r="F386" s="229" t="s">
        <v>17</v>
      </c>
      <c r="G386" s="227">
        <v>49.52</v>
      </c>
      <c r="H386" s="230"/>
      <c r="I386" s="231">
        <v>298983.07</v>
      </c>
      <c r="J386" s="232" t="s">
        <v>421</v>
      </c>
      <c r="K386" s="233">
        <v>2</v>
      </c>
    </row>
    <row r="387" spans="1:11" s="226" customFormat="1" ht="12.75" customHeight="1" x14ac:dyDescent="0.2">
      <c r="A387" s="226" t="s">
        <v>69</v>
      </c>
      <c r="B387" s="228">
        <v>46086</v>
      </c>
      <c r="C387" s="229" t="s">
        <v>774</v>
      </c>
      <c r="D387" s="229" t="s">
        <v>775</v>
      </c>
      <c r="E387" s="229" t="s">
        <v>81</v>
      </c>
      <c r="F387" s="229" t="s">
        <v>17</v>
      </c>
      <c r="G387" s="227">
        <v>1005</v>
      </c>
      <c r="H387" s="230"/>
      <c r="I387" s="231">
        <v>299988.07</v>
      </c>
      <c r="J387" s="232" t="s">
        <v>421</v>
      </c>
      <c r="K387" s="233">
        <v>2</v>
      </c>
    </row>
    <row r="388" spans="1:11" s="226" customFormat="1" ht="12.75" customHeight="1" x14ac:dyDescent="0.2">
      <c r="A388" s="226" t="s">
        <v>53</v>
      </c>
      <c r="B388" s="228">
        <v>46086</v>
      </c>
      <c r="C388" s="229" t="s">
        <v>776</v>
      </c>
      <c r="D388" s="229" t="s">
        <v>777</v>
      </c>
      <c r="E388" s="229" t="s">
        <v>256</v>
      </c>
      <c r="F388" s="229" t="s">
        <v>21</v>
      </c>
      <c r="G388" s="227">
        <v>48.96</v>
      </c>
      <c r="H388" s="230"/>
      <c r="I388" s="231">
        <v>300037.03000000003</v>
      </c>
      <c r="J388" s="232" t="s">
        <v>421</v>
      </c>
      <c r="K388" s="233">
        <v>2</v>
      </c>
    </row>
    <row r="389" spans="1:11" s="226" customFormat="1" ht="12.75" customHeight="1" x14ac:dyDescent="0.2">
      <c r="A389" s="226" t="s">
        <v>53</v>
      </c>
      <c r="B389" s="228">
        <v>46086</v>
      </c>
      <c r="C389" s="229" t="s">
        <v>776</v>
      </c>
      <c r="D389" s="229" t="s">
        <v>777</v>
      </c>
      <c r="E389" s="229" t="s">
        <v>256</v>
      </c>
      <c r="F389" s="229" t="s">
        <v>21</v>
      </c>
      <c r="G389" s="227">
        <v>1040</v>
      </c>
      <c r="H389" s="230"/>
      <c r="I389" s="231">
        <v>301077.03000000003</v>
      </c>
      <c r="J389" s="232" t="s">
        <v>421</v>
      </c>
      <c r="K389" s="233">
        <v>2</v>
      </c>
    </row>
    <row r="390" spans="1:11" s="226" customFormat="1" ht="12.75" customHeight="1" x14ac:dyDescent="0.2">
      <c r="A390" s="226" t="s">
        <v>69</v>
      </c>
      <c r="B390" s="228">
        <v>46086</v>
      </c>
      <c r="C390" s="229" t="s">
        <v>778</v>
      </c>
      <c r="D390" s="229" t="s">
        <v>134</v>
      </c>
      <c r="E390" s="229" t="s">
        <v>73</v>
      </c>
      <c r="F390" s="229" t="s">
        <v>975</v>
      </c>
      <c r="G390" s="220">
        <v>1004.69</v>
      </c>
      <c r="H390" s="230"/>
      <c r="I390" s="231">
        <v>302081.71999999997</v>
      </c>
      <c r="J390" s="232" t="s">
        <v>422</v>
      </c>
      <c r="K390" s="233">
        <v>2</v>
      </c>
    </row>
    <row r="391" spans="1:11" s="226" customFormat="1" ht="12.75" customHeight="1" x14ac:dyDescent="0.2">
      <c r="A391" s="226" t="s">
        <v>69</v>
      </c>
      <c r="B391" s="228">
        <v>46086</v>
      </c>
      <c r="C391" s="229" t="s">
        <v>778</v>
      </c>
      <c r="D391" s="229" t="s">
        <v>134</v>
      </c>
      <c r="E391" s="229" t="s">
        <v>73</v>
      </c>
      <c r="F391" s="229" t="s">
        <v>975</v>
      </c>
      <c r="G391" s="220">
        <v>49.52</v>
      </c>
      <c r="H391" s="230"/>
      <c r="I391" s="231">
        <v>302131.24</v>
      </c>
      <c r="J391" s="232" t="s">
        <v>422</v>
      </c>
      <c r="K391" s="233">
        <v>2</v>
      </c>
    </row>
    <row r="392" spans="1:11" s="226" customFormat="1" ht="12.75" customHeight="1" x14ac:dyDescent="0.2">
      <c r="A392" s="226" t="s">
        <v>69</v>
      </c>
      <c r="B392" s="228">
        <v>46086</v>
      </c>
      <c r="C392" s="229" t="s">
        <v>779</v>
      </c>
      <c r="D392" s="229" t="s">
        <v>780</v>
      </c>
      <c r="E392" s="229" t="s">
        <v>173</v>
      </c>
      <c r="F392" s="229" t="s">
        <v>21</v>
      </c>
      <c r="G392" s="227">
        <v>49.52</v>
      </c>
      <c r="H392" s="230"/>
      <c r="I392" s="231">
        <v>302180.76</v>
      </c>
      <c r="J392" s="232" t="s">
        <v>418</v>
      </c>
      <c r="K392" s="233">
        <v>2</v>
      </c>
    </row>
    <row r="393" spans="1:11" s="226" customFormat="1" ht="12.75" customHeight="1" x14ac:dyDescent="0.2">
      <c r="A393" s="226" t="s">
        <v>69</v>
      </c>
      <c r="B393" s="228">
        <v>46086</v>
      </c>
      <c r="C393" s="229" t="s">
        <v>779</v>
      </c>
      <c r="D393" s="229" t="s">
        <v>780</v>
      </c>
      <c r="E393" s="229" t="s">
        <v>173</v>
      </c>
      <c r="F393" s="229" t="s">
        <v>21</v>
      </c>
      <c r="G393" s="227">
        <v>1005</v>
      </c>
      <c r="H393" s="230"/>
      <c r="I393" s="231">
        <v>303185.76</v>
      </c>
      <c r="J393" s="232" t="s">
        <v>418</v>
      </c>
      <c r="K393" s="233">
        <v>2</v>
      </c>
    </row>
    <row r="394" spans="1:11" s="226" customFormat="1" ht="12.75" customHeight="1" x14ac:dyDescent="0.2">
      <c r="A394" s="226" t="s">
        <v>69</v>
      </c>
      <c r="B394" s="228">
        <v>46087</v>
      </c>
      <c r="C394" s="229" t="s">
        <v>781</v>
      </c>
      <c r="D394" s="229" t="s">
        <v>782</v>
      </c>
      <c r="E394" s="229" t="s">
        <v>184</v>
      </c>
      <c r="F394" s="229" t="s">
        <v>18</v>
      </c>
      <c r="G394" s="227">
        <v>49.52</v>
      </c>
      <c r="H394" s="230"/>
      <c r="I394" s="231">
        <v>303235.28000000003</v>
      </c>
      <c r="J394" s="232" t="s">
        <v>418</v>
      </c>
      <c r="K394" s="233">
        <v>2</v>
      </c>
    </row>
    <row r="395" spans="1:11" s="226" customFormat="1" ht="12.75" customHeight="1" x14ac:dyDescent="0.2">
      <c r="A395" s="226" t="s">
        <v>69</v>
      </c>
      <c r="B395" s="228">
        <v>46087</v>
      </c>
      <c r="C395" s="229" t="s">
        <v>781</v>
      </c>
      <c r="D395" s="229" t="s">
        <v>782</v>
      </c>
      <c r="E395" s="229" t="s">
        <v>184</v>
      </c>
      <c r="F395" s="229" t="s">
        <v>18</v>
      </c>
      <c r="G395" s="227">
        <v>1004</v>
      </c>
      <c r="H395" s="230"/>
      <c r="I395" s="231">
        <v>304239.28000000003</v>
      </c>
      <c r="J395" s="232" t="s">
        <v>418</v>
      </c>
      <c r="K395" s="233">
        <v>2</v>
      </c>
    </row>
    <row r="396" spans="1:11" s="226" customFormat="1" ht="12.75" customHeight="1" x14ac:dyDescent="0.2">
      <c r="A396" s="226" t="s">
        <v>53</v>
      </c>
      <c r="B396" s="228">
        <v>46087</v>
      </c>
      <c r="C396" s="229" t="s">
        <v>783</v>
      </c>
      <c r="D396" s="229" t="s">
        <v>784</v>
      </c>
      <c r="E396" s="229" t="s">
        <v>172</v>
      </c>
      <c r="F396" s="229" t="s">
        <v>17</v>
      </c>
      <c r="G396" s="227">
        <v>48.96</v>
      </c>
      <c r="H396" s="230"/>
      <c r="I396" s="231">
        <v>304288.24</v>
      </c>
      <c r="J396" s="232" t="s">
        <v>418</v>
      </c>
      <c r="K396" s="233">
        <v>2</v>
      </c>
    </row>
    <row r="397" spans="1:11" s="226" customFormat="1" ht="12.75" customHeight="1" x14ac:dyDescent="0.2">
      <c r="A397" s="226" t="s">
        <v>53</v>
      </c>
      <c r="B397" s="228">
        <v>46087</v>
      </c>
      <c r="C397" s="229" t="s">
        <v>783</v>
      </c>
      <c r="D397" s="229" t="s">
        <v>784</v>
      </c>
      <c r="E397" s="229" t="s">
        <v>172</v>
      </c>
      <c r="F397" s="229" t="s">
        <v>17</v>
      </c>
      <c r="G397" s="227">
        <v>1000</v>
      </c>
      <c r="H397" s="230"/>
      <c r="I397" s="231">
        <v>305288.24</v>
      </c>
      <c r="J397" s="232" t="s">
        <v>418</v>
      </c>
      <c r="K397" s="233">
        <v>2</v>
      </c>
    </row>
    <row r="398" spans="1:11" s="226" customFormat="1" ht="12.75" customHeight="1" x14ac:dyDescent="0.2">
      <c r="A398" s="226" t="s">
        <v>53</v>
      </c>
      <c r="B398" s="228">
        <v>46087</v>
      </c>
      <c r="C398" s="229" t="s">
        <v>785</v>
      </c>
      <c r="D398" s="229" t="s">
        <v>786</v>
      </c>
      <c r="E398" s="229" t="s">
        <v>236</v>
      </c>
      <c r="F398" s="229" t="s">
        <v>130</v>
      </c>
      <c r="G398" s="227">
        <v>35.81</v>
      </c>
      <c r="H398" s="230"/>
      <c r="I398" s="231">
        <v>305324.05</v>
      </c>
      <c r="J398" s="232" t="s">
        <v>421</v>
      </c>
      <c r="K398" s="233">
        <v>2</v>
      </c>
    </row>
    <row r="399" spans="1:11" s="226" customFormat="1" ht="12.75" customHeight="1" x14ac:dyDescent="0.2">
      <c r="A399" s="226" t="s">
        <v>53</v>
      </c>
      <c r="B399" s="228">
        <v>46087</v>
      </c>
      <c r="C399" s="229" t="s">
        <v>785</v>
      </c>
      <c r="D399" s="229" t="s">
        <v>786</v>
      </c>
      <c r="E399" s="229" t="s">
        <v>236</v>
      </c>
      <c r="F399" s="229" t="s">
        <v>130</v>
      </c>
      <c r="G399" s="227">
        <v>990</v>
      </c>
      <c r="H399" s="230"/>
      <c r="I399" s="231">
        <v>306314.05</v>
      </c>
      <c r="J399" s="232" t="s">
        <v>421</v>
      </c>
      <c r="K399" s="233">
        <v>2</v>
      </c>
    </row>
    <row r="400" spans="1:11" s="226" customFormat="1" ht="12.75" customHeight="1" x14ac:dyDescent="0.2">
      <c r="A400" s="226" t="s">
        <v>69</v>
      </c>
      <c r="B400" s="228">
        <v>46087</v>
      </c>
      <c r="C400" s="229" t="s">
        <v>787</v>
      </c>
      <c r="D400" s="229" t="s">
        <v>788</v>
      </c>
      <c r="E400" s="229" t="s">
        <v>71</v>
      </c>
      <c r="F400" s="229" t="s">
        <v>17</v>
      </c>
      <c r="G400" s="227">
        <v>49.52</v>
      </c>
      <c r="H400" s="230"/>
      <c r="I400" s="231">
        <v>306363.57</v>
      </c>
      <c r="J400" s="232" t="s">
        <v>421</v>
      </c>
      <c r="K400" s="233">
        <v>2</v>
      </c>
    </row>
    <row r="401" spans="1:11" s="226" customFormat="1" ht="12.75" customHeight="1" x14ac:dyDescent="0.2">
      <c r="A401" s="226" t="s">
        <v>69</v>
      </c>
      <c r="B401" s="228">
        <v>46087</v>
      </c>
      <c r="C401" s="229" t="s">
        <v>787</v>
      </c>
      <c r="D401" s="229" t="s">
        <v>788</v>
      </c>
      <c r="E401" s="229" t="s">
        <v>71</v>
      </c>
      <c r="F401" s="229" t="s">
        <v>17</v>
      </c>
      <c r="G401" s="227">
        <v>1005</v>
      </c>
      <c r="H401" s="230"/>
      <c r="I401" s="231">
        <v>307368.57</v>
      </c>
      <c r="J401" s="232" t="s">
        <v>421</v>
      </c>
      <c r="K401" s="233">
        <v>2</v>
      </c>
    </row>
    <row r="402" spans="1:11" s="226" customFormat="1" ht="12.75" customHeight="1" x14ac:dyDescent="0.2">
      <c r="A402" s="226" t="s">
        <v>69</v>
      </c>
      <c r="B402" s="228">
        <v>46087</v>
      </c>
      <c r="C402" s="229" t="s">
        <v>789</v>
      </c>
      <c r="D402" s="229" t="s">
        <v>790</v>
      </c>
      <c r="E402" s="229" t="s">
        <v>121</v>
      </c>
      <c r="F402" s="229" t="s">
        <v>21</v>
      </c>
      <c r="G402" s="227">
        <v>49.52</v>
      </c>
      <c r="H402" s="230"/>
      <c r="I402" s="231">
        <v>307418.09000000003</v>
      </c>
      <c r="J402" s="232" t="s">
        <v>421</v>
      </c>
      <c r="K402" s="233">
        <v>2</v>
      </c>
    </row>
    <row r="403" spans="1:11" s="226" customFormat="1" ht="12.75" customHeight="1" x14ac:dyDescent="0.2">
      <c r="A403" s="226" t="s">
        <v>69</v>
      </c>
      <c r="B403" s="228">
        <v>46087</v>
      </c>
      <c r="C403" s="229" t="s">
        <v>789</v>
      </c>
      <c r="D403" s="229" t="s">
        <v>790</v>
      </c>
      <c r="E403" s="229" t="s">
        <v>121</v>
      </c>
      <c r="F403" s="229" t="s">
        <v>21</v>
      </c>
      <c r="G403" s="227">
        <v>1005</v>
      </c>
      <c r="H403" s="230"/>
      <c r="I403" s="231">
        <v>308423.09000000003</v>
      </c>
      <c r="J403" s="232" t="s">
        <v>421</v>
      </c>
      <c r="K403" s="233">
        <v>2</v>
      </c>
    </row>
    <row r="404" spans="1:11" s="226" customFormat="1" ht="12.75" customHeight="1" x14ac:dyDescent="0.2">
      <c r="A404" s="226" t="s">
        <v>53</v>
      </c>
      <c r="B404" s="228">
        <v>46087</v>
      </c>
      <c r="C404" s="229" t="s">
        <v>791</v>
      </c>
      <c r="D404" s="229" t="s">
        <v>792</v>
      </c>
      <c r="E404" s="229" t="s">
        <v>124</v>
      </c>
      <c r="F404" s="229" t="s">
        <v>130</v>
      </c>
      <c r="G404" s="227">
        <v>48.96</v>
      </c>
      <c r="H404" s="230"/>
      <c r="I404" s="231">
        <v>308472.05</v>
      </c>
      <c r="J404" s="232" t="s">
        <v>418</v>
      </c>
      <c r="K404" s="233">
        <v>2</v>
      </c>
    </row>
    <row r="405" spans="1:11" s="226" customFormat="1" ht="12.75" customHeight="1" x14ac:dyDescent="0.2">
      <c r="A405" s="226" t="s">
        <v>53</v>
      </c>
      <c r="B405" s="228">
        <v>46087</v>
      </c>
      <c r="C405" s="229" t="s">
        <v>791</v>
      </c>
      <c r="D405" s="229" t="s">
        <v>792</v>
      </c>
      <c r="E405" s="229" t="s">
        <v>124</v>
      </c>
      <c r="F405" s="229" t="s">
        <v>130</v>
      </c>
      <c r="G405" s="227">
        <v>1000</v>
      </c>
      <c r="H405" s="230"/>
      <c r="I405" s="231">
        <v>309472.05</v>
      </c>
      <c r="J405" s="232" t="s">
        <v>418</v>
      </c>
      <c r="K405" s="233">
        <v>2</v>
      </c>
    </row>
    <row r="406" spans="1:11" s="226" customFormat="1" ht="12.75" customHeight="1" x14ac:dyDescent="0.2">
      <c r="A406" s="226" t="s">
        <v>53</v>
      </c>
      <c r="B406" s="228">
        <v>46087</v>
      </c>
      <c r="C406" s="229" t="s">
        <v>793</v>
      </c>
      <c r="D406" s="229" t="s">
        <v>55</v>
      </c>
      <c r="E406" s="229" t="s">
        <v>259</v>
      </c>
      <c r="F406" s="229" t="s">
        <v>57</v>
      </c>
      <c r="G406" s="227">
        <v>1000</v>
      </c>
      <c r="H406" s="230"/>
      <c r="I406" s="231">
        <v>310472.05</v>
      </c>
      <c r="J406" s="232" t="s">
        <v>423</v>
      </c>
      <c r="K406" s="233">
        <v>2</v>
      </c>
    </row>
    <row r="407" spans="1:11" s="226" customFormat="1" ht="12.75" customHeight="1" x14ac:dyDescent="0.2">
      <c r="A407" s="226" t="s">
        <v>53</v>
      </c>
      <c r="B407" s="228">
        <v>46087</v>
      </c>
      <c r="C407" s="229" t="s">
        <v>793</v>
      </c>
      <c r="D407" s="229" t="s">
        <v>55</v>
      </c>
      <c r="E407" s="229" t="s">
        <v>259</v>
      </c>
      <c r="F407" s="229" t="s">
        <v>57</v>
      </c>
      <c r="G407" s="227">
        <v>48.96</v>
      </c>
      <c r="H407" s="230"/>
      <c r="I407" s="231">
        <v>310521.01</v>
      </c>
      <c r="J407" s="232" t="s">
        <v>423</v>
      </c>
      <c r="K407" s="233">
        <v>2</v>
      </c>
    </row>
    <row r="408" spans="1:11" s="226" customFormat="1" ht="12.75" customHeight="1" x14ac:dyDescent="0.2">
      <c r="A408" s="226" t="s">
        <v>69</v>
      </c>
      <c r="B408" s="228">
        <v>46087</v>
      </c>
      <c r="C408" s="229" t="s">
        <v>794</v>
      </c>
      <c r="D408" s="229" t="s">
        <v>263</v>
      </c>
      <c r="E408" s="229" t="s">
        <v>150</v>
      </c>
      <c r="F408" s="229" t="s">
        <v>60</v>
      </c>
      <c r="G408" s="227">
        <v>75</v>
      </c>
      <c r="H408" s="230"/>
      <c r="I408" s="231">
        <v>310596.01</v>
      </c>
      <c r="J408" s="232">
        <v>46087</v>
      </c>
      <c r="K408" s="233">
        <v>4</v>
      </c>
    </row>
    <row r="409" spans="1:11" s="226" customFormat="1" ht="12.75" customHeight="1" x14ac:dyDescent="0.2">
      <c r="A409" s="226" t="s">
        <v>69</v>
      </c>
      <c r="B409" s="228">
        <v>46087</v>
      </c>
      <c r="C409" s="229" t="s">
        <v>794</v>
      </c>
      <c r="D409" s="229" t="s">
        <v>263</v>
      </c>
      <c r="E409" s="229" t="s">
        <v>150</v>
      </c>
      <c r="F409" s="229" t="s">
        <v>60</v>
      </c>
      <c r="G409" s="227"/>
      <c r="H409" s="230">
        <v>-75</v>
      </c>
      <c r="I409" s="231">
        <v>310521.01</v>
      </c>
      <c r="J409" s="232">
        <v>46087</v>
      </c>
      <c r="K409" s="233">
        <v>-4</v>
      </c>
    </row>
    <row r="410" spans="1:11" s="226" customFormat="1" ht="12.75" customHeight="1" x14ac:dyDescent="0.2">
      <c r="A410" s="226" t="s">
        <v>53</v>
      </c>
      <c r="B410" s="228">
        <v>46087</v>
      </c>
      <c r="C410" s="229" t="s">
        <v>795</v>
      </c>
      <c r="D410" s="229" t="s">
        <v>55</v>
      </c>
      <c r="E410" s="229" t="s">
        <v>86</v>
      </c>
      <c r="F410" s="229" t="s">
        <v>976</v>
      </c>
      <c r="G410" s="227"/>
      <c r="H410" s="256">
        <v>-48.96</v>
      </c>
      <c r="I410" s="231">
        <v>310472.05</v>
      </c>
      <c r="J410" s="232" t="s">
        <v>423</v>
      </c>
      <c r="K410" s="233">
        <v>-2</v>
      </c>
    </row>
    <row r="411" spans="1:11" s="226" customFormat="1" ht="12.75" customHeight="1" x14ac:dyDescent="0.2">
      <c r="A411" s="226" t="s">
        <v>53</v>
      </c>
      <c r="B411" s="228">
        <v>46087</v>
      </c>
      <c r="C411" s="229" t="s">
        <v>795</v>
      </c>
      <c r="D411" s="229" t="s">
        <v>55</v>
      </c>
      <c r="E411" s="229" t="s">
        <v>86</v>
      </c>
      <c r="F411" s="229" t="s">
        <v>976</v>
      </c>
      <c r="G411" s="227"/>
      <c r="H411" s="256">
        <v>-1000</v>
      </c>
      <c r="I411" s="231">
        <v>309472.05</v>
      </c>
      <c r="J411" s="232" t="s">
        <v>423</v>
      </c>
      <c r="K411" s="233">
        <v>-2</v>
      </c>
    </row>
    <row r="412" spans="1:11" s="226" customFormat="1" ht="12.75" customHeight="1" x14ac:dyDescent="0.2">
      <c r="A412" s="226" t="s">
        <v>69</v>
      </c>
      <c r="B412" s="228">
        <v>46088</v>
      </c>
      <c r="C412" s="229" t="s">
        <v>796</v>
      </c>
      <c r="D412" s="229" t="s">
        <v>55</v>
      </c>
      <c r="E412" s="229" t="s">
        <v>178</v>
      </c>
      <c r="F412" s="229" t="s">
        <v>19</v>
      </c>
      <c r="G412" s="220">
        <v>75</v>
      </c>
      <c r="H412" s="230"/>
      <c r="I412" s="231">
        <v>309547.05</v>
      </c>
      <c r="J412" s="232" t="s">
        <v>422</v>
      </c>
      <c r="K412" s="233">
        <v>2</v>
      </c>
    </row>
    <row r="413" spans="1:11" s="226" customFormat="1" ht="12.75" customHeight="1" x14ac:dyDescent="0.2">
      <c r="A413" s="226" t="s">
        <v>69</v>
      </c>
      <c r="B413" s="228">
        <v>46088</v>
      </c>
      <c r="C413" s="229" t="s">
        <v>796</v>
      </c>
      <c r="D413" s="229" t="s">
        <v>55</v>
      </c>
      <c r="E413" s="229" t="s">
        <v>178</v>
      </c>
      <c r="F413" s="229" t="s">
        <v>19</v>
      </c>
      <c r="G413" s="220">
        <v>1020</v>
      </c>
      <c r="H413" s="230"/>
      <c r="I413" s="231">
        <v>310567.05</v>
      </c>
      <c r="J413" s="232" t="s">
        <v>422</v>
      </c>
      <c r="K413" s="233">
        <v>2</v>
      </c>
    </row>
    <row r="414" spans="1:11" s="226" customFormat="1" ht="12.75" customHeight="1" x14ac:dyDescent="0.2">
      <c r="A414" s="226" t="s">
        <v>69</v>
      </c>
      <c r="B414" s="228">
        <v>46088</v>
      </c>
      <c r="C414" s="229" t="s">
        <v>796</v>
      </c>
      <c r="D414" s="229" t="s">
        <v>55</v>
      </c>
      <c r="E414" s="229" t="s">
        <v>178</v>
      </c>
      <c r="F414" s="229" t="s">
        <v>19</v>
      </c>
      <c r="G414" s="220">
        <v>49.52</v>
      </c>
      <c r="H414" s="230"/>
      <c r="I414" s="231">
        <v>310616.57</v>
      </c>
      <c r="J414" s="232" t="s">
        <v>422</v>
      </c>
      <c r="K414" s="233">
        <v>2</v>
      </c>
    </row>
    <row r="415" spans="1:11" s="226" customFormat="1" ht="12.75" customHeight="1" x14ac:dyDescent="0.2">
      <c r="A415" s="226" t="s">
        <v>69</v>
      </c>
      <c r="B415" s="228">
        <v>46088</v>
      </c>
      <c r="C415" s="229" t="s">
        <v>797</v>
      </c>
      <c r="D415" s="229" t="s">
        <v>798</v>
      </c>
      <c r="E415" s="229" t="s">
        <v>281</v>
      </c>
      <c r="F415" s="229" t="s">
        <v>17</v>
      </c>
      <c r="G415" s="227">
        <v>40</v>
      </c>
      <c r="H415" s="230"/>
      <c r="I415" s="231">
        <v>310656.57</v>
      </c>
      <c r="J415" s="232" t="s">
        <v>421</v>
      </c>
      <c r="K415" s="233">
        <v>2</v>
      </c>
    </row>
    <row r="416" spans="1:11" s="226" customFormat="1" ht="12.75" customHeight="1" x14ac:dyDescent="0.2">
      <c r="A416" s="226" t="s">
        <v>69</v>
      </c>
      <c r="B416" s="228">
        <v>46089</v>
      </c>
      <c r="C416" s="229" t="s">
        <v>799</v>
      </c>
      <c r="D416" s="229" t="s">
        <v>55</v>
      </c>
      <c r="E416" s="229" t="s">
        <v>185</v>
      </c>
      <c r="F416" s="229" t="s">
        <v>22</v>
      </c>
      <c r="G416" s="220">
        <v>75</v>
      </c>
      <c r="H416" s="230"/>
      <c r="I416" s="231">
        <v>310731.57</v>
      </c>
      <c r="J416" s="232" t="s">
        <v>422</v>
      </c>
      <c r="K416" s="233">
        <v>2</v>
      </c>
    </row>
    <row r="417" spans="1:11" s="226" customFormat="1" ht="12.75" customHeight="1" x14ac:dyDescent="0.2">
      <c r="A417" s="226" t="s">
        <v>69</v>
      </c>
      <c r="B417" s="228">
        <v>46089</v>
      </c>
      <c r="C417" s="229" t="s">
        <v>799</v>
      </c>
      <c r="D417" s="229" t="s">
        <v>55</v>
      </c>
      <c r="E417" s="229" t="s">
        <v>185</v>
      </c>
      <c r="F417" s="229" t="s">
        <v>22</v>
      </c>
      <c r="G417" s="220">
        <v>1005</v>
      </c>
      <c r="H417" s="230"/>
      <c r="I417" s="231">
        <v>311736.57</v>
      </c>
      <c r="J417" s="232" t="s">
        <v>422</v>
      </c>
      <c r="K417" s="233">
        <v>2</v>
      </c>
    </row>
    <row r="418" spans="1:11" s="226" customFormat="1" ht="12.75" customHeight="1" x14ac:dyDescent="0.2">
      <c r="A418" s="226" t="s">
        <v>69</v>
      </c>
      <c r="B418" s="228">
        <v>46089</v>
      </c>
      <c r="C418" s="229" t="s">
        <v>799</v>
      </c>
      <c r="D418" s="229" t="s">
        <v>55</v>
      </c>
      <c r="E418" s="229" t="s">
        <v>185</v>
      </c>
      <c r="F418" s="229" t="s">
        <v>22</v>
      </c>
      <c r="G418" s="220">
        <v>49.52</v>
      </c>
      <c r="H418" s="230"/>
      <c r="I418" s="231">
        <v>311786.09000000003</v>
      </c>
      <c r="J418" s="232" t="s">
        <v>422</v>
      </c>
      <c r="K418" s="233">
        <v>2</v>
      </c>
    </row>
    <row r="419" spans="1:11" s="226" customFormat="1" ht="12.75" customHeight="1" x14ac:dyDescent="0.2">
      <c r="A419" s="226" t="s">
        <v>69</v>
      </c>
      <c r="B419" s="228">
        <v>46090</v>
      </c>
      <c r="C419" s="229" t="s">
        <v>800</v>
      </c>
      <c r="D419" s="229" t="s">
        <v>408</v>
      </c>
      <c r="E419" s="229" t="s">
        <v>272</v>
      </c>
      <c r="F419" s="229" t="s">
        <v>977</v>
      </c>
      <c r="G419" s="227"/>
      <c r="H419" s="230">
        <v>-535</v>
      </c>
      <c r="I419" s="231">
        <v>311251.09000000003</v>
      </c>
      <c r="J419" s="232" t="s">
        <v>407</v>
      </c>
      <c r="K419" s="233">
        <v>-2</v>
      </c>
    </row>
    <row r="420" spans="1:11" s="226" customFormat="1" ht="12.75" customHeight="1" x14ac:dyDescent="0.2">
      <c r="A420" s="226" t="s">
        <v>53</v>
      </c>
      <c r="B420" s="228">
        <v>46090</v>
      </c>
      <c r="C420" s="229" t="s">
        <v>801</v>
      </c>
      <c r="D420" s="229" t="s">
        <v>414</v>
      </c>
      <c r="E420" s="229" t="s">
        <v>258</v>
      </c>
      <c r="F420" s="229" t="s">
        <v>978</v>
      </c>
      <c r="G420" s="227"/>
      <c r="H420" s="230">
        <v>-1</v>
      </c>
      <c r="I420" s="231">
        <v>311250.09000000003</v>
      </c>
      <c r="J420" s="232" t="s">
        <v>411</v>
      </c>
      <c r="K420" s="233">
        <v>-2</v>
      </c>
    </row>
    <row r="421" spans="1:11" s="226" customFormat="1" ht="12.75" customHeight="1" x14ac:dyDescent="0.2">
      <c r="A421" s="226" t="s">
        <v>53</v>
      </c>
      <c r="B421" s="228">
        <v>46090</v>
      </c>
      <c r="C421" s="229" t="s">
        <v>801</v>
      </c>
      <c r="D421" s="229" t="s">
        <v>414</v>
      </c>
      <c r="E421" s="229" t="s">
        <v>258</v>
      </c>
      <c r="F421" s="229" t="s">
        <v>978</v>
      </c>
      <c r="G421" s="227"/>
      <c r="H421" s="230">
        <v>-4</v>
      </c>
      <c r="I421" s="231">
        <v>311246.09000000003</v>
      </c>
      <c r="J421" s="232" t="s">
        <v>411</v>
      </c>
      <c r="K421" s="233">
        <v>-2</v>
      </c>
    </row>
    <row r="422" spans="1:11" s="226" customFormat="1" ht="12.75" customHeight="1" x14ac:dyDescent="0.2">
      <c r="A422" s="226" t="s">
        <v>69</v>
      </c>
      <c r="B422" s="228">
        <v>46090</v>
      </c>
      <c r="C422" s="229" t="s">
        <v>801</v>
      </c>
      <c r="D422" s="229" t="s">
        <v>414</v>
      </c>
      <c r="E422" s="229" t="s">
        <v>258</v>
      </c>
      <c r="F422" s="229" t="s">
        <v>978</v>
      </c>
      <c r="G422" s="227"/>
      <c r="H422" s="230">
        <v>-4</v>
      </c>
      <c r="I422" s="231">
        <v>311242.09000000003</v>
      </c>
      <c r="J422" s="232" t="s">
        <v>411</v>
      </c>
      <c r="K422" s="233">
        <v>-2</v>
      </c>
    </row>
    <row r="423" spans="1:11" s="226" customFormat="1" ht="12.75" customHeight="1" x14ac:dyDescent="0.2">
      <c r="A423" s="226" t="s">
        <v>69</v>
      </c>
      <c r="B423" s="228">
        <v>46090</v>
      </c>
      <c r="C423" s="229" t="s">
        <v>801</v>
      </c>
      <c r="D423" s="229" t="s">
        <v>414</v>
      </c>
      <c r="E423" s="229" t="s">
        <v>258</v>
      </c>
      <c r="F423" s="229" t="s">
        <v>978</v>
      </c>
      <c r="G423" s="227"/>
      <c r="H423" s="230">
        <v>-5.6</v>
      </c>
      <c r="I423" s="231">
        <v>311236.49</v>
      </c>
      <c r="J423" s="232" t="s">
        <v>411</v>
      </c>
      <c r="K423" s="233">
        <v>-2</v>
      </c>
    </row>
    <row r="424" spans="1:11" s="226" customFormat="1" ht="12.75" customHeight="1" x14ac:dyDescent="0.2">
      <c r="A424" s="226" t="s">
        <v>53</v>
      </c>
      <c r="B424" s="228">
        <v>46090</v>
      </c>
      <c r="C424" s="229" t="s">
        <v>802</v>
      </c>
      <c r="D424" s="229" t="s">
        <v>724</v>
      </c>
      <c r="E424" s="229" t="s">
        <v>142</v>
      </c>
      <c r="F424" s="229" t="s">
        <v>979</v>
      </c>
      <c r="G424" s="227"/>
      <c r="H424" s="258">
        <v>-75</v>
      </c>
      <c r="I424" s="231">
        <v>311161.49</v>
      </c>
      <c r="J424" s="232" t="s">
        <v>422</v>
      </c>
      <c r="K424" s="233">
        <v>-2</v>
      </c>
    </row>
    <row r="425" spans="1:11" s="226" customFormat="1" ht="12.75" customHeight="1" x14ac:dyDescent="0.2">
      <c r="A425" s="226" t="s">
        <v>53</v>
      </c>
      <c r="B425" s="228">
        <v>46090</v>
      </c>
      <c r="C425" s="229" t="s">
        <v>802</v>
      </c>
      <c r="D425" s="229" t="s">
        <v>724</v>
      </c>
      <c r="E425" s="229" t="s">
        <v>142</v>
      </c>
      <c r="F425" s="229" t="s">
        <v>979</v>
      </c>
      <c r="G425" s="227"/>
      <c r="H425" s="258">
        <v>-48.96</v>
      </c>
      <c r="I425" s="231">
        <v>311112.53000000003</v>
      </c>
      <c r="J425" s="232" t="s">
        <v>422</v>
      </c>
      <c r="K425" s="233">
        <v>-2</v>
      </c>
    </row>
    <row r="426" spans="1:11" s="226" customFormat="1" ht="12.75" customHeight="1" x14ac:dyDescent="0.2">
      <c r="A426" s="226" t="s">
        <v>53</v>
      </c>
      <c r="B426" s="228">
        <v>46090</v>
      </c>
      <c r="C426" s="229" t="s">
        <v>802</v>
      </c>
      <c r="D426" s="229" t="s">
        <v>724</v>
      </c>
      <c r="E426" s="229" t="s">
        <v>142</v>
      </c>
      <c r="F426" s="229" t="s">
        <v>979</v>
      </c>
      <c r="G426" s="227"/>
      <c r="H426" s="258">
        <v>-48.96</v>
      </c>
      <c r="I426" s="231">
        <v>311063.57</v>
      </c>
      <c r="J426" s="232" t="s">
        <v>422</v>
      </c>
      <c r="K426" s="233">
        <v>-2</v>
      </c>
    </row>
    <row r="427" spans="1:11" s="226" customFormat="1" ht="12.75" customHeight="1" x14ac:dyDescent="0.2">
      <c r="A427" s="226" t="s">
        <v>53</v>
      </c>
      <c r="B427" s="228">
        <v>46090</v>
      </c>
      <c r="C427" s="229" t="s">
        <v>802</v>
      </c>
      <c r="D427" s="229" t="s">
        <v>724</v>
      </c>
      <c r="E427" s="229" t="s">
        <v>142</v>
      </c>
      <c r="F427" s="229" t="s">
        <v>979</v>
      </c>
      <c r="G427" s="227"/>
      <c r="H427" s="258">
        <v>-75</v>
      </c>
      <c r="I427" s="231">
        <v>310988.57</v>
      </c>
      <c r="J427" s="232" t="s">
        <v>422</v>
      </c>
      <c r="K427" s="233">
        <v>-2</v>
      </c>
    </row>
    <row r="428" spans="1:11" s="226" customFormat="1" ht="12.75" customHeight="1" x14ac:dyDescent="0.2">
      <c r="A428" s="226" t="s">
        <v>53</v>
      </c>
      <c r="B428" s="228">
        <v>46090</v>
      </c>
      <c r="C428" s="229" t="s">
        <v>802</v>
      </c>
      <c r="D428" s="229" t="s">
        <v>724</v>
      </c>
      <c r="E428" s="229" t="s">
        <v>142</v>
      </c>
      <c r="F428" s="229" t="s">
        <v>979</v>
      </c>
      <c r="G428" s="227"/>
      <c r="H428" s="258">
        <v>-1000</v>
      </c>
      <c r="I428" s="231">
        <v>309988.57</v>
      </c>
      <c r="J428" s="232" t="s">
        <v>422</v>
      </c>
      <c r="K428" s="233">
        <v>-2</v>
      </c>
    </row>
    <row r="429" spans="1:11" s="226" customFormat="1" ht="12.75" customHeight="1" x14ac:dyDescent="0.2">
      <c r="A429" s="226" t="s">
        <v>53</v>
      </c>
      <c r="B429" s="228">
        <v>46091</v>
      </c>
      <c r="C429" s="229" t="s">
        <v>803</v>
      </c>
      <c r="D429" s="229" t="s">
        <v>412</v>
      </c>
      <c r="E429" s="229" t="s">
        <v>258</v>
      </c>
      <c r="F429" s="229" t="s">
        <v>980</v>
      </c>
      <c r="G429" s="227"/>
      <c r="H429" s="230">
        <v>-230.65</v>
      </c>
      <c r="I429" s="231">
        <v>309757.92</v>
      </c>
      <c r="J429" s="232" t="s">
        <v>411</v>
      </c>
      <c r="K429" s="233">
        <v>-2</v>
      </c>
    </row>
    <row r="430" spans="1:11" s="226" customFormat="1" ht="12.75" customHeight="1" x14ac:dyDescent="0.2">
      <c r="A430" s="226" t="s">
        <v>69</v>
      </c>
      <c r="B430" s="228">
        <v>46091</v>
      </c>
      <c r="C430" s="229" t="s">
        <v>804</v>
      </c>
      <c r="D430" s="229" t="s">
        <v>58</v>
      </c>
      <c r="E430" s="229" t="s">
        <v>150</v>
      </c>
      <c r="F430" s="229" t="s">
        <v>60</v>
      </c>
      <c r="G430" s="227">
        <v>50</v>
      </c>
      <c r="H430" s="230"/>
      <c r="I430" s="231">
        <v>309807.92</v>
      </c>
      <c r="J430" s="232">
        <v>46091</v>
      </c>
      <c r="K430" s="233">
        <v>4</v>
      </c>
    </row>
    <row r="431" spans="1:11" s="226" customFormat="1" ht="12.75" customHeight="1" x14ac:dyDescent="0.2">
      <c r="A431" s="226" t="s">
        <v>69</v>
      </c>
      <c r="B431" s="228">
        <v>46091</v>
      </c>
      <c r="C431" s="229" t="s">
        <v>804</v>
      </c>
      <c r="D431" s="229" t="s">
        <v>58</v>
      </c>
      <c r="E431" s="229" t="s">
        <v>150</v>
      </c>
      <c r="F431" s="229" t="s">
        <v>60</v>
      </c>
      <c r="G431" s="227"/>
      <c r="H431" s="230">
        <v>-50</v>
      </c>
      <c r="I431" s="231">
        <v>309757.92</v>
      </c>
      <c r="J431" s="232">
        <v>46091</v>
      </c>
      <c r="K431" s="233">
        <v>-4</v>
      </c>
    </row>
    <row r="432" spans="1:11" s="226" customFormat="1" ht="12.75" customHeight="1" x14ac:dyDescent="0.2">
      <c r="A432" s="226" t="s">
        <v>69</v>
      </c>
      <c r="B432" s="228">
        <v>46091</v>
      </c>
      <c r="C432" s="229" t="s">
        <v>805</v>
      </c>
      <c r="D432" s="229" t="s">
        <v>806</v>
      </c>
      <c r="E432" s="229" t="s">
        <v>238</v>
      </c>
      <c r="F432" s="229" t="s">
        <v>20</v>
      </c>
      <c r="G432" s="227">
        <v>429.36</v>
      </c>
      <c r="H432" s="230"/>
      <c r="I432" s="231">
        <v>310187.28000000003</v>
      </c>
      <c r="J432" s="232" t="s">
        <v>421</v>
      </c>
      <c r="K432" s="233">
        <v>2</v>
      </c>
    </row>
    <row r="433" spans="1:11" s="226" customFormat="1" ht="12.75" customHeight="1" x14ac:dyDescent="0.2">
      <c r="A433" s="226" t="s">
        <v>69</v>
      </c>
      <c r="B433" s="228">
        <v>46091</v>
      </c>
      <c r="C433" s="229" t="s">
        <v>805</v>
      </c>
      <c r="D433" s="229" t="s">
        <v>806</v>
      </c>
      <c r="E433" s="229" t="s">
        <v>238</v>
      </c>
      <c r="F433" s="229" t="s">
        <v>20</v>
      </c>
      <c r="G433" s="227">
        <v>67.64</v>
      </c>
      <c r="H433" s="230"/>
      <c r="I433" s="231">
        <v>310254.92</v>
      </c>
      <c r="J433" s="232" t="s">
        <v>421</v>
      </c>
      <c r="K433" s="233">
        <v>2</v>
      </c>
    </row>
    <row r="434" spans="1:11" s="226" customFormat="1" ht="12.75" customHeight="1" x14ac:dyDescent="0.2">
      <c r="A434" s="226" t="s">
        <v>69</v>
      </c>
      <c r="B434" s="228">
        <v>46091</v>
      </c>
      <c r="C434" s="229" t="s">
        <v>805</v>
      </c>
      <c r="D434" s="229" t="s">
        <v>806</v>
      </c>
      <c r="E434" s="229" t="s">
        <v>238</v>
      </c>
      <c r="F434" s="229" t="s">
        <v>20</v>
      </c>
      <c r="G434" s="227">
        <v>3</v>
      </c>
      <c r="H434" s="230"/>
      <c r="I434" s="231">
        <v>310257.91999999998</v>
      </c>
      <c r="J434" s="232" t="s">
        <v>421</v>
      </c>
      <c r="K434" s="233">
        <v>2</v>
      </c>
    </row>
    <row r="435" spans="1:11" s="226" customFormat="1" ht="12.75" customHeight="1" x14ac:dyDescent="0.2">
      <c r="A435" s="226" t="s">
        <v>69</v>
      </c>
      <c r="B435" s="228">
        <v>46091</v>
      </c>
      <c r="C435" s="229" t="s">
        <v>807</v>
      </c>
      <c r="D435" s="229" t="s">
        <v>808</v>
      </c>
      <c r="E435" s="229" t="s">
        <v>238</v>
      </c>
      <c r="F435" s="229" t="s">
        <v>20</v>
      </c>
      <c r="G435" s="227">
        <v>500</v>
      </c>
      <c r="H435" s="230"/>
      <c r="I435" s="231">
        <v>310757.92</v>
      </c>
      <c r="J435" s="232" t="s">
        <v>421</v>
      </c>
      <c r="K435" s="233">
        <v>2</v>
      </c>
    </row>
    <row r="436" spans="1:11" s="226" customFormat="1" ht="12.75" customHeight="1" x14ac:dyDescent="0.2">
      <c r="A436" s="226" t="s">
        <v>69</v>
      </c>
      <c r="B436" s="228">
        <v>46091</v>
      </c>
      <c r="C436" s="229" t="s">
        <v>809</v>
      </c>
      <c r="D436" s="229" t="s">
        <v>810</v>
      </c>
      <c r="E436" s="229" t="s">
        <v>238</v>
      </c>
      <c r="F436" s="229" t="s">
        <v>20</v>
      </c>
      <c r="G436" s="227">
        <v>75.64</v>
      </c>
      <c r="H436" s="230"/>
      <c r="I436" s="231">
        <v>310833.56</v>
      </c>
      <c r="J436" s="232" t="s">
        <v>421</v>
      </c>
      <c r="K436" s="233">
        <v>2</v>
      </c>
    </row>
    <row r="437" spans="1:11" s="226" customFormat="1" ht="12.75" customHeight="1" x14ac:dyDescent="0.2">
      <c r="A437" s="226" t="s">
        <v>69</v>
      </c>
      <c r="B437" s="228">
        <v>46091</v>
      </c>
      <c r="C437" s="229" t="s">
        <v>809</v>
      </c>
      <c r="D437" s="229" t="s">
        <v>810</v>
      </c>
      <c r="E437" s="229" t="s">
        <v>238</v>
      </c>
      <c r="F437" s="229" t="s">
        <v>20</v>
      </c>
      <c r="G437" s="227">
        <v>4.3600000000000003</v>
      </c>
      <c r="H437" s="230"/>
      <c r="I437" s="231">
        <v>310837.92</v>
      </c>
      <c r="J437" s="232" t="s">
        <v>421</v>
      </c>
      <c r="K437" s="233">
        <v>2</v>
      </c>
    </row>
    <row r="438" spans="1:11" s="226" customFormat="1" ht="12.75" customHeight="1" x14ac:dyDescent="0.2">
      <c r="A438" s="226" t="s">
        <v>69</v>
      </c>
      <c r="B438" s="228">
        <v>46091</v>
      </c>
      <c r="C438" s="229" t="s">
        <v>811</v>
      </c>
      <c r="D438" s="229" t="s">
        <v>812</v>
      </c>
      <c r="E438" s="229" t="s">
        <v>70</v>
      </c>
      <c r="F438" s="229" t="s">
        <v>20</v>
      </c>
      <c r="G438" s="227">
        <v>500</v>
      </c>
      <c r="H438" s="230"/>
      <c r="I438" s="231">
        <v>311337.92</v>
      </c>
      <c r="J438" s="232" t="s">
        <v>421</v>
      </c>
      <c r="K438" s="233">
        <v>2</v>
      </c>
    </row>
    <row r="439" spans="1:11" s="226" customFormat="1" ht="12.75" customHeight="1" x14ac:dyDescent="0.2">
      <c r="A439" s="226" t="s">
        <v>69</v>
      </c>
      <c r="B439" s="228">
        <v>46091</v>
      </c>
      <c r="C439" s="229" t="s">
        <v>813</v>
      </c>
      <c r="D439" s="229" t="s">
        <v>814</v>
      </c>
      <c r="E439" s="229" t="s">
        <v>70</v>
      </c>
      <c r="F439" s="229" t="s">
        <v>20</v>
      </c>
      <c r="G439" s="227">
        <v>500</v>
      </c>
      <c r="H439" s="230"/>
      <c r="I439" s="231">
        <v>311837.92</v>
      </c>
      <c r="J439" s="232" t="s">
        <v>421</v>
      </c>
      <c r="K439" s="233">
        <v>2</v>
      </c>
    </row>
    <row r="440" spans="1:11" s="226" customFormat="1" ht="12.75" customHeight="1" x14ac:dyDescent="0.2">
      <c r="A440" s="226" t="s">
        <v>69</v>
      </c>
      <c r="B440" s="228">
        <v>46091</v>
      </c>
      <c r="C440" s="229" t="s">
        <v>815</v>
      </c>
      <c r="D440" s="229" t="s">
        <v>816</v>
      </c>
      <c r="E440" s="229" t="s">
        <v>70</v>
      </c>
      <c r="F440" s="229" t="s">
        <v>20</v>
      </c>
      <c r="G440" s="227">
        <v>4.43</v>
      </c>
      <c r="H440" s="230"/>
      <c r="I440" s="231">
        <v>311842.34999999998</v>
      </c>
      <c r="J440" s="232" t="s">
        <v>421</v>
      </c>
      <c r="K440" s="233">
        <v>2</v>
      </c>
    </row>
    <row r="441" spans="1:11" s="226" customFormat="1" ht="12.75" customHeight="1" x14ac:dyDescent="0.2">
      <c r="A441" s="226" t="s">
        <v>69</v>
      </c>
      <c r="B441" s="228">
        <v>46091</v>
      </c>
      <c r="C441" s="229" t="s">
        <v>815</v>
      </c>
      <c r="D441" s="229" t="s">
        <v>816</v>
      </c>
      <c r="E441" s="229" t="s">
        <v>70</v>
      </c>
      <c r="F441" s="229" t="s">
        <v>20</v>
      </c>
      <c r="G441" s="227">
        <v>49.52</v>
      </c>
      <c r="H441" s="230"/>
      <c r="I441" s="231">
        <v>311891.87</v>
      </c>
      <c r="J441" s="232" t="s">
        <v>421</v>
      </c>
      <c r="K441" s="233">
        <v>2</v>
      </c>
    </row>
    <row r="442" spans="1:11" s="226" customFormat="1" ht="12.75" customHeight="1" x14ac:dyDescent="0.2">
      <c r="A442" s="226" t="s">
        <v>69</v>
      </c>
      <c r="B442" s="228">
        <v>46091</v>
      </c>
      <c r="C442" s="229" t="s">
        <v>815</v>
      </c>
      <c r="D442" s="229" t="s">
        <v>816</v>
      </c>
      <c r="E442" s="229" t="s">
        <v>70</v>
      </c>
      <c r="F442" s="229" t="s">
        <v>20</v>
      </c>
      <c r="G442" s="227">
        <v>46.05</v>
      </c>
      <c r="H442" s="230"/>
      <c r="I442" s="231">
        <v>311937.91999999998</v>
      </c>
      <c r="J442" s="232" t="s">
        <v>421</v>
      </c>
      <c r="K442" s="233">
        <v>2</v>
      </c>
    </row>
    <row r="443" spans="1:11" s="226" customFormat="1" ht="12.75" customHeight="1" x14ac:dyDescent="0.2">
      <c r="A443" s="226" t="s">
        <v>69</v>
      </c>
      <c r="B443" s="228">
        <v>46091</v>
      </c>
      <c r="C443" s="229" t="s">
        <v>817</v>
      </c>
      <c r="D443" s="229" t="s">
        <v>818</v>
      </c>
      <c r="E443" s="229" t="s">
        <v>144</v>
      </c>
      <c r="F443" s="229" t="s">
        <v>20</v>
      </c>
      <c r="G443" s="227">
        <v>390</v>
      </c>
      <c r="H443" s="230"/>
      <c r="I443" s="231">
        <v>312327.92</v>
      </c>
      <c r="J443" s="232" t="s">
        <v>421</v>
      </c>
      <c r="K443" s="233">
        <v>2</v>
      </c>
    </row>
    <row r="444" spans="1:11" s="226" customFormat="1" ht="12.75" customHeight="1" x14ac:dyDescent="0.2">
      <c r="A444" s="226" t="s">
        <v>69</v>
      </c>
      <c r="B444" s="228">
        <v>46091</v>
      </c>
      <c r="C444" s="229" t="s">
        <v>817</v>
      </c>
      <c r="D444" s="229" t="s">
        <v>818</v>
      </c>
      <c r="E444" s="229" t="s">
        <v>144</v>
      </c>
      <c r="F444" s="229" t="s">
        <v>20</v>
      </c>
      <c r="G444" s="227">
        <v>388.75</v>
      </c>
      <c r="H444" s="230"/>
      <c r="I444" s="231">
        <v>312716.67</v>
      </c>
      <c r="J444" s="232" t="s">
        <v>421</v>
      </c>
      <c r="K444" s="233">
        <v>2</v>
      </c>
    </row>
    <row r="445" spans="1:11" s="226" customFormat="1" ht="12.75" customHeight="1" x14ac:dyDescent="0.2">
      <c r="A445" s="226" t="s">
        <v>69</v>
      </c>
      <c r="B445" s="228">
        <v>46091</v>
      </c>
      <c r="C445" s="229" t="s">
        <v>819</v>
      </c>
      <c r="D445" s="229" t="s">
        <v>742</v>
      </c>
      <c r="E445" s="229" t="s">
        <v>150</v>
      </c>
      <c r="F445" s="229" t="s">
        <v>981</v>
      </c>
      <c r="G445" s="227"/>
      <c r="H445" s="248">
        <v>-49.52</v>
      </c>
      <c r="I445" s="231">
        <v>312667.15000000002</v>
      </c>
      <c r="J445" s="232" t="s">
        <v>421</v>
      </c>
      <c r="K445" s="233">
        <v>-2</v>
      </c>
    </row>
    <row r="446" spans="1:11" s="226" customFormat="1" ht="12.75" customHeight="1" x14ac:dyDescent="0.2">
      <c r="A446" s="226" t="s">
        <v>69</v>
      </c>
      <c r="B446" s="228">
        <v>46091</v>
      </c>
      <c r="C446" s="229" t="s">
        <v>819</v>
      </c>
      <c r="D446" s="229" t="s">
        <v>742</v>
      </c>
      <c r="E446" s="229" t="s">
        <v>150</v>
      </c>
      <c r="F446" s="229" t="s">
        <v>981</v>
      </c>
      <c r="G446" s="227"/>
      <c r="H446" s="248">
        <v>-1005</v>
      </c>
      <c r="I446" s="231">
        <v>311662.15000000002</v>
      </c>
      <c r="J446" s="232" t="s">
        <v>421</v>
      </c>
      <c r="K446" s="233">
        <v>-2</v>
      </c>
    </row>
    <row r="447" spans="1:11" s="226" customFormat="1" ht="12.75" customHeight="1" x14ac:dyDescent="0.2">
      <c r="A447" s="226" t="s">
        <v>69</v>
      </c>
      <c r="B447" s="228">
        <v>46092</v>
      </c>
      <c r="C447" s="229" t="s">
        <v>820</v>
      </c>
      <c r="D447" s="229"/>
      <c r="E447" s="229" t="s">
        <v>150</v>
      </c>
      <c r="F447" s="229" t="s">
        <v>244</v>
      </c>
      <c r="G447" s="227">
        <v>875</v>
      </c>
      <c r="H447" s="230"/>
      <c r="I447" s="231">
        <v>312537.15000000002</v>
      </c>
      <c r="J447" s="232">
        <v>46092</v>
      </c>
      <c r="K447" s="233">
        <v>4</v>
      </c>
    </row>
    <row r="448" spans="1:11" s="226" customFormat="1" ht="12.75" customHeight="1" x14ac:dyDescent="0.2">
      <c r="A448" s="226" t="s">
        <v>69</v>
      </c>
      <c r="B448" s="228">
        <v>46092</v>
      </c>
      <c r="C448" s="229" t="s">
        <v>820</v>
      </c>
      <c r="D448" s="229"/>
      <c r="E448" s="229" t="s">
        <v>150</v>
      </c>
      <c r="F448" s="229" t="s">
        <v>244</v>
      </c>
      <c r="G448" s="227">
        <v>99.52</v>
      </c>
      <c r="H448" s="230"/>
      <c r="I448" s="231">
        <v>312636.67</v>
      </c>
      <c r="J448" s="232">
        <v>46092</v>
      </c>
      <c r="K448" s="233">
        <v>4</v>
      </c>
    </row>
    <row r="449" spans="1:11" s="226" customFormat="1" ht="12.75" customHeight="1" x14ac:dyDescent="0.2">
      <c r="A449" s="226" t="s">
        <v>69</v>
      </c>
      <c r="B449" s="228">
        <v>46092</v>
      </c>
      <c r="C449" s="229" t="s">
        <v>820</v>
      </c>
      <c r="D449" s="229"/>
      <c r="E449" s="229" t="s">
        <v>150</v>
      </c>
      <c r="F449" s="229" t="s">
        <v>244</v>
      </c>
      <c r="G449" s="227"/>
      <c r="H449" s="230">
        <v>-99.52</v>
      </c>
      <c r="I449" s="231">
        <v>312537.15000000002</v>
      </c>
      <c r="J449" s="232">
        <v>46092</v>
      </c>
      <c r="K449" s="233">
        <v>-4</v>
      </c>
    </row>
    <row r="450" spans="1:11" s="226" customFormat="1" ht="12.75" customHeight="1" x14ac:dyDescent="0.2">
      <c r="A450" s="226" t="s">
        <v>69</v>
      </c>
      <c r="B450" s="228">
        <v>46092</v>
      </c>
      <c r="C450" s="229" t="s">
        <v>820</v>
      </c>
      <c r="D450" s="229"/>
      <c r="E450" s="229" t="s">
        <v>150</v>
      </c>
      <c r="F450" s="229" t="s">
        <v>244</v>
      </c>
      <c r="G450" s="227"/>
      <c r="H450" s="230">
        <v>-875</v>
      </c>
      <c r="I450" s="231">
        <v>311662.15000000002</v>
      </c>
      <c r="J450" s="232">
        <v>46092</v>
      </c>
      <c r="K450" s="233">
        <v>-4</v>
      </c>
    </row>
    <row r="451" spans="1:11" s="226" customFormat="1" ht="12.75" customHeight="1" x14ac:dyDescent="0.2">
      <c r="A451" s="226" t="s">
        <v>53</v>
      </c>
      <c r="B451" s="228">
        <v>46093</v>
      </c>
      <c r="C451" s="229" t="s">
        <v>821</v>
      </c>
      <c r="D451" s="229" t="s">
        <v>822</v>
      </c>
      <c r="E451" s="229" t="s">
        <v>194</v>
      </c>
      <c r="F451" s="229" t="s">
        <v>982</v>
      </c>
      <c r="G451" s="227"/>
      <c r="H451" s="230">
        <v>-4.18</v>
      </c>
      <c r="I451" s="231">
        <v>311657.96999999997</v>
      </c>
      <c r="J451" s="232" t="s">
        <v>417</v>
      </c>
      <c r="K451" s="233">
        <v>-2</v>
      </c>
    </row>
    <row r="452" spans="1:11" s="226" customFormat="1" ht="12.75" customHeight="1" x14ac:dyDescent="0.2">
      <c r="A452" s="226" t="s">
        <v>53</v>
      </c>
      <c r="B452" s="228">
        <v>46093</v>
      </c>
      <c r="C452" s="229" t="s">
        <v>821</v>
      </c>
      <c r="D452" s="229" t="s">
        <v>822</v>
      </c>
      <c r="E452" s="229" t="s">
        <v>194</v>
      </c>
      <c r="F452" s="229" t="s">
        <v>983</v>
      </c>
      <c r="G452" s="227"/>
      <c r="H452" s="230">
        <v>-6.71</v>
      </c>
      <c r="I452" s="231">
        <v>311651.26</v>
      </c>
      <c r="J452" s="232" t="s">
        <v>417</v>
      </c>
      <c r="K452" s="233">
        <v>-2</v>
      </c>
    </row>
    <row r="453" spans="1:11" s="226" customFormat="1" ht="12.75" customHeight="1" x14ac:dyDescent="0.2">
      <c r="A453" s="226" t="s">
        <v>53</v>
      </c>
      <c r="B453" s="228">
        <v>46093</v>
      </c>
      <c r="C453" s="229" t="s">
        <v>823</v>
      </c>
      <c r="D453" s="229" t="s">
        <v>322</v>
      </c>
      <c r="E453" s="229" t="s">
        <v>143</v>
      </c>
      <c r="F453" s="229" t="s">
        <v>283</v>
      </c>
      <c r="G453" s="227"/>
      <c r="H453" s="230">
        <v>-250.96</v>
      </c>
      <c r="I453" s="231">
        <v>311400.3</v>
      </c>
      <c r="J453" s="232">
        <v>46093</v>
      </c>
      <c r="K453" s="233">
        <v>-4</v>
      </c>
    </row>
    <row r="454" spans="1:11" s="226" customFormat="1" ht="12.75" customHeight="1" x14ac:dyDescent="0.2">
      <c r="A454" s="226" t="s">
        <v>53</v>
      </c>
      <c r="B454" s="228">
        <v>46093</v>
      </c>
      <c r="C454" s="229" t="s">
        <v>823</v>
      </c>
      <c r="D454" s="229" t="s">
        <v>322</v>
      </c>
      <c r="E454" s="229" t="s">
        <v>143</v>
      </c>
      <c r="F454" s="229" t="s">
        <v>283</v>
      </c>
      <c r="G454" s="227">
        <v>250.96</v>
      </c>
      <c r="H454" s="230"/>
      <c r="I454" s="231">
        <v>311651.26</v>
      </c>
      <c r="J454" s="232">
        <v>46093</v>
      </c>
      <c r="K454" s="233">
        <v>4</v>
      </c>
    </row>
    <row r="455" spans="1:11" s="226" customFormat="1" ht="12.75" customHeight="1" x14ac:dyDescent="0.2">
      <c r="A455" s="226" t="s">
        <v>53</v>
      </c>
      <c r="B455" s="228">
        <v>46093</v>
      </c>
      <c r="C455" s="229" t="s">
        <v>824</v>
      </c>
      <c r="D455" s="229" t="s">
        <v>322</v>
      </c>
      <c r="E455" s="229" t="s">
        <v>143</v>
      </c>
      <c r="F455" s="229" t="s">
        <v>283</v>
      </c>
      <c r="G455" s="227"/>
      <c r="H455" s="230">
        <v>-48.96</v>
      </c>
      <c r="I455" s="231">
        <v>311602.3</v>
      </c>
      <c r="J455" s="232">
        <v>46093</v>
      </c>
      <c r="K455" s="233">
        <v>-4</v>
      </c>
    </row>
    <row r="456" spans="1:11" s="226" customFormat="1" ht="12.75" customHeight="1" x14ac:dyDescent="0.2">
      <c r="A456" s="226" t="s">
        <v>53</v>
      </c>
      <c r="B456" s="228">
        <v>46093</v>
      </c>
      <c r="C456" s="229" t="s">
        <v>824</v>
      </c>
      <c r="D456" s="229" t="s">
        <v>322</v>
      </c>
      <c r="E456" s="229" t="s">
        <v>143</v>
      </c>
      <c r="F456" s="229" t="s">
        <v>283</v>
      </c>
      <c r="G456" s="227">
        <v>48.96</v>
      </c>
      <c r="H456" s="230"/>
      <c r="I456" s="231">
        <v>311651.26</v>
      </c>
      <c r="J456" s="232">
        <v>46093</v>
      </c>
      <c r="K456" s="233">
        <v>4</v>
      </c>
    </row>
    <row r="457" spans="1:11" s="226" customFormat="1" ht="12.75" customHeight="1" x14ac:dyDescent="0.2">
      <c r="A457" s="226" t="s">
        <v>53</v>
      </c>
      <c r="B457" s="228">
        <v>46093</v>
      </c>
      <c r="C457" s="229" t="s">
        <v>825</v>
      </c>
      <c r="D457" s="229" t="s">
        <v>322</v>
      </c>
      <c r="E457" s="229" t="s">
        <v>143</v>
      </c>
      <c r="F457" s="229" t="s">
        <v>283</v>
      </c>
      <c r="G457" s="227"/>
      <c r="H457" s="230">
        <v>-75</v>
      </c>
      <c r="I457" s="231">
        <v>311576.26</v>
      </c>
      <c r="J457" s="232">
        <v>46093</v>
      </c>
      <c r="K457" s="233">
        <v>-4</v>
      </c>
    </row>
    <row r="458" spans="1:11" s="226" customFormat="1" ht="12.75" customHeight="1" x14ac:dyDescent="0.2">
      <c r="A458" s="226" t="s">
        <v>53</v>
      </c>
      <c r="B458" s="228">
        <v>46093</v>
      </c>
      <c r="C458" s="229" t="s">
        <v>825</v>
      </c>
      <c r="D458" s="229" t="s">
        <v>322</v>
      </c>
      <c r="E458" s="229" t="s">
        <v>143</v>
      </c>
      <c r="F458" s="229" t="s">
        <v>283</v>
      </c>
      <c r="G458" s="227">
        <v>75</v>
      </c>
      <c r="H458" s="230"/>
      <c r="I458" s="231">
        <v>311651.26</v>
      </c>
      <c r="J458" s="232">
        <v>46093</v>
      </c>
      <c r="K458" s="233">
        <v>4</v>
      </c>
    </row>
    <row r="459" spans="1:11" s="226" customFormat="1" ht="12.75" customHeight="1" x14ac:dyDescent="0.2">
      <c r="A459" s="226" t="s">
        <v>53</v>
      </c>
      <c r="B459" s="228">
        <v>46093</v>
      </c>
      <c r="C459" s="229" t="s">
        <v>826</v>
      </c>
      <c r="D459" s="229" t="s">
        <v>827</v>
      </c>
      <c r="E459" s="229" t="s">
        <v>266</v>
      </c>
      <c r="F459" s="229" t="s">
        <v>17</v>
      </c>
      <c r="G459" s="227">
        <v>75</v>
      </c>
      <c r="H459" s="230"/>
      <c r="I459" s="231">
        <v>311726.26</v>
      </c>
      <c r="J459" s="232" t="s">
        <v>410</v>
      </c>
      <c r="K459" s="233">
        <v>2</v>
      </c>
    </row>
    <row r="460" spans="1:11" s="226" customFormat="1" ht="12.75" customHeight="1" x14ac:dyDescent="0.2">
      <c r="A460" s="226" t="s">
        <v>53</v>
      </c>
      <c r="B460" s="228">
        <v>46093</v>
      </c>
      <c r="C460" s="229" t="s">
        <v>826</v>
      </c>
      <c r="D460" s="229" t="s">
        <v>827</v>
      </c>
      <c r="E460" s="229" t="s">
        <v>266</v>
      </c>
      <c r="F460" s="229" t="s">
        <v>17</v>
      </c>
      <c r="G460" s="227">
        <v>48.96</v>
      </c>
      <c r="H460" s="230"/>
      <c r="I460" s="231">
        <v>311775.21999999997</v>
      </c>
      <c r="J460" s="232" t="s">
        <v>410</v>
      </c>
      <c r="K460" s="233">
        <v>2</v>
      </c>
    </row>
    <row r="461" spans="1:11" s="226" customFormat="1" ht="12.75" customHeight="1" x14ac:dyDescent="0.2">
      <c r="A461" s="226" t="s">
        <v>53</v>
      </c>
      <c r="B461" s="228">
        <v>46093</v>
      </c>
      <c r="C461" s="229" t="s">
        <v>826</v>
      </c>
      <c r="D461" s="229" t="s">
        <v>827</v>
      </c>
      <c r="E461" s="229" t="s">
        <v>266</v>
      </c>
      <c r="F461" s="229" t="s">
        <v>17</v>
      </c>
      <c r="G461" s="227">
        <v>1000</v>
      </c>
      <c r="H461" s="230"/>
      <c r="I461" s="231">
        <v>312775.21999999997</v>
      </c>
      <c r="J461" s="232" t="s">
        <v>410</v>
      </c>
      <c r="K461" s="233">
        <v>2</v>
      </c>
    </row>
    <row r="462" spans="1:11" s="226" customFormat="1" ht="12.75" customHeight="1" x14ac:dyDescent="0.2">
      <c r="A462" s="226" t="s">
        <v>53</v>
      </c>
      <c r="B462" s="228">
        <v>46093</v>
      </c>
      <c r="C462" s="229" t="s">
        <v>828</v>
      </c>
      <c r="D462" s="229" t="s">
        <v>829</v>
      </c>
      <c r="E462" s="229" t="s">
        <v>950</v>
      </c>
      <c r="F462" s="229" t="s">
        <v>984</v>
      </c>
      <c r="G462" s="227">
        <v>127.48</v>
      </c>
      <c r="H462" s="230"/>
      <c r="I462" s="231">
        <v>312902.7</v>
      </c>
      <c r="J462" s="224" t="s">
        <v>418</v>
      </c>
      <c r="K462" s="233">
        <v>2</v>
      </c>
    </row>
    <row r="463" spans="1:11" s="226" customFormat="1" ht="12.75" customHeight="1" x14ac:dyDescent="0.2">
      <c r="A463" s="226" t="s">
        <v>53</v>
      </c>
      <c r="B463" s="228">
        <v>46094</v>
      </c>
      <c r="C463" s="229" t="s">
        <v>830</v>
      </c>
      <c r="D463" s="229" t="s">
        <v>416</v>
      </c>
      <c r="E463" s="229" t="s">
        <v>951</v>
      </c>
      <c r="F463" s="229" t="s">
        <v>985</v>
      </c>
      <c r="G463" s="227"/>
      <c r="H463" s="230">
        <v>-388.15</v>
      </c>
      <c r="I463" s="231">
        <v>312514.55</v>
      </c>
      <c r="J463" s="232" t="s">
        <v>415</v>
      </c>
      <c r="K463" s="233">
        <v>-2</v>
      </c>
    </row>
    <row r="464" spans="1:11" s="226" customFormat="1" ht="12.75" customHeight="1" x14ac:dyDescent="0.2">
      <c r="A464" s="226" t="s">
        <v>53</v>
      </c>
      <c r="B464" s="228">
        <v>46094</v>
      </c>
      <c r="C464" s="229" t="s">
        <v>831</v>
      </c>
      <c r="D464" s="229" t="s">
        <v>404</v>
      </c>
      <c r="E464" s="229" t="s">
        <v>253</v>
      </c>
      <c r="F464" s="229" t="s">
        <v>986</v>
      </c>
      <c r="G464" s="227"/>
      <c r="H464" s="230">
        <v>-72.81</v>
      </c>
      <c r="I464" s="231">
        <v>312441.74</v>
      </c>
      <c r="J464" s="232" t="s">
        <v>403</v>
      </c>
      <c r="K464" s="233">
        <v>-2</v>
      </c>
    </row>
    <row r="465" spans="1:11" s="226" customFormat="1" ht="12.75" customHeight="1" x14ac:dyDescent="0.2">
      <c r="A465" s="226" t="s">
        <v>53</v>
      </c>
      <c r="B465" s="228">
        <v>46094</v>
      </c>
      <c r="C465" s="229" t="s">
        <v>831</v>
      </c>
      <c r="D465" s="229" t="s">
        <v>404</v>
      </c>
      <c r="E465" s="229" t="s">
        <v>253</v>
      </c>
      <c r="F465" s="229" t="s">
        <v>987</v>
      </c>
      <c r="G465" s="227"/>
      <c r="H465" s="230">
        <v>-52.83</v>
      </c>
      <c r="I465" s="231">
        <v>312388.90999999997</v>
      </c>
      <c r="J465" s="232" t="s">
        <v>403</v>
      </c>
      <c r="K465" s="233">
        <v>-2</v>
      </c>
    </row>
    <row r="466" spans="1:11" s="226" customFormat="1" ht="12.75" customHeight="1" x14ac:dyDescent="0.2">
      <c r="A466" s="226" t="s">
        <v>53</v>
      </c>
      <c r="B466" s="228">
        <v>46094</v>
      </c>
      <c r="C466" s="229" t="s">
        <v>832</v>
      </c>
      <c r="D466" s="229" t="s">
        <v>833</v>
      </c>
      <c r="E466" s="229" t="s">
        <v>258</v>
      </c>
      <c r="F466" s="229" t="s">
        <v>988</v>
      </c>
      <c r="G466" s="227"/>
      <c r="H466" s="230">
        <v>-83.16</v>
      </c>
      <c r="I466" s="231">
        <v>312305.75</v>
      </c>
      <c r="J466" s="224" t="s">
        <v>415</v>
      </c>
      <c r="K466" s="233">
        <v>-2</v>
      </c>
    </row>
    <row r="467" spans="1:11" s="226" customFormat="1" ht="12.75" customHeight="1" x14ac:dyDescent="0.2">
      <c r="A467" s="226" t="s">
        <v>69</v>
      </c>
      <c r="B467" s="228">
        <v>46094</v>
      </c>
      <c r="C467" s="229" t="s">
        <v>832</v>
      </c>
      <c r="D467" s="229" t="s">
        <v>833</v>
      </c>
      <c r="E467" s="229" t="s">
        <v>258</v>
      </c>
      <c r="F467" s="229" t="s">
        <v>988</v>
      </c>
      <c r="G467" s="227"/>
      <c r="H467" s="230">
        <v>-1.91</v>
      </c>
      <c r="I467" s="231">
        <v>312303.84000000003</v>
      </c>
      <c r="J467" s="224" t="s">
        <v>415</v>
      </c>
      <c r="K467" s="233">
        <v>-2</v>
      </c>
    </row>
    <row r="468" spans="1:11" s="226" customFormat="1" ht="12.75" customHeight="1" x14ac:dyDescent="0.2">
      <c r="A468" s="226" t="s">
        <v>53</v>
      </c>
      <c r="B468" s="228">
        <v>46094</v>
      </c>
      <c r="C468" s="229" t="s">
        <v>834</v>
      </c>
      <c r="D468" s="229" t="s">
        <v>835</v>
      </c>
      <c r="E468" s="229" t="s">
        <v>258</v>
      </c>
      <c r="F468" s="229" t="s">
        <v>989</v>
      </c>
      <c r="G468" s="227"/>
      <c r="H468" s="230">
        <v>-2.09</v>
      </c>
      <c r="I468" s="231">
        <v>312301.75</v>
      </c>
      <c r="J468" s="224" t="s">
        <v>415</v>
      </c>
      <c r="K468" s="233">
        <v>-2</v>
      </c>
    </row>
    <row r="469" spans="1:11" s="226" customFormat="1" ht="12.75" customHeight="1" x14ac:dyDescent="0.2">
      <c r="A469" s="226" t="s">
        <v>53</v>
      </c>
      <c r="B469" s="228">
        <v>46094</v>
      </c>
      <c r="C469" s="229" t="s">
        <v>834</v>
      </c>
      <c r="D469" s="229" t="s">
        <v>835</v>
      </c>
      <c r="E469" s="229" t="s">
        <v>258</v>
      </c>
      <c r="F469" s="229" t="s">
        <v>989</v>
      </c>
      <c r="G469" s="227"/>
      <c r="H469" s="230">
        <v>-1.17</v>
      </c>
      <c r="I469" s="231">
        <v>312300.58</v>
      </c>
      <c r="J469" s="224" t="s">
        <v>415</v>
      </c>
      <c r="K469" s="233">
        <v>-2</v>
      </c>
    </row>
    <row r="470" spans="1:11" s="226" customFormat="1" ht="12.75" customHeight="1" x14ac:dyDescent="0.2">
      <c r="A470" s="226" t="s">
        <v>69</v>
      </c>
      <c r="B470" s="228">
        <v>46094</v>
      </c>
      <c r="C470" s="229" t="s">
        <v>834</v>
      </c>
      <c r="D470" s="229" t="s">
        <v>835</v>
      </c>
      <c r="E470" s="229" t="s">
        <v>258</v>
      </c>
      <c r="F470" s="229" t="s">
        <v>989</v>
      </c>
      <c r="G470" s="227"/>
      <c r="H470" s="230">
        <v>-5.23</v>
      </c>
      <c r="I470" s="231">
        <v>312295.34999999998</v>
      </c>
      <c r="J470" s="224" t="s">
        <v>415</v>
      </c>
      <c r="K470" s="233">
        <v>-2</v>
      </c>
    </row>
    <row r="471" spans="1:11" s="226" customFormat="1" ht="12.75" customHeight="1" x14ac:dyDescent="0.2">
      <c r="A471" s="226" t="s">
        <v>69</v>
      </c>
      <c r="B471" s="228">
        <v>46094</v>
      </c>
      <c r="C471" s="229" t="s">
        <v>834</v>
      </c>
      <c r="D471" s="229" t="s">
        <v>835</v>
      </c>
      <c r="E471" s="229" t="s">
        <v>258</v>
      </c>
      <c r="F471" s="229" t="s">
        <v>989</v>
      </c>
      <c r="G471" s="227"/>
      <c r="H471" s="230">
        <v>-2.27</v>
      </c>
      <c r="I471" s="231">
        <v>312293.08</v>
      </c>
      <c r="J471" s="224" t="s">
        <v>415</v>
      </c>
      <c r="K471" s="233">
        <v>-2</v>
      </c>
    </row>
    <row r="472" spans="1:11" s="226" customFormat="1" ht="12.75" customHeight="1" x14ac:dyDescent="0.2">
      <c r="A472" s="226" t="s">
        <v>53</v>
      </c>
      <c r="B472" s="228">
        <v>46094</v>
      </c>
      <c r="C472" s="229" t="s">
        <v>836</v>
      </c>
      <c r="D472" s="229" t="s">
        <v>636</v>
      </c>
      <c r="E472" s="229" t="s">
        <v>265</v>
      </c>
      <c r="F472" s="229" t="s">
        <v>119</v>
      </c>
      <c r="G472" s="227">
        <v>822.61</v>
      </c>
      <c r="H472" s="230"/>
      <c r="I472" s="231">
        <v>313115.69</v>
      </c>
      <c r="J472" s="232">
        <v>46084</v>
      </c>
      <c r="K472" s="233">
        <v>4</v>
      </c>
    </row>
    <row r="473" spans="1:11" s="226" customFormat="1" ht="12.75" customHeight="1" x14ac:dyDescent="0.2">
      <c r="A473" s="226" t="s">
        <v>53</v>
      </c>
      <c r="B473" s="228">
        <v>46094</v>
      </c>
      <c r="C473" s="229" t="s">
        <v>836</v>
      </c>
      <c r="D473" s="229" t="s">
        <v>636</v>
      </c>
      <c r="E473" s="229" t="s">
        <v>265</v>
      </c>
      <c r="F473" s="229" t="s">
        <v>119</v>
      </c>
      <c r="G473" s="227">
        <v>3290.43</v>
      </c>
      <c r="H473" s="230"/>
      <c r="I473" s="231">
        <v>316406.12</v>
      </c>
      <c r="J473" s="232">
        <v>46084</v>
      </c>
      <c r="K473" s="233">
        <v>4</v>
      </c>
    </row>
    <row r="474" spans="1:11" s="226" customFormat="1" ht="12.75" customHeight="1" x14ac:dyDescent="0.2">
      <c r="A474" s="226" t="s">
        <v>69</v>
      </c>
      <c r="B474" s="228">
        <v>46094</v>
      </c>
      <c r="C474" s="229" t="s">
        <v>836</v>
      </c>
      <c r="D474" s="229" t="s">
        <v>636</v>
      </c>
      <c r="E474" s="229" t="s">
        <v>265</v>
      </c>
      <c r="F474" s="229" t="s">
        <v>119</v>
      </c>
      <c r="G474" s="227">
        <v>798.45</v>
      </c>
      <c r="H474" s="230"/>
      <c r="I474" s="231">
        <v>317204.57</v>
      </c>
      <c r="J474" s="232">
        <v>46084</v>
      </c>
      <c r="K474" s="233">
        <v>4</v>
      </c>
    </row>
    <row r="475" spans="1:11" s="226" customFormat="1" ht="12.75" customHeight="1" x14ac:dyDescent="0.2">
      <c r="A475" s="226" t="s">
        <v>69</v>
      </c>
      <c r="B475" s="228">
        <v>46094</v>
      </c>
      <c r="C475" s="229" t="s">
        <v>836</v>
      </c>
      <c r="D475" s="229" t="s">
        <v>636</v>
      </c>
      <c r="E475" s="229" t="s">
        <v>265</v>
      </c>
      <c r="F475" s="229" t="s">
        <v>119</v>
      </c>
      <c r="G475" s="227">
        <v>3193.79</v>
      </c>
      <c r="H475" s="230"/>
      <c r="I475" s="231">
        <v>320398.36</v>
      </c>
      <c r="J475" s="232">
        <v>46084</v>
      </c>
      <c r="K475" s="233">
        <v>4</v>
      </c>
    </row>
    <row r="476" spans="1:11" s="226" customFormat="1" ht="12.75" customHeight="1" x14ac:dyDescent="0.2">
      <c r="A476" s="226" t="s">
        <v>53</v>
      </c>
      <c r="B476" s="228">
        <v>46094</v>
      </c>
      <c r="C476" s="229" t="s">
        <v>837</v>
      </c>
      <c r="D476" s="229" t="s">
        <v>838</v>
      </c>
      <c r="E476" s="229" t="s">
        <v>265</v>
      </c>
      <c r="F476" s="229" t="s">
        <v>119</v>
      </c>
      <c r="G476" s="227"/>
      <c r="H476" s="230">
        <v>-822.61</v>
      </c>
      <c r="I476" s="231">
        <v>319575.75</v>
      </c>
      <c r="J476" s="232" t="s">
        <v>411</v>
      </c>
      <c r="K476" s="233">
        <v>-2</v>
      </c>
    </row>
    <row r="477" spans="1:11" s="226" customFormat="1" ht="12.75" customHeight="1" x14ac:dyDescent="0.2">
      <c r="A477" s="226" t="s">
        <v>53</v>
      </c>
      <c r="B477" s="228">
        <v>46094</v>
      </c>
      <c r="C477" s="229" t="s">
        <v>837</v>
      </c>
      <c r="D477" s="229" t="s">
        <v>838</v>
      </c>
      <c r="E477" s="229" t="s">
        <v>265</v>
      </c>
      <c r="F477" s="229" t="s">
        <v>119</v>
      </c>
      <c r="G477" s="227"/>
      <c r="H477" s="230">
        <v>-3290.43</v>
      </c>
      <c r="I477" s="231">
        <v>316285.32</v>
      </c>
      <c r="J477" s="232" t="s">
        <v>411</v>
      </c>
      <c r="K477" s="233">
        <v>-2</v>
      </c>
    </row>
    <row r="478" spans="1:11" s="226" customFormat="1" ht="12.75" customHeight="1" x14ac:dyDescent="0.2">
      <c r="A478" s="226" t="s">
        <v>69</v>
      </c>
      <c r="B478" s="228">
        <v>46094</v>
      </c>
      <c r="C478" s="229" t="s">
        <v>837</v>
      </c>
      <c r="D478" s="229" t="s">
        <v>838</v>
      </c>
      <c r="E478" s="229" t="s">
        <v>265</v>
      </c>
      <c r="F478" s="229" t="s">
        <v>119</v>
      </c>
      <c r="G478" s="227"/>
      <c r="H478" s="230">
        <v>-798.45</v>
      </c>
      <c r="I478" s="231">
        <v>315486.87</v>
      </c>
      <c r="J478" s="232" t="s">
        <v>411</v>
      </c>
      <c r="K478" s="233">
        <v>-2</v>
      </c>
    </row>
    <row r="479" spans="1:11" s="226" customFormat="1" ht="12.75" customHeight="1" x14ac:dyDescent="0.2">
      <c r="A479" s="226" t="s">
        <v>69</v>
      </c>
      <c r="B479" s="228">
        <v>46094</v>
      </c>
      <c r="C479" s="229" t="s">
        <v>837</v>
      </c>
      <c r="D479" s="229" t="s">
        <v>838</v>
      </c>
      <c r="E479" s="229" t="s">
        <v>265</v>
      </c>
      <c r="F479" s="229" t="s">
        <v>119</v>
      </c>
      <c r="G479" s="227"/>
      <c r="H479" s="230">
        <v>-3193.79</v>
      </c>
      <c r="I479" s="231">
        <v>312293.08</v>
      </c>
      <c r="J479" s="232" t="s">
        <v>411</v>
      </c>
      <c r="K479" s="233">
        <v>-2</v>
      </c>
    </row>
    <row r="480" spans="1:11" s="226" customFormat="1" ht="12.75" customHeight="1" x14ac:dyDescent="0.2">
      <c r="A480" s="226" t="s">
        <v>69</v>
      </c>
      <c r="B480" s="228">
        <v>46095</v>
      </c>
      <c r="C480" s="229" t="s">
        <v>839</v>
      </c>
      <c r="D480" s="229" t="s">
        <v>840</v>
      </c>
      <c r="E480" s="229" t="s">
        <v>234</v>
      </c>
      <c r="F480" s="229" t="s">
        <v>20</v>
      </c>
      <c r="G480" s="227">
        <v>500</v>
      </c>
      <c r="H480" s="230"/>
      <c r="I480" s="231">
        <v>312793.08</v>
      </c>
      <c r="J480" s="232" t="s">
        <v>415</v>
      </c>
      <c r="K480" s="233">
        <v>2</v>
      </c>
    </row>
    <row r="481" spans="1:11" s="226" customFormat="1" ht="12.75" customHeight="1" x14ac:dyDescent="0.2">
      <c r="A481" s="226" t="s">
        <v>69</v>
      </c>
      <c r="B481" s="228">
        <v>46095</v>
      </c>
      <c r="C481" s="229" t="s">
        <v>841</v>
      </c>
      <c r="D481" s="229" t="s">
        <v>842</v>
      </c>
      <c r="E481" s="229" t="s">
        <v>234</v>
      </c>
      <c r="F481" s="229" t="s">
        <v>20</v>
      </c>
      <c r="G481" s="227">
        <v>500</v>
      </c>
      <c r="H481" s="230"/>
      <c r="I481" s="231">
        <v>313293.08</v>
      </c>
      <c r="J481" s="232" t="s">
        <v>415</v>
      </c>
      <c r="K481" s="233">
        <v>2</v>
      </c>
    </row>
    <row r="482" spans="1:11" s="226" customFormat="1" ht="12.75" customHeight="1" x14ac:dyDescent="0.2">
      <c r="A482" s="226" t="s">
        <v>69</v>
      </c>
      <c r="B482" s="228">
        <v>46095</v>
      </c>
      <c r="C482" s="229" t="s">
        <v>843</v>
      </c>
      <c r="D482" s="229" t="s">
        <v>844</v>
      </c>
      <c r="E482" s="229" t="s">
        <v>234</v>
      </c>
      <c r="F482" s="229" t="s">
        <v>20</v>
      </c>
      <c r="G482" s="227">
        <v>20</v>
      </c>
      <c r="H482" s="230"/>
      <c r="I482" s="231">
        <v>313313.08</v>
      </c>
      <c r="J482" s="232" t="s">
        <v>415</v>
      </c>
      <c r="K482" s="233">
        <v>2</v>
      </c>
    </row>
    <row r="483" spans="1:11" s="226" customFormat="1" ht="12.75" customHeight="1" x14ac:dyDescent="0.2">
      <c r="A483" s="226" t="s">
        <v>69</v>
      </c>
      <c r="B483" s="228">
        <v>46095</v>
      </c>
      <c r="C483" s="229" t="s">
        <v>843</v>
      </c>
      <c r="D483" s="229" t="s">
        <v>844</v>
      </c>
      <c r="E483" s="229" t="s">
        <v>234</v>
      </c>
      <c r="F483" s="229" t="s">
        <v>20</v>
      </c>
      <c r="G483" s="227">
        <v>49.52</v>
      </c>
      <c r="H483" s="230"/>
      <c r="I483" s="231">
        <v>313362.59999999998</v>
      </c>
      <c r="J483" s="232" t="s">
        <v>415</v>
      </c>
      <c r="K483" s="233">
        <v>2</v>
      </c>
    </row>
    <row r="484" spans="1:11" s="226" customFormat="1" ht="12.75" customHeight="1" x14ac:dyDescent="0.2">
      <c r="A484" s="226" t="s">
        <v>69</v>
      </c>
      <c r="B484" s="228">
        <v>46095</v>
      </c>
      <c r="C484" s="229" t="s">
        <v>843</v>
      </c>
      <c r="D484" s="229" t="s">
        <v>844</v>
      </c>
      <c r="E484" s="229" t="s">
        <v>234</v>
      </c>
      <c r="F484" s="229" t="s">
        <v>20</v>
      </c>
      <c r="G484" s="227">
        <v>51.48</v>
      </c>
      <c r="H484" s="230"/>
      <c r="I484" s="231">
        <v>313414.08</v>
      </c>
      <c r="J484" s="232" t="s">
        <v>415</v>
      </c>
      <c r="K484" s="233">
        <v>2</v>
      </c>
    </row>
    <row r="485" spans="1:11" s="226" customFormat="1" ht="12.75" customHeight="1" x14ac:dyDescent="0.2">
      <c r="A485" s="226" t="s">
        <v>53</v>
      </c>
      <c r="B485" s="228">
        <v>46096</v>
      </c>
      <c r="C485" s="229" t="s">
        <v>845</v>
      </c>
      <c r="D485" s="229" t="s">
        <v>55</v>
      </c>
      <c r="E485" s="229" t="s">
        <v>68</v>
      </c>
      <c r="F485" s="229" t="s">
        <v>22</v>
      </c>
      <c r="G485" s="227">
        <v>48.96</v>
      </c>
      <c r="H485" s="230"/>
      <c r="I485" s="231">
        <v>313463.03999999998</v>
      </c>
      <c r="J485" s="232" t="s">
        <v>415</v>
      </c>
      <c r="K485" s="233">
        <v>2</v>
      </c>
    </row>
    <row r="486" spans="1:11" s="226" customFormat="1" ht="12.75" customHeight="1" x14ac:dyDescent="0.2">
      <c r="A486" s="226" t="s">
        <v>53</v>
      </c>
      <c r="B486" s="228">
        <v>46096</v>
      </c>
      <c r="C486" s="229" t="s">
        <v>845</v>
      </c>
      <c r="D486" s="229" t="s">
        <v>55</v>
      </c>
      <c r="E486" s="229" t="s">
        <v>68</v>
      </c>
      <c r="F486" s="229" t="s">
        <v>22</v>
      </c>
      <c r="G486" s="227">
        <v>1000</v>
      </c>
      <c r="H486" s="230"/>
      <c r="I486" s="231">
        <v>314463.03999999998</v>
      </c>
      <c r="J486" s="232" t="s">
        <v>415</v>
      </c>
      <c r="K486" s="233">
        <v>2</v>
      </c>
    </row>
    <row r="487" spans="1:11" s="226" customFormat="1" ht="12.75" customHeight="1" x14ac:dyDescent="0.2">
      <c r="A487" s="226" t="s">
        <v>69</v>
      </c>
      <c r="B487" s="228">
        <v>46097</v>
      </c>
      <c r="C487" s="229" t="s">
        <v>846</v>
      </c>
      <c r="D487" s="229" t="s">
        <v>405</v>
      </c>
      <c r="E487" s="229" t="s">
        <v>253</v>
      </c>
      <c r="F487" s="229" t="s">
        <v>990</v>
      </c>
      <c r="G487" s="227"/>
      <c r="H487" s="230">
        <v>-64.3</v>
      </c>
      <c r="I487" s="231">
        <v>314398.74</v>
      </c>
      <c r="J487" s="232" t="s">
        <v>403</v>
      </c>
      <c r="K487" s="233">
        <v>-2</v>
      </c>
    </row>
    <row r="488" spans="1:11" s="226" customFormat="1" ht="12.75" customHeight="1" x14ac:dyDescent="0.2">
      <c r="A488" s="226" t="s">
        <v>69</v>
      </c>
      <c r="B488" s="228">
        <v>46097</v>
      </c>
      <c r="C488" s="229" t="s">
        <v>846</v>
      </c>
      <c r="D488" s="229" t="s">
        <v>405</v>
      </c>
      <c r="E488" s="229" t="s">
        <v>253</v>
      </c>
      <c r="F488" s="229" t="s">
        <v>991</v>
      </c>
      <c r="G488" s="227"/>
      <c r="H488" s="230">
        <v>-51.86</v>
      </c>
      <c r="I488" s="231">
        <v>314346.88</v>
      </c>
      <c r="J488" s="232" t="s">
        <v>403</v>
      </c>
      <c r="K488" s="233">
        <v>-2</v>
      </c>
    </row>
    <row r="489" spans="1:11" s="226" customFormat="1" ht="12.75" customHeight="1" x14ac:dyDescent="0.2">
      <c r="A489" s="226" t="s">
        <v>53</v>
      </c>
      <c r="B489" s="228">
        <v>46097</v>
      </c>
      <c r="C489" s="229" t="s">
        <v>847</v>
      </c>
      <c r="D489" s="229" t="s">
        <v>298</v>
      </c>
      <c r="E489" s="229" t="s">
        <v>258</v>
      </c>
      <c r="F489" s="229" t="s">
        <v>252</v>
      </c>
      <c r="G489" s="227">
        <v>2664</v>
      </c>
      <c r="H489" s="230"/>
      <c r="I489" s="231">
        <v>317010.88</v>
      </c>
      <c r="J489" s="217">
        <v>46055</v>
      </c>
      <c r="K489" s="233">
        <v>4</v>
      </c>
    </row>
    <row r="490" spans="1:11" s="226" customFormat="1" ht="12.75" customHeight="1" x14ac:dyDescent="0.2">
      <c r="A490" s="226" t="s">
        <v>69</v>
      </c>
      <c r="B490" s="228">
        <v>46097</v>
      </c>
      <c r="C490" s="229" t="s">
        <v>847</v>
      </c>
      <c r="D490" s="229" t="s">
        <v>298</v>
      </c>
      <c r="E490" s="229" t="s">
        <v>258</v>
      </c>
      <c r="F490" s="229" t="s">
        <v>252</v>
      </c>
      <c r="G490" s="227">
        <v>2430.4499999999998</v>
      </c>
      <c r="H490" s="230"/>
      <c r="I490" s="231">
        <v>319441.33</v>
      </c>
      <c r="J490" s="217">
        <v>46055</v>
      </c>
      <c r="K490" s="233">
        <v>4</v>
      </c>
    </row>
    <row r="491" spans="1:11" s="226" customFormat="1" ht="12.75" customHeight="1" x14ac:dyDescent="0.2">
      <c r="A491" s="226" t="s">
        <v>53</v>
      </c>
      <c r="B491" s="228">
        <v>46097</v>
      </c>
      <c r="C491" s="229" t="s">
        <v>848</v>
      </c>
      <c r="D491" s="229" t="s">
        <v>849</v>
      </c>
      <c r="E491" s="229" t="s">
        <v>258</v>
      </c>
      <c r="F491" s="229" t="s">
        <v>252</v>
      </c>
      <c r="G491" s="227"/>
      <c r="H491" s="230">
        <v>-2664</v>
      </c>
      <c r="I491" s="231">
        <v>316777.33</v>
      </c>
      <c r="J491" s="224" t="s">
        <v>410</v>
      </c>
      <c r="K491" s="233">
        <v>-2</v>
      </c>
    </row>
    <row r="492" spans="1:11" s="226" customFormat="1" ht="12.75" customHeight="1" x14ac:dyDescent="0.2">
      <c r="A492" s="226" t="s">
        <v>69</v>
      </c>
      <c r="B492" s="228">
        <v>46097</v>
      </c>
      <c r="C492" s="229" t="s">
        <v>848</v>
      </c>
      <c r="D492" s="229" t="s">
        <v>849</v>
      </c>
      <c r="E492" s="229" t="s">
        <v>258</v>
      </c>
      <c r="F492" s="229" t="s">
        <v>252</v>
      </c>
      <c r="G492" s="227"/>
      <c r="H492" s="230">
        <v>-2430.4499999999998</v>
      </c>
      <c r="I492" s="231">
        <v>314346.88</v>
      </c>
      <c r="J492" s="224" t="s">
        <v>410</v>
      </c>
      <c r="K492" s="233">
        <v>-2</v>
      </c>
    </row>
    <row r="493" spans="1:11" s="226" customFormat="1" ht="12.75" customHeight="1" x14ac:dyDescent="0.2">
      <c r="A493" s="226" t="s">
        <v>69</v>
      </c>
      <c r="B493" s="228">
        <v>46097</v>
      </c>
      <c r="C493" s="229" t="s">
        <v>850</v>
      </c>
      <c r="D493" s="229" t="s">
        <v>55</v>
      </c>
      <c r="E493" s="229" t="s">
        <v>145</v>
      </c>
      <c r="F493" s="229" t="s">
        <v>57</v>
      </c>
      <c r="G493" s="227">
        <v>75</v>
      </c>
      <c r="H493" s="230"/>
      <c r="I493" s="231">
        <v>314421.88</v>
      </c>
      <c r="J493" s="224" t="s">
        <v>410</v>
      </c>
      <c r="K493" s="233">
        <v>2</v>
      </c>
    </row>
    <row r="494" spans="1:11" s="226" customFormat="1" ht="12.75" customHeight="1" x14ac:dyDescent="0.2">
      <c r="A494" s="226" t="s">
        <v>69</v>
      </c>
      <c r="B494" s="228">
        <v>46097</v>
      </c>
      <c r="C494" s="229" t="s">
        <v>850</v>
      </c>
      <c r="D494" s="229" t="s">
        <v>55</v>
      </c>
      <c r="E494" s="229" t="s">
        <v>145</v>
      </c>
      <c r="F494" s="229" t="s">
        <v>57</v>
      </c>
      <c r="G494" s="227">
        <v>1005</v>
      </c>
      <c r="H494" s="230"/>
      <c r="I494" s="231">
        <v>315426.88</v>
      </c>
      <c r="J494" s="224" t="s">
        <v>410</v>
      </c>
      <c r="K494" s="233">
        <v>2</v>
      </c>
    </row>
    <row r="495" spans="1:11" s="226" customFormat="1" ht="12.75" customHeight="1" x14ac:dyDescent="0.2">
      <c r="A495" s="226" t="s">
        <v>69</v>
      </c>
      <c r="B495" s="228">
        <v>46097</v>
      </c>
      <c r="C495" s="229" t="s">
        <v>850</v>
      </c>
      <c r="D495" s="229" t="s">
        <v>55</v>
      </c>
      <c r="E495" s="229" t="s">
        <v>145</v>
      </c>
      <c r="F495" s="229" t="s">
        <v>57</v>
      </c>
      <c r="G495" s="227">
        <v>49.52</v>
      </c>
      <c r="H495" s="230"/>
      <c r="I495" s="231">
        <v>315476.40000000002</v>
      </c>
      <c r="J495" s="224" t="s">
        <v>410</v>
      </c>
      <c r="K495" s="233">
        <v>2</v>
      </c>
    </row>
    <row r="496" spans="1:11" s="226" customFormat="1" ht="12.75" customHeight="1" x14ac:dyDescent="0.2">
      <c r="A496" s="226" t="s">
        <v>69</v>
      </c>
      <c r="B496" s="228">
        <v>46097</v>
      </c>
      <c r="C496" s="229" t="s">
        <v>851</v>
      </c>
      <c r="D496" s="229" t="s">
        <v>740</v>
      </c>
      <c r="E496" s="229" t="s">
        <v>179</v>
      </c>
      <c r="F496" s="229" t="s">
        <v>992</v>
      </c>
      <c r="G496" s="227"/>
      <c r="H496" s="249">
        <v>-75</v>
      </c>
      <c r="I496" s="231">
        <v>315401.40000000002</v>
      </c>
      <c r="J496" s="224" t="s">
        <v>411</v>
      </c>
      <c r="K496" s="233">
        <v>-2</v>
      </c>
    </row>
    <row r="497" spans="1:11" s="226" customFormat="1" ht="12.75" customHeight="1" x14ac:dyDescent="0.2">
      <c r="A497" s="226" t="s">
        <v>69</v>
      </c>
      <c r="B497" s="228">
        <v>46097</v>
      </c>
      <c r="C497" s="229" t="s">
        <v>851</v>
      </c>
      <c r="D497" s="229" t="s">
        <v>740</v>
      </c>
      <c r="E497" s="229" t="s">
        <v>179</v>
      </c>
      <c r="F497" s="229" t="s">
        <v>992</v>
      </c>
      <c r="G497" s="227"/>
      <c r="H497" s="249">
        <v>-75</v>
      </c>
      <c r="I497" s="231">
        <v>315326.40000000002</v>
      </c>
      <c r="J497" s="224" t="s">
        <v>411</v>
      </c>
      <c r="K497" s="233">
        <v>-2</v>
      </c>
    </row>
    <row r="498" spans="1:11" s="226" customFormat="1" ht="12.75" customHeight="1" x14ac:dyDescent="0.2">
      <c r="A498" s="226" t="s">
        <v>69</v>
      </c>
      <c r="B498" s="228">
        <v>46097</v>
      </c>
      <c r="C498" s="229" t="s">
        <v>851</v>
      </c>
      <c r="D498" s="229" t="s">
        <v>740</v>
      </c>
      <c r="E498" s="229" t="s">
        <v>179</v>
      </c>
      <c r="F498" s="229" t="s">
        <v>992</v>
      </c>
      <c r="G498" s="227"/>
      <c r="H498" s="249">
        <v>-49.52</v>
      </c>
      <c r="I498" s="231">
        <v>315276.88</v>
      </c>
      <c r="J498" s="224" t="s">
        <v>411</v>
      </c>
      <c r="K498" s="233">
        <v>-2</v>
      </c>
    </row>
    <row r="499" spans="1:11" s="226" customFormat="1" ht="12.75" customHeight="1" x14ac:dyDescent="0.2">
      <c r="A499" s="226" t="s">
        <v>69</v>
      </c>
      <c r="B499" s="228">
        <v>46097</v>
      </c>
      <c r="C499" s="229" t="s">
        <v>851</v>
      </c>
      <c r="D499" s="229" t="s">
        <v>740</v>
      </c>
      <c r="E499" s="229" t="s">
        <v>179</v>
      </c>
      <c r="F499" s="229" t="s">
        <v>992</v>
      </c>
      <c r="G499" s="227"/>
      <c r="H499" s="249">
        <v>-49.52</v>
      </c>
      <c r="I499" s="231">
        <v>315227.36</v>
      </c>
      <c r="J499" s="224" t="s">
        <v>411</v>
      </c>
      <c r="K499" s="233">
        <v>-2</v>
      </c>
    </row>
    <row r="500" spans="1:11" s="226" customFormat="1" ht="12.75" customHeight="1" x14ac:dyDescent="0.2">
      <c r="A500" s="226" t="s">
        <v>69</v>
      </c>
      <c r="B500" s="228">
        <v>46097</v>
      </c>
      <c r="C500" s="229" t="s">
        <v>851</v>
      </c>
      <c r="D500" s="229" t="s">
        <v>740</v>
      </c>
      <c r="E500" s="229" t="s">
        <v>179</v>
      </c>
      <c r="F500" s="229" t="s">
        <v>992</v>
      </c>
      <c r="G500" s="227"/>
      <c r="H500" s="249">
        <v>-50</v>
      </c>
      <c r="I500" s="231">
        <v>315177.36</v>
      </c>
      <c r="J500" s="224" t="s">
        <v>411</v>
      </c>
      <c r="K500" s="233">
        <v>-2</v>
      </c>
    </row>
    <row r="501" spans="1:11" s="226" customFormat="1" ht="12.75" customHeight="1" x14ac:dyDescent="0.2">
      <c r="A501" s="226" t="s">
        <v>69</v>
      </c>
      <c r="B501" s="228">
        <v>46097</v>
      </c>
      <c r="C501" s="229" t="s">
        <v>851</v>
      </c>
      <c r="D501" s="229" t="s">
        <v>740</v>
      </c>
      <c r="E501" s="229" t="s">
        <v>179</v>
      </c>
      <c r="F501" s="229" t="s">
        <v>992</v>
      </c>
      <c r="G501" s="227"/>
      <c r="H501" s="249">
        <v>-1020</v>
      </c>
      <c r="I501" s="231">
        <v>314157.36</v>
      </c>
      <c r="J501" s="224" t="s">
        <v>411</v>
      </c>
      <c r="K501" s="233">
        <v>-2</v>
      </c>
    </row>
    <row r="502" spans="1:11" s="226" customFormat="1" ht="12.75" customHeight="1" x14ac:dyDescent="0.2">
      <c r="A502" s="226" t="s">
        <v>69</v>
      </c>
      <c r="B502" s="228">
        <v>46097</v>
      </c>
      <c r="C502" s="229" t="s">
        <v>851</v>
      </c>
      <c r="D502" s="229" t="s">
        <v>740</v>
      </c>
      <c r="E502" s="229" t="s">
        <v>179</v>
      </c>
      <c r="F502" s="229" t="s">
        <v>992</v>
      </c>
      <c r="G502" s="227"/>
      <c r="H502" s="249">
        <v>-1020</v>
      </c>
      <c r="I502" s="231">
        <v>313137.36</v>
      </c>
      <c r="J502" s="232" t="s">
        <v>411</v>
      </c>
      <c r="K502" s="233">
        <v>-2</v>
      </c>
    </row>
    <row r="503" spans="1:11" s="226" customFormat="1" ht="12.75" customHeight="1" x14ac:dyDescent="0.2">
      <c r="A503" s="226" t="s">
        <v>53</v>
      </c>
      <c r="B503" s="228">
        <v>46098</v>
      </c>
      <c r="C503" s="229" t="s">
        <v>852</v>
      </c>
      <c r="D503" s="229" t="s">
        <v>400</v>
      </c>
      <c r="E503" s="229" t="s">
        <v>952</v>
      </c>
      <c r="F503" s="229" t="s">
        <v>993</v>
      </c>
      <c r="G503" s="227"/>
      <c r="H503" s="230">
        <v>-20</v>
      </c>
      <c r="I503" s="231">
        <v>313117.36</v>
      </c>
      <c r="J503" s="232" t="s">
        <v>399</v>
      </c>
      <c r="K503" s="233">
        <v>-2</v>
      </c>
    </row>
    <row r="504" spans="1:11" s="226" customFormat="1" ht="12.75" customHeight="1" x14ac:dyDescent="0.2">
      <c r="A504" s="226" t="s">
        <v>69</v>
      </c>
      <c r="B504" s="228">
        <v>46098</v>
      </c>
      <c r="C504" s="229" t="s">
        <v>852</v>
      </c>
      <c r="D504" s="229" t="s">
        <v>400</v>
      </c>
      <c r="E504" s="229" t="s">
        <v>952</v>
      </c>
      <c r="F504" s="229" t="s">
        <v>993</v>
      </c>
      <c r="G504" s="227"/>
      <c r="H504" s="230">
        <v>-20</v>
      </c>
      <c r="I504" s="231">
        <v>313097.36</v>
      </c>
      <c r="J504" s="232" t="s">
        <v>399</v>
      </c>
      <c r="K504" s="233">
        <v>-2</v>
      </c>
    </row>
    <row r="505" spans="1:11" s="226" customFormat="1" ht="12.75" customHeight="1" x14ac:dyDescent="0.2">
      <c r="A505" s="226" t="s">
        <v>53</v>
      </c>
      <c r="B505" s="228">
        <v>46098</v>
      </c>
      <c r="C505" s="229" t="s">
        <v>853</v>
      </c>
      <c r="D505" s="229" t="s">
        <v>402</v>
      </c>
      <c r="E505" s="229" t="s">
        <v>267</v>
      </c>
      <c r="F505" s="229" t="s">
        <v>994</v>
      </c>
      <c r="G505" s="227"/>
      <c r="H505" s="230">
        <v>-6</v>
      </c>
      <c r="I505" s="231">
        <v>313091.36</v>
      </c>
      <c r="J505" s="232" t="s">
        <v>401</v>
      </c>
      <c r="K505" s="233">
        <v>-2</v>
      </c>
    </row>
    <row r="506" spans="1:11" s="226" customFormat="1" ht="12.75" customHeight="1" x14ac:dyDescent="0.2">
      <c r="A506" s="226" t="s">
        <v>53</v>
      </c>
      <c r="B506" s="228">
        <v>46098</v>
      </c>
      <c r="C506" s="229" t="s">
        <v>853</v>
      </c>
      <c r="D506" s="229" t="s">
        <v>402</v>
      </c>
      <c r="E506" s="229" t="s">
        <v>267</v>
      </c>
      <c r="F506" s="229" t="s">
        <v>995</v>
      </c>
      <c r="G506" s="227"/>
      <c r="H506" s="230">
        <v>-3</v>
      </c>
      <c r="I506" s="231">
        <v>313088.36</v>
      </c>
      <c r="J506" s="232" t="s">
        <v>401</v>
      </c>
      <c r="K506" s="233">
        <v>-2</v>
      </c>
    </row>
    <row r="507" spans="1:11" s="226" customFormat="1" ht="12.75" customHeight="1" x14ac:dyDescent="0.2">
      <c r="A507" s="226" t="s">
        <v>53</v>
      </c>
      <c r="B507" s="228">
        <v>46098</v>
      </c>
      <c r="C507" s="229" t="s">
        <v>853</v>
      </c>
      <c r="D507" s="229" t="s">
        <v>402</v>
      </c>
      <c r="E507" s="229" t="s">
        <v>267</v>
      </c>
      <c r="F507" s="229" t="s">
        <v>996</v>
      </c>
      <c r="G507" s="227"/>
      <c r="H507" s="230">
        <v>-6</v>
      </c>
      <c r="I507" s="231">
        <v>313082.36</v>
      </c>
      <c r="J507" s="232" t="s">
        <v>401</v>
      </c>
      <c r="K507" s="233">
        <v>-2</v>
      </c>
    </row>
    <row r="508" spans="1:11" s="226" customFormat="1" ht="12.75" customHeight="1" x14ac:dyDescent="0.2">
      <c r="A508" s="226" t="s">
        <v>53</v>
      </c>
      <c r="B508" s="228">
        <v>46098</v>
      </c>
      <c r="C508" s="229" t="s">
        <v>853</v>
      </c>
      <c r="D508" s="229" t="s">
        <v>402</v>
      </c>
      <c r="E508" s="229" t="s">
        <v>267</v>
      </c>
      <c r="F508" s="229" t="s">
        <v>997</v>
      </c>
      <c r="G508" s="227"/>
      <c r="H508" s="230">
        <v>-1</v>
      </c>
      <c r="I508" s="231">
        <v>313081.36</v>
      </c>
      <c r="J508" s="232" t="s">
        <v>401</v>
      </c>
      <c r="K508" s="233">
        <v>-2</v>
      </c>
    </row>
    <row r="509" spans="1:11" s="226" customFormat="1" ht="12.75" customHeight="1" x14ac:dyDescent="0.2">
      <c r="A509" s="226" t="s">
        <v>53</v>
      </c>
      <c r="B509" s="228">
        <v>46098</v>
      </c>
      <c r="C509" s="229" t="s">
        <v>853</v>
      </c>
      <c r="D509" s="229" t="s">
        <v>402</v>
      </c>
      <c r="E509" s="229" t="s">
        <v>267</v>
      </c>
      <c r="F509" s="229" t="s">
        <v>998</v>
      </c>
      <c r="G509" s="227"/>
      <c r="H509" s="230">
        <v>-8</v>
      </c>
      <c r="I509" s="231">
        <v>313073.36</v>
      </c>
      <c r="J509" s="232" t="s">
        <v>401</v>
      </c>
      <c r="K509" s="233">
        <v>-2</v>
      </c>
    </row>
    <row r="510" spans="1:11" s="226" customFormat="1" ht="12.75" customHeight="1" x14ac:dyDescent="0.2">
      <c r="A510" s="226" t="s">
        <v>53</v>
      </c>
      <c r="B510" s="228">
        <v>46098</v>
      </c>
      <c r="C510" s="229" t="s">
        <v>853</v>
      </c>
      <c r="D510" s="229" t="s">
        <v>402</v>
      </c>
      <c r="E510" s="229" t="s">
        <v>267</v>
      </c>
      <c r="F510" s="229" t="s">
        <v>999</v>
      </c>
      <c r="G510" s="227"/>
      <c r="H510" s="230">
        <v>-16</v>
      </c>
      <c r="I510" s="231">
        <v>313057.36</v>
      </c>
      <c r="J510" s="232" t="s">
        <v>401</v>
      </c>
      <c r="K510" s="233">
        <v>-2</v>
      </c>
    </row>
    <row r="511" spans="1:11" s="226" customFormat="1" ht="12.75" customHeight="1" x14ac:dyDescent="0.2">
      <c r="A511" s="226" t="s">
        <v>53</v>
      </c>
      <c r="B511" s="228">
        <v>46098</v>
      </c>
      <c r="C511" s="229" t="s">
        <v>854</v>
      </c>
      <c r="D511" s="229" t="s">
        <v>855</v>
      </c>
      <c r="E511" s="229" t="s">
        <v>953</v>
      </c>
      <c r="F511" s="229" t="s">
        <v>1000</v>
      </c>
      <c r="G511" s="227"/>
      <c r="H511" s="230">
        <v>-225</v>
      </c>
      <c r="I511" s="231">
        <v>312832.36</v>
      </c>
      <c r="J511" s="232"/>
      <c r="K511" s="233">
        <v>-1</v>
      </c>
    </row>
    <row r="512" spans="1:11" s="226" customFormat="1" ht="12.75" customHeight="1" x14ac:dyDescent="0.2">
      <c r="A512" s="226" t="s">
        <v>69</v>
      </c>
      <c r="B512" s="228">
        <v>46098</v>
      </c>
      <c r="C512" s="229" t="s">
        <v>854</v>
      </c>
      <c r="D512" s="229" t="s">
        <v>855</v>
      </c>
      <c r="E512" s="229" t="s">
        <v>953</v>
      </c>
      <c r="F512" s="229" t="s">
        <v>1000</v>
      </c>
      <c r="G512" s="227"/>
      <c r="H512" s="230">
        <v>-225</v>
      </c>
      <c r="I512" s="231">
        <v>312607.35999999999</v>
      </c>
      <c r="J512" s="232"/>
      <c r="K512" s="233">
        <v>-1</v>
      </c>
    </row>
    <row r="513" spans="1:11" s="226" customFormat="1" ht="12.75" customHeight="1" x14ac:dyDescent="0.2">
      <c r="A513" s="226" t="s">
        <v>53</v>
      </c>
      <c r="B513" s="228">
        <v>46098</v>
      </c>
      <c r="C513" s="229" t="s">
        <v>856</v>
      </c>
      <c r="D513" s="229" t="s">
        <v>857</v>
      </c>
      <c r="E513" s="229" t="s">
        <v>258</v>
      </c>
      <c r="F513" s="229" t="s">
        <v>273</v>
      </c>
      <c r="G513" s="227"/>
      <c r="H513" s="230">
        <v>-131.55000000000001</v>
      </c>
      <c r="I513" s="231">
        <v>312475.81</v>
      </c>
      <c r="J513" s="224" t="s">
        <v>410</v>
      </c>
      <c r="K513" s="233">
        <v>-4</v>
      </c>
    </row>
    <row r="514" spans="1:11" s="226" customFormat="1" ht="12.75" customHeight="1" x14ac:dyDescent="0.2">
      <c r="A514" s="226" t="s">
        <v>69</v>
      </c>
      <c r="B514" s="228">
        <v>46098</v>
      </c>
      <c r="C514" s="229" t="s">
        <v>856</v>
      </c>
      <c r="D514" s="229" t="s">
        <v>857</v>
      </c>
      <c r="E514" s="229" t="s">
        <v>258</v>
      </c>
      <c r="F514" s="229" t="s">
        <v>273</v>
      </c>
      <c r="G514" s="227"/>
      <c r="H514" s="230">
        <v>-131.55000000000001</v>
      </c>
      <c r="I514" s="231">
        <v>312344.26</v>
      </c>
      <c r="J514" s="232">
        <v>46099</v>
      </c>
      <c r="K514" s="233">
        <v>-4</v>
      </c>
    </row>
    <row r="515" spans="1:11" s="226" customFormat="1" ht="12.75" customHeight="1" x14ac:dyDescent="0.2">
      <c r="A515" s="226" t="s">
        <v>53</v>
      </c>
      <c r="B515" s="228">
        <v>46098</v>
      </c>
      <c r="C515" s="229" t="s">
        <v>858</v>
      </c>
      <c r="D515" s="229" t="s">
        <v>55</v>
      </c>
      <c r="E515" s="229" t="s">
        <v>86</v>
      </c>
      <c r="F515" s="229" t="s">
        <v>57</v>
      </c>
      <c r="G515" s="227">
        <v>1000</v>
      </c>
      <c r="H515" s="230"/>
      <c r="I515" s="231">
        <v>313344.26</v>
      </c>
      <c r="J515" s="232" t="s">
        <v>409</v>
      </c>
      <c r="K515" s="233">
        <v>2</v>
      </c>
    </row>
    <row r="516" spans="1:11" s="226" customFormat="1" ht="12.75" customHeight="1" x14ac:dyDescent="0.2">
      <c r="A516" s="226" t="s">
        <v>53</v>
      </c>
      <c r="B516" s="228">
        <v>46098</v>
      </c>
      <c r="C516" s="229" t="s">
        <v>858</v>
      </c>
      <c r="D516" s="229" t="s">
        <v>55</v>
      </c>
      <c r="E516" s="229" t="s">
        <v>86</v>
      </c>
      <c r="F516" s="229" t="s">
        <v>57</v>
      </c>
      <c r="G516" s="227">
        <v>50</v>
      </c>
      <c r="H516" s="230"/>
      <c r="I516" s="231">
        <v>313394.26</v>
      </c>
      <c r="J516" s="232" t="s">
        <v>409</v>
      </c>
      <c r="K516" s="233">
        <v>2</v>
      </c>
    </row>
    <row r="517" spans="1:11" s="226" customFormat="1" ht="12.75" customHeight="1" x14ac:dyDescent="0.2">
      <c r="A517" s="226" t="s">
        <v>53</v>
      </c>
      <c r="B517" s="228">
        <v>46098</v>
      </c>
      <c r="C517" s="229" t="s">
        <v>858</v>
      </c>
      <c r="D517" s="229" t="s">
        <v>55</v>
      </c>
      <c r="E517" s="229" t="s">
        <v>86</v>
      </c>
      <c r="F517" s="229" t="s">
        <v>57</v>
      </c>
      <c r="G517" s="227">
        <v>48.96</v>
      </c>
      <c r="H517" s="230"/>
      <c r="I517" s="231">
        <v>313443.21999999997</v>
      </c>
      <c r="J517" s="232" t="s">
        <v>409</v>
      </c>
      <c r="K517" s="233">
        <v>2</v>
      </c>
    </row>
    <row r="518" spans="1:11" s="226" customFormat="1" ht="12.75" customHeight="1" x14ac:dyDescent="0.2">
      <c r="A518" s="226" t="s">
        <v>53</v>
      </c>
      <c r="B518" s="228">
        <v>46098</v>
      </c>
      <c r="C518" s="229" t="s">
        <v>858</v>
      </c>
      <c r="D518" s="229" t="s">
        <v>55</v>
      </c>
      <c r="E518" s="229" t="s">
        <v>86</v>
      </c>
      <c r="F518" s="229" t="s">
        <v>57</v>
      </c>
      <c r="G518" s="227">
        <v>75</v>
      </c>
      <c r="H518" s="230"/>
      <c r="I518" s="231">
        <v>313518.21999999997</v>
      </c>
      <c r="J518" s="232" t="s">
        <v>409</v>
      </c>
      <c r="K518" s="233">
        <v>2</v>
      </c>
    </row>
    <row r="519" spans="1:11" s="226" customFormat="1" ht="12.75" customHeight="1" x14ac:dyDescent="0.2">
      <c r="A519" s="226" t="s">
        <v>53</v>
      </c>
      <c r="B519" s="228">
        <v>46098</v>
      </c>
      <c r="C519" s="229" t="s">
        <v>858</v>
      </c>
      <c r="D519" s="229" t="s">
        <v>55</v>
      </c>
      <c r="E519" s="229" t="s">
        <v>86</v>
      </c>
      <c r="F519" s="229" t="s">
        <v>57</v>
      </c>
      <c r="G519" s="227">
        <v>75</v>
      </c>
      <c r="H519" s="230"/>
      <c r="I519" s="231">
        <v>313593.21999999997</v>
      </c>
      <c r="J519" s="232" t="s">
        <v>409</v>
      </c>
      <c r="K519" s="233">
        <v>2</v>
      </c>
    </row>
    <row r="520" spans="1:11" s="226" customFormat="1" ht="12.75" customHeight="1" x14ac:dyDescent="0.2">
      <c r="A520" s="226" t="s">
        <v>53</v>
      </c>
      <c r="B520" s="228">
        <v>46099</v>
      </c>
      <c r="C520" s="229" t="s">
        <v>859</v>
      </c>
      <c r="D520" s="229" t="s">
        <v>857</v>
      </c>
      <c r="E520" s="229" t="s">
        <v>258</v>
      </c>
      <c r="F520" s="229" t="s">
        <v>273</v>
      </c>
      <c r="G520" s="227">
        <v>131.55000000000001</v>
      </c>
      <c r="H520" s="230"/>
      <c r="I520" s="231">
        <v>313724.77</v>
      </c>
      <c r="J520" s="232">
        <v>46098</v>
      </c>
      <c r="K520" s="233">
        <v>4</v>
      </c>
    </row>
    <row r="521" spans="1:11" s="226" customFormat="1" ht="12.75" customHeight="1" x14ac:dyDescent="0.2">
      <c r="A521" s="226" t="s">
        <v>69</v>
      </c>
      <c r="B521" s="228">
        <v>46099</v>
      </c>
      <c r="C521" s="229" t="s">
        <v>859</v>
      </c>
      <c r="D521" s="229" t="s">
        <v>857</v>
      </c>
      <c r="E521" s="229" t="s">
        <v>258</v>
      </c>
      <c r="F521" s="229" t="s">
        <v>273</v>
      </c>
      <c r="G521" s="227">
        <v>131.55000000000001</v>
      </c>
      <c r="H521" s="230"/>
      <c r="I521" s="231">
        <v>313856.32</v>
      </c>
      <c r="J521" s="232">
        <v>46098</v>
      </c>
      <c r="K521" s="233">
        <v>4</v>
      </c>
    </row>
    <row r="522" spans="1:11" s="226" customFormat="1" ht="12.75" customHeight="1" x14ac:dyDescent="0.2">
      <c r="A522" s="226" t="s">
        <v>53</v>
      </c>
      <c r="B522" s="228">
        <v>46099</v>
      </c>
      <c r="C522" s="229" t="s">
        <v>860</v>
      </c>
      <c r="D522" s="229" t="s">
        <v>861</v>
      </c>
      <c r="E522" s="229" t="s">
        <v>258</v>
      </c>
      <c r="F522" s="229" t="s">
        <v>273</v>
      </c>
      <c r="G522" s="227"/>
      <c r="H522" s="230">
        <v>-131.55000000000001</v>
      </c>
      <c r="I522" s="231">
        <v>313724.77</v>
      </c>
      <c r="J522" s="232" t="s">
        <v>409</v>
      </c>
      <c r="K522" s="233">
        <v>-2</v>
      </c>
    </row>
    <row r="523" spans="1:11" s="226" customFormat="1" ht="12.75" customHeight="1" x14ac:dyDescent="0.2">
      <c r="A523" s="226" t="s">
        <v>69</v>
      </c>
      <c r="B523" s="228">
        <v>46099</v>
      </c>
      <c r="C523" s="229" t="s">
        <v>860</v>
      </c>
      <c r="D523" s="229" t="s">
        <v>861</v>
      </c>
      <c r="E523" s="229" t="s">
        <v>258</v>
      </c>
      <c r="F523" s="229" t="s">
        <v>273</v>
      </c>
      <c r="G523" s="227"/>
      <c r="H523" s="230">
        <v>-131.55000000000001</v>
      </c>
      <c r="I523" s="231">
        <v>313593.21999999997</v>
      </c>
      <c r="J523" s="232" t="s">
        <v>409</v>
      </c>
      <c r="K523" s="233">
        <v>-2</v>
      </c>
    </row>
    <row r="524" spans="1:11" s="226" customFormat="1" ht="12.75" customHeight="1" x14ac:dyDescent="0.2">
      <c r="A524" s="226" t="s">
        <v>53</v>
      </c>
      <c r="B524" s="228">
        <v>46099</v>
      </c>
      <c r="C524" s="229" t="s">
        <v>862</v>
      </c>
      <c r="D524" s="229" t="s">
        <v>287</v>
      </c>
      <c r="E524" s="229" t="s">
        <v>258</v>
      </c>
      <c r="F524" s="229" t="s">
        <v>294</v>
      </c>
      <c r="G524" s="227">
        <v>266.06</v>
      </c>
      <c r="H524" s="230"/>
      <c r="I524" s="231">
        <v>313859.28000000003</v>
      </c>
      <c r="J524" s="217">
        <v>46052</v>
      </c>
      <c r="K524" s="233">
        <v>4</v>
      </c>
    </row>
    <row r="525" spans="1:11" s="226" customFormat="1" ht="12.75" customHeight="1" x14ac:dyDescent="0.2">
      <c r="A525" s="226" t="s">
        <v>69</v>
      </c>
      <c r="B525" s="228">
        <v>46099</v>
      </c>
      <c r="C525" s="229" t="s">
        <v>862</v>
      </c>
      <c r="D525" s="229" t="s">
        <v>287</v>
      </c>
      <c r="E525" s="229" t="s">
        <v>258</v>
      </c>
      <c r="F525" s="229" t="s">
        <v>294</v>
      </c>
      <c r="G525" s="227">
        <v>252.75</v>
      </c>
      <c r="H525" s="230"/>
      <c r="I525" s="231">
        <v>314112.03000000003</v>
      </c>
      <c r="J525" s="217">
        <v>46052</v>
      </c>
      <c r="K525" s="233">
        <v>4</v>
      </c>
    </row>
    <row r="526" spans="1:11" s="226" customFormat="1" ht="12.75" customHeight="1" x14ac:dyDescent="0.2">
      <c r="A526" s="226" t="s">
        <v>53</v>
      </c>
      <c r="B526" s="228">
        <v>46099</v>
      </c>
      <c r="C526" s="229" t="s">
        <v>863</v>
      </c>
      <c r="D526" s="229" t="s">
        <v>864</v>
      </c>
      <c r="E526" s="229" t="s">
        <v>258</v>
      </c>
      <c r="F526" s="229" t="s">
        <v>294</v>
      </c>
      <c r="G526" s="227"/>
      <c r="H526" s="230">
        <v>-266.06</v>
      </c>
      <c r="I526" s="231">
        <v>313845.96999999997</v>
      </c>
      <c r="J526" s="232" t="s">
        <v>409</v>
      </c>
      <c r="K526" s="233">
        <v>-2</v>
      </c>
    </row>
    <row r="527" spans="1:11" s="226" customFormat="1" ht="12.75" customHeight="1" x14ac:dyDescent="0.2">
      <c r="A527" s="226" t="s">
        <v>69</v>
      </c>
      <c r="B527" s="228">
        <v>46099</v>
      </c>
      <c r="C527" s="229" t="s">
        <v>863</v>
      </c>
      <c r="D527" s="229" t="s">
        <v>864</v>
      </c>
      <c r="E527" s="229" t="s">
        <v>258</v>
      </c>
      <c r="F527" s="229" t="s">
        <v>294</v>
      </c>
      <c r="G527" s="227"/>
      <c r="H527" s="230">
        <v>-252.75</v>
      </c>
      <c r="I527" s="231">
        <v>313593.21999999997</v>
      </c>
      <c r="J527" s="232" t="s">
        <v>409</v>
      </c>
      <c r="K527" s="233">
        <v>-2</v>
      </c>
    </row>
    <row r="528" spans="1:11" s="226" customFormat="1" ht="12.75" customHeight="1" x14ac:dyDescent="0.2">
      <c r="A528" s="226" t="s">
        <v>53</v>
      </c>
      <c r="B528" s="228">
        <v>46099</v>
      </c>
      <c r="C528" s="229" t="s">
        <v>865</v>
      </c>
      <c r="D528" s="229" t="s">
        <v>866</v>
      </c>
      <c r="E528" s="229" t="s">
        <v>189</v>
      </c>
      <c r="F528" s="229" t="s">
        <v>1001</v>
      </c>
      <c r="G528" s="227"/>
      <c r="H528" s="254">
        <v>-15.95</v>
      </c>
      <c r="I528" s="231">
        <v>313577.27</v>
      </c>
      <c r="J528" s="232" t="s">
        <v>410</v>
      </c>
      <c r="K528" s="233">
        <v>-2</v>
      </c>
    </row>
    <row r="529" spans="1:11" s="226" customFormat="1" ht="12.75" customHeight="1" x14ac:dyDescent="0.2">
      <c r="A529" s="226" t="s">
        <v>53</v>
      </c>
      <c r="B529" s="228">
        <v>46099</v>
      </c>
      <c r="C529" s="229" t="s">
        <v>865</v>
      </c>
      <c r="D529" s="229" t="s">
        <v>866</v>
      </c>
      <c r="E529" s="229" t="s">
        <v>189</v>
      </c>
      <c r="F529" s="229" t="s">
        <v>1001</v>
      </c>
      <c r="G529" s="227"/>
      <c r="H529" s="254">
        <v>-663.82</v>
      </c>
      <c r="I529" s="231">
        <v>312913.45</v>
      </c>
      <c r="J529" s="232" t="s">
        <v>410</v>
      </c>
      <c r="K529" s="233">
        <v>-2</v>
      </c>
    </row>
    <row r="530" spans="1:11" s="226" customFormat="1" ht="12.75" customHeight="1" x14ac:dyDescent="0.2">
      <c r="A530" s="226" t="s">
        <v>53</v>
      </c>
      <c r="B530" s="228">
        <v>46099</v>
      </c>
      <c r="C530" s="229" t="s">
        <v>865</v>
      </c>
      <c r="D530" s="229" t="s">
        <v>866</v>
      </c>
      <c r="E530" s="229" t="s">
        <v>189</v>
      </c>
      <c r="F530" s="229" t="s">
        <v>1001</v>
      </c>
      <c r="G530" s="227"/>
      <c r="H530" s="254">
        <v>-387.68</v>
      </c>
      <c r="I530" s="231">
        <v>312525.77</v>
      </c>
      <c r="J530" s="232" t="s">
        <v>410</v>
      </c>
      <c r="K530" s="233">
        <v>-2</v>
      </c>
    </row>
    <row r="531" spans="1:11" s="226" customFormat="1" ht="12.75" customHeight="1" x14ac:dyDescent="0.2">
      <c r="A531" s="226" t="s">
        <v>53</v>
      </c>
      <c r="B531" s="228">
        <v>46099</v>
      </c>
      <c r="C531" s="229" t="s">
        <v>865</v>
      </c>
      <c r="D531" s="229" t="s">
        <v>866</v>
      </c>
      <c r="E531" s="229" t="s">
        <v>189</v>
      </c>
      <c r="F531" s="229" t="s">
        <v>1001</v>
      </c>
      <c r="G531" s="227"/>
      <c r="H531" s="254">
        <v>-83.26</v>
      </c>
      <c r="I531" s="231">
        <v>312442.51</v>
      </c>
      <c r="J531" s="232" t="s">
        <v>410</v>
      </c>
      <c r="K531" s="233">
        <v>-2</v>
      </c>
    </row>
    <row r="532" spans="1:11" s="226" customFormat="1" ht="12.75" customHeight="1" x14ac:dyDescent="0.2">
      <c r="A532" s="226" t="s">
        <v>53</v>
      </c>
      <c r="B532" s="228">
        <v>46099</v>
      </c>
      <c r="C532" s="229" t="s">
        <v>865</v>
      </c>
      <c r="D532" s="229" t="s">
        <v>866</v>
      </c>
      <c r="E532" s="229" t="s">
        <v>189</v>
      </c>
      <c r="F532" s="229" t="s">
        <v>1001</v>
      </c>
      <c r="G532" s="255">
        <v>20.54</v>
      </c>
      <c r="H532" s="230"/>
      <c r="I532" s="231">
        <v>312463.05</v>
      </c>
      <c r="J532" s="232" t="s">
        <v>410</v>
      </c>
      <c r="K532" s="233">
        <v>-2</v>
      </c>
    </row>
    <row r="533" spans="1:11" s="226" customFormat="1" ht="12.75" customHeight="1" x14ac:dyDescent="0.2">
      <c r="A533" s="226" t="s">
        <v>53</v>
      </c>
      <c r="B533" s="228">
        <v>46099</v>
      </c>
      <c r="C533" s="229" t="s">
        <v>865</v>
      </c>
      <c r="D533" s="229" t="s">
        <v>866</v>
      </c>
      <c r="E533" s="229" t="s">
        <v>189</v>
      </c>
      <c r="F533" s="229" t="s">
        <v>1001</v>
      </c>
      <c r="G533" s="255">
        <v>2.04</v>
      </c>
      <c r="H533" s="230"/>
      <c r="I533" s="231">
        <v>312465.09000000003</v>
      </c>
      <c r="J533" s="232" t="s">
        <v>410</v>
      </c>
      <c r="K533" s="233">
        <v>-2</v>
      </c>
    </row>
    <row r="534" spans="1:11" s="226" customFormat="1" ht="12.75" customHeight="1" x14ac:dyDescent="0.2">
      <c r="A534" s="226" t="s">
        <v>53</v>
      </c>
      <c r="B534" s="228">
        <v>46099</v>
      </c>
      <c r="C534" s="229" t="s">
        <v>865</v>
      </c>
      <c r="D534" s="229" t="s">
        <v>866</v>
      </c>
      <c r="E534" s="229" t="s">
        <v>189</v>
      </c>
      <c r="F534" s="229" t="s">
        <v>1001</v>
      </c>
      <c r="G534" s="255">
        <v>2.19</v>
      </c>
      <c r="H534" s="230"/>
      <c r="I534" s="231">
        <v>312467.28000000003</v>
      </c>
      <c r="J534" s="232" t="s">
        <v>410</v>
      </c>
      <c r="K534" s="233">
        <v>-2</v>
      </c>
    </row>
    <row r="535" spans="1:11" s="226" customFormat="1" ht="12.75" customHeight="1" x14ac:dyDescent="0.2">
      <c r="A535" s="226" t="s">
        <v>53</v>
      </c>
      <c r="B535" s="228">
        <v>46099</v>
      </c>
      <c r="C535" s="229" t="s">
        <v>865</v>
      </c>
      <c r="D535" s="229" t="s">
        <v>866</v>
      </c>
      <c r="E535" s="229" t="s">
        <v>189</v>
      </c>
      <c r="F535" s="229" t="s">
        <v>1001</v>
      </c>
      <c r="G535" s="255">
        <v>0.14000000000000001</v>
      </c>
      <c r="H535" s="230"/>
      <c r="I535" s="231">
        <v>312467.42</v>
      </c>
      <c r="J535" s="232" t="s">
        <v>410</v>
      </c>
      <c r="K535" s="233">
        <v>-2</v>
      </c>
    </row>
    <row r="536" spans="1:11" s="226" customFormat="1" ht="12.75" customHeight="1" x14ac:dyDescent="0.2">
      <c r="A536" s="226" t="s">
        <v>53</v>
      </c>
      <c r="B536" s="228">
        <v>46099</v>
      </c>
      <c r="C536" s="229" t="s">
        <v>865</v>
      </c>
      <c r="D536" s="229" t="s">
        <v>866</v>
      </c>
      <c r="E536" s="229" t="s">
        <v>189</v>
      </c>
      <c r="F536" s="229" t="s">
        <v>1002</v>
      </c>
      <c r="G536" s="227"/>
      <c r="H536" s="254">
        <v>-6.64</v>
      </c>
      <c r="I536" s="231">
        <v>312460.78000000003</v>
      </c>
      <c r="J536" s="232" t="s">
        <v>410</v>
      </c>
      <c r="K536" s="233">
        <v>-2</v>
      </c>
    </row>
    <row r="537" spans="1:11" s="226" customFormat="1" ht="12.75" customHeight="1" x14ac:dyDescent="0.2">
      <c r="A537" s="226" t="s">
        <v>53</v>
      </c>
      <c r="B537" s="228">
        <v>46099</v>
      </c>
      <c r="C537" s="229" t="s">
        <v>865</v>
      </c>
      <c r="D537" s="229" t="s">
        <v>866</v>
      </c>
      <c r="E537" s="229" t="s">
        <v>189</v>
      </c>
      <c r="F537" s="229" t="s">
        <v>1002</v>
      </c>
      <c r="G537" s="227"/>
      <c r="H537" s="254">
        <v>-6.83</v>
      </c>
      <c r="I537" s="231">
        <v>312453.95</v>
      </c>
      <c r="J537" s="232" t="s">
        <v>410</v>
      </c>
      <c r="K537" s="233">
        <v>-2</v>
      </c>
    </row>
    <row r="538" spans="1:11" s="226" customFormat="1" ht="12.75" customHeight="1" x14ac:dyDescent="0.2">
      <c r="A538" s="226" t="s">
        <v>53</v>
      </c>
      <c r="B538" s="228">
        <v>46099</v>
      </c>
      <c r="C538" s="229" t="s">
        <v>865</v>
      </c>
      <c r="D538" s="229" t="s">
        <v>866</v>
      </c>
      <c r="E538" s="229" t="s">
        <v>189</v>
      </c>
      <c r="F538" s="229" t="s">
        <v>1002</v>
      </c>
      <c r="G538" s="227"/>
      <c r="H538" s="254">
        <v>-0.52</v>
      </c>
      <c r="I538" s="231">
        <v>312453.43</v>
      </c>
      <c r="J538" s="232" t="s">
        <v>410</v>
      </c>
      <c r="K538" s="233">
        <v>-2</v>
      </c>
    </row>
    <row r="539" spans="1:11" s="226" customFormat="1" ht="12.75" customHeight="1" x14ac:dyDescent="0.2">
      <c r="A539" s="226" t="s">
        <v>69</v>
      </c>
      <c r="B539" s="228">
        <v>46099</v>
      </c>
      <c r="C539" s="229" t="s">
        <v>865</v>
      </c>
      <c r="D539" s="229" t="s">
        <v>866</v>
      </c>
      <c r="E539" s="229" t="s">
        <v>189</v>
      </c>
      <c r="F539" s="229" t="s">
        <v>1001</v>
      </c>
      <c r="G539" s="227"/>
      <c r="H539" s="254">
        <v>-6.6</v>
      </c>
      <c r="I539" s="231">
        <v>312446.83</v>
      </c>
      <c r="J539" s="232" t="s">
        <v>410</v>
      </c>
      <c r="K539" s="233">
        <v>-2</v>
      </c>
    </row>
    <row r="540" spans="1:11" s="226" customFormat="1" ht="12.75" customHeight="1" x14ac:dyDescent="0.2">
      <c r="A540" s="226" t="s">
        <v>69</v>
      </c>
      <c r="B540" s="228">
        <v>46099</v>
      </c>
      <c r="C540" s="229" t="s">
        <v>865</v>
      </c>
      <c r="D540" s="229" t="s">
        <v>866</v>
      </c>
      <c r="E540" s="229" t="s">
        <v>189</v>
      </c>
      <c r="F540" s="229" t="s">
        <v>1001</v>
      </c>
      <c r="G540" s="227"/>
      <c r="H540" s="254">
        <v>-15.95</v>
      </c>
      <c r="I540" s="231">
        <v>312430.88</v>
      </c>
      <c r="J540" s="232" t="s">
        <v>410</v>
      </c>
      <c r="K540" s="233">
        <v>-2</v>
      </c>
    </row>
    <row r="541" spans="1:11" s="226" customFormat="1" ht="12.75" customHeight="1" x14ac:dyDescent="0.2">
      <c r="A541" s="226" t="s">
        <v>69</v>
      </c>
      <c r="B541" s="228">
        <v>46099</v>
      </c>
      <c r="C541" s="229" t="s">
        <v>865</v>
      </c>
      <c r="D541" s="229" t="s">
        <v>866</v>
      </c>
      <c r="E541" s="229" t="s">
        <v>189</v>
      </c>
      <c r="F541" s="229" t="s">
        <v>1001</v>
      </c>
      <c r="G541" s="227"/>
      <c r="H541" s="254">
        <v>-53.6</v>
      </c>
      <c r="I541" s="231">
        <v>312377.28000000003</v>
      </c>
      <c r="J541" s="232" t="s">
        <v>410</v>
      </c>
      <c r="K541" s="233">
        <v>-2</v>
      </c>
    </row>
    <row r="542" spans="1:11" s="226" customFormat="1" ht="12.75" customHeight="1" x14ac:dyDescent="0.2">
      <c r="A542" s="226" t="s">
        <v>69</v>
      </c>
      <c r="B542" s="228">
        <v>46099</v>
      </c>
      <c r="C542" s="229" t="s">
        <v>865</v>
      </c>
      <c r="D542" s="229" t="s">
        <v>866</v>
      </c>
      <c r="E542" s="229" t="s">
        <v>189</v>
      </c>
      <c r="F542" s="229" t="s">
        <v>1001</v>
      </c>
      <c r="G542" s="227"/>
      <c r="H542" s="254">
        <v>-387.68</v>
      </c>
      <c r="I542" s="231">
        <v>311989.59999999998</v>
      </c>
      <c r="J542" s="232" t="s">
        <v>410</v>
      </c>
      <c r="K542" s="233">
        <v>-2</v>
      </c>
    </row>
    <row r="543" spans="1:11" s="226" customFormat="1" ht="12.75" customHeight="1" x14ac:dyDescent="0.2">
      <c r="A543" s="226" t="s">
        <v>69</v>
      </c>
      <c r="B543" s="228">
        <v>46099</v>
      </c>
      <c r="C543" s="229" t="s">
        <v>865</v>
      </c>
      <c r="D543" s="229" t="s">
        <v>866</v>
      </c>
      <c r="E543" s="229" t="s">
        <v>189</v>
      </c>
      <c r="F543" s="229" t="s">
        <v>1001</v>
      </c>
      <c r="G543" s="227"/>
      <c r="H543" s="254">
        <v>-32.03</v>
      </c>
      <c r="I543" s="231">
        <v>311957.57</v>
      </c>
      <c r="J543" s="232" t="s">
        <v>410</v>
      </c>
      <c r="K543" s="233">
        <v>-2</v>
      </c>
    </row>
    <row r="544" spans="1:11" s="226" customFormat="1" ht="12.75" customHeight="1" x14ac:dyDescent="0.2">
      <c r="A544" s="226" t="s">
        <v>69</v>
      </c>
      <c r="B544" s="228">
        <v>46099</v>
      </c>
      <c r="C544" s="229" t="s">
        <v>865</v>
      </c>
      <c r="D544" s="229" t="s">
        <v>866</v>
      </c>
      <c r="E544" s="229" t="s">
        <v>189</v>
      </c>
      <c r="F544" s="229" t="s">
        <v>1001</v>
      </c>
      <c r="G544" s="255">
        <v>20.41</v>
      </c>
      <c r="H544" s="230"/>
      <c r="I544" s="231">
        <v>311977.98</v>
      </c>
      <c r="J544" s="232" t="s">
        <v>410</v>
      </c>
      <c r="K544" s="233">
        <v>-2</v>
      </c>
    </row>
    <row r="545" spans="1:11" s="226" customFormat="1" ht="12.75" customHeight="1" x14ac:dyDescent="0.2">
      <c r="A545" s="226" t="s">
        <v>69</v>
      </c>
      <c r="B545" s="228">
        <v>46099</v>
      </c>
      <c r="C545" s="229" t="s">
        <v>865</v>
      </c>
      <c r="D545" s="229" t="s">
        <v>866</v>
      </c>
      <c r="E545" s="229" t="s">
        <v>189</v>
      </c>
      <c r="F545" s="229" t="s">
        <v>1001</v>
      </c>
      <c r="G545" s="255">
        <v>2.04</v>
      </c>
      <c r="H545" s="230"/>
      <c r="I545" s="231">
        <v>311980.02</v>
      </c>
      <c r="J545" s="232" t="s">
        <v>410</v>
      </c>
      <c r="K545" s="233">
        <v>-2</v>
      </c>
    </row>
    <row r="546" spans="1:11" s="226" customFormat="1" ht="12.75" customHeight="1" x14ac:dyDescent="0.2">
      <c r="A546" s="226" t="s">
        <v>69</v>
      </c>
      <c r="B546" s="228">
        <v>46099</v>
      </c>
      <c r="C546" s="229" t="s">
        <v>865</v>
      </c>
      <c r="D546" s="229" t="s">
        <v>866</v>
      </c>
      <c r="E546" s="229" t="s">
        <v>189</v>
      </c>
      <c r="F546" s="229" t="s">
        <v>1001</v>
      </c>
      <c r="G546" s="255">
        <v>2.17</v>
      </c>
      <c r="H546" s="230"/>
      <c r="I546" s="231">
        <v>311982.19</v>
      </c>
      <c r="J546" s="232" t="s">
        <v>410</v>
      </c>
      <c r="K546" s="233">
        <v>-2</v>
      </c>
    </row>
    <row r="547" spans="1:11" s="226" customFormat="1" ht="12.75" customHeight="1" x14ac:dyDescent="0.2">
      <c r="A547" s="226" t="s">
        <v>69</v>
      </c>
      <c r="B547" s="228">
        <v>46099</v>
      </c>
      <c r="C547" s="229" t="s">
        <v>865</v>
      </c>
      <c r="D547" s="229" t="s">
        <v>866</v>
      </c>
      <c r="E547" s="229" t="s">
        <v>189</v>
      </c>
      <c r="F547" s="229" t="s">
        <v>1001</v>
      </c>
      <c r="G547" s="255">
        <v>0.13</v>
      </c>
      <c r="H547" s="230"/>
      <c r="I547" s="231">
        <v>311982.32</v>
      </c>
      <c r="J547" s="232" t="s">
        <v>410</v>
      </c>
      <c r="K547" s="233">
        <v>-2</v>
      </c>
    </row>
    <row r="548" spans="1:11" s="226" customFormat="1" ht="12.75" customHeight="1" x14ac:dyDescent="0.2">
      <c r="A548" s="226" t="s">
        <v>69</v>
      </c>
      <c r="B548" s="228">
        <v>46099</v>
      </c>
      <c r="C548" s="229" t="s">
        <v>867</v>
      </c>
      <c r="D548" s="229" t="s">
        <v>868</v>
      </c>
      <c r="E548" s="229" t="s">
        <v>278</v>
      </c>
      <c r="F548" s="229" t="s">
        <v>18</v>
      </c>
      <c r="G548" s="227">
        <v>49.52</v>
      </c>
      <c r="H548" s="230"/>
      <c r="I548" s="231">
        <v>312031.84000000003</v>
      </c>
      <c r="J548" s="232" t="s">
        <v>403</v>
      </c>
      <c r="K548" s="233">
        <v>2</v>
      </c>
    </row>
    <row r="549" spans="1:11" s="226" customFormat="1" ht="12.75" customHeight="1" x14ac:dyDescent="0.2">
      <c r="A549" s="226" t="s">
        <v>69</v>
      </c>
      <c r="B549" s="228">
        <v>46099</v>
      </c>
      <c r="C549" s="229" t="s">
        <v>867</v>
      </c>
      <c r="D549" s="229" t="s">
        <v>868</v>
      </c>
      <c r="E549" s="229" t="s">
        <v>278</v>
      </c>
      <c r="F549" s="229" t="s">
        <v>18</v>
      </c>
      <c r="G549" s="227">
        <v>49.52</v>
      </c>
      <c r="H549" s="230"/>
      <c r="I549" s="231">
        <v>312081.36</v>
      </c>
      <c r="J549" s="224" t="s">
        <v>403</v>
      </c>
      <c r="K549" s="233">
        <v>2</v>
      </c>
    </row>
    <row r="550" spans="1:11" s="226" customFormat="1" ht="12.75" customHeight="1" x14ac:dyDescent="0.2">
      <c r="A550" s="226" t="s">
        <v>69</v>
      </c>
      <c r="B550" s="228">
        <v>46099</v>
      </c>
      <c r="C550" s="229" t="s">
        <v>867</v>
      </c>
      <c r="D550" s="229" t="s">
        <v>868</v>
      </c>
      <c r="E550" s="229" t="s">
        <v>278</v>
      </c>
      <c r="F550" s="229" t="s">
        <v>18</v>
      </c>
      <c r="G550" s="227">
        <v>1005</v>
      </c>
      <c r="H550" s="230"/>
      <c r="I550" s="231">
        <v>313086.36</v>
      </c>
      <c r="J550" s="224" t="s">
        <v>403</v>
      </c>
      <c r="K550" s="233">
        <v>2</v>
      </c>
    </row>
    <row r="551" spans="1:11" s="226" customFormat="1" ht="12.75" customHeight="1" x14ac:dyDescent="0.2">
      <c r="A551" s="226" t="s">
        <v>69</v>
      </c>
      <c r="B551" s="228">
        <v>46099</v>
      </c>
      <c r="C551" s="229" t="s">
        <v>867</v>
      </c>
      <c r="D551" s="229" t="s">
        <v>868</v>
      </c>
      <c r="E551" s="229" t="s">
        <v>278</v>
      </c>
      <c r="F551" s="229" t="s">
        <v>18</v>
      </c>
      <c r="G551" s="227">
        <v>1005</v>
      </c>
      <c r="H551" s="230"/>
      <c r="I551" s="231">
        <v>314091.36</v>
      </c>
      <c r="J551" s="224" t="s">
        <v>403</v>
      </c>
      <c r="K551" s="233">
        <v>2</v>
      </c>
    </row>
    <row r="552" spans="1:11" s="226" customFormat="1" ht="12.75" customHeight="1" x14ac:dyDescent="0.2">
      <c r="A552" s="226" t="s">
        <v>69</v>
      </c>
      <c r="B552" s="228">
        <v>46099</v>
      </c>
      <c r="C552" s="229" t="s">
        <v>867</v>
      </c>
      <c r="D552" s="229" t="s">
        <v>868</v>
      </c>
      <c r="E552" s="229" t="s">
        <v>278</v>
      </c>
      <c r="F552" s="229" t="s">
        <v>18</v>
      </c>
      <c r="G552" s="227">
        <v>10</v>
      </c>
      <c r="H552" s="230"/>
      <c r="I552" s="231">
        <v>314101.36</v>
      </c>
      <c r="J552" s="224" t="s">
        <v>403</v>
      </c>
      <c r="K552" s="233">
        <v>2</v>
      </c>
    </row>
    <row r="553" spans="1:11" s="226" customFormat="1" ht="12.75" customHeight="1" x14ac:dyDescent="0.2">
      <c r="A553" s="226" t="s">
        <v>53</v>
      </c>
      <c r="B553" s="228">
        <v>46100</v>
      </c>
      <c r="C553" s="229" t="s">
        <v>869</v>
      </c>
      <c r="D553" s="229" t="s">
        <v>870</v>
      </c>
      <c r="E553" s="229" t="s">
        <v>258</v>
      </c>
      <c r="F553" s="229" t="s">
        <v>1003</v>
      </c>
      <c r="G553" s="227"/>
      <c r="H553" s="230">
        <v>-23.82</v>
      </c>
      <c r="I553" s="231">
        <v>314077.53999999998</v>
      </c>
      <c r="J553" s="232" t="s">
        <v>407</v>
      </c>
      <c r="K553" s="233">
        <v>-2</v>
      </c>
    </row>
    <row r="554" spans="1:11" s="226" customFormat="1" ht="12.75" customHeight="1" x14ac:dyDescent="0.2">
      <c r="A554" s="226" t="s">
        <v>53</v>
      </c>
      <c r="B554" s="228">
        <v>46100</v>
      </c>
      <c r="C554" s="229" t="s">
        <v>871</v>
      </c>
      <c r="D554" s="229" t="s">
        <v>872</v>
      </c>
      <c r="E554" s="229" t="s">
        <v>258</v>
      </c>
      <c r="F554" s="229" t="s">
        <v>1004</v>
      </c>
      <c r="G554" s="227"/>
      <c r="H554" s="230">
        <v>-112.54</v>
      </c>
      <c r="I554" s="231">
        <v>313965</v>
      </c>
      <c r="J554" s="232" t="s">
        <v>407</v>
      </c>
      <c r="K554" s="233">
        <v>-2</v>
      </c>
    </row>
    <row r="555" spans="1:11" s="226" customFormat="1" ht="12.75" customHeight="1" x14ac:dyDescent="0.2">
      <c r="A555" s="226" t="s">
        <v>69</v>
      </c>
      <c r="B555" s="228">
        <v>46100</v>
      </c>
      <c r="C555" s="229" t="s">
        <v>871</v>
      </c>
      <c r="D555" s="229" t="s">
        <v>872</v>
      </c>
      <c r="E555" s="229" t="s">
        <v>258</v>
      </c>
      <c r="F555" s="229" t="s">
        <v>1004</v>
      </c>
      <c r="G555" s="227"/>
      <c r="H555" s="230">
        <v>-113.01</v>
      </c>
      <c r="I555" s="231">
        <v>313851.99</v>
      </c>
      <c r="J555" s="232" t="s">
        <v>407</v>
      </c>
      <c r="K555" s="233">
        <v>-2</v>
      </c>
    </row>
    <row r="556" spans="1:11" s="226" customFormat="1" ht="12.75" customHeight="1" x14ac:dyDescent="0.2">
      <c r="A556" s="226" t="s">
        <v>69</v>
      </c>
      <c r="B556" s="228">
        <v>46100</v>
      </c>
      <c r="C556" s="229" t="s">
        <v>871</v>
      </c>
      <c r="D556" s="229" t="s">
        <v>872</v>
      </c>
      <c r="E556" s="229" t="s">
        <v>258</v>
      </c>
      <c r="F556" s="229" t="s">
        <v>1004</v>
      </c>
      <c r="G556" s="227"/>
      <c r="H556" s="230">
        <v>-55.12</v>
      </c>
      <c r="I556" s="231">
        <v>313796.87</v>
      </c>
      <c r="J556" s="232" t="s">
        <v>407</v>
      </c>
      <c r="K556" s="233">
        <v>-2</v>
      </c>
    </row>
    <row r="557" spans="1:11" s="226" customFormat="1" ht="12.75" customHeight="1" x14ac:dyDescent="0.2">
      <c r="A557" s="226" t="s">
        <v>53</v>
      </c>
      <c r="B557" s="228">
        <v>46100</v>
      </c>
      <c r="C557" s="229" t="s">
        <v>873</v>
      </c>
      <c r="D557" s="229" t="s">
        <v>322</v>
      </c>
      <c r="E557" s="229" t="s">
        <v>59</v>
      </c>
      <c r="F557" s="229" t="s">
        <v>283</v>
      </c>
      <c r="G557" s="227">
        <v>15.96</v>
      </c>
      <c r="H557" s="230"/>
      <c r="I557" s="231">
        <v>313812.83</v>
      </c>
      <c r="J557" s="232">
        <v>46100</v>
      </c>
      <c r="K557" s="233">
        <v>4</v>
      </c>
    </row>
    <row r="558" spans="1:11" s="226" customFormat="1" ht="12.75" customHeight="1" x14ac:dyDescent="0.2">
      <c r="A558" s="226" t="s">
        <v>53</v>
      </c>
      <c r="B558" s="228">
        <v>46100</v>
      </c>
      <c r="C558" s="229" t="s">
        <v>873</v>
      </c>
      <c r="D558" s="229" t="s">
        <v>322</v>
      </c>
      <c r="E558" s="229" t="s">
        <v>59</v>
      </c>
      <c r="F558" s="229" t="s">
        <v>283</v>
      </c>
      <c r="G558" s="227"/>
      <c r="H558" s="230">
        <v>-15.96</v>
      </c>
      <c r="I558" s="231">
        <v>313796.87</v>
      </c>
      <c r="J558" s="232">
        <v>46100</v>
      </c>
      <c r="K558" s="233">
        <v>-4</v>
      </c>
    </row>
    <row r="559" spans="1:11" s="226" customFormat="1" ht="12.75" customHeight="1" x14ac:dyDescent="0.2">
      <c r="A559" s="226" t="s">
        <v>53</v>
      </c>
      <c r="B559" s="228">
        <v>46100</v>
      </c>
      <c r="C559" s="229" t="s">
        <v>874</v>
      </c>
      <c r="D559" s="229" t="s">
        <v>322</v>
      </c>
      <c r="E559" s="229" t="s">
        <v>59</v>
      </c>
      <c r="F559" s="229" t="s">
        <v>283</v>
      </c>
      <c r="G559" s="227"/>
      <c r="H559" s="230">
        <v>-984.04</v>
      </c>
      <c r="I559" s="231">
        <v>312812.83</v>
      </c>
      <c r="J559" s="232">
        <v>46100</v>
      </c>
      <c r="K559" s="233">
        <v>-4</v>
      </c>
    </row>
    <row r="560" spans="1:11" s="226" customFormat="1" ht="12.75" customHeight="1" x14ac:dyDescent="0.2">
      <c r="A560" s="226" t="s">
        <v>53</v>
      </c>
      <c r="B560" s="228">
        <v>46100</v>
      </c>
      <c r="C560" s="229" t="s">
        <v>874</v>
      </c>
      <c r="D560" s="229" t="s">
        <v>322</v>
      </c>
      <c r="E560" s="229" t="s">
        <v>59</v>
      </c>
      <c r="F560" s="229" t="s">
        <v>283</v>
      </c>
      <c r="G560" s="227">
        <v>984.04</v>
      </c>
      <c r="H560" s="230"/>
      <c r="I560" s="231">
        <v>313796.87</v>
      </c>
      <c r="J560" s="232">
        <v>46100</v>
      </c>
      <c r="K560" s="233">
        <v>4</v>
      </c>
    </row>
    <row r="561" spans="1:11" s="226" customFormat="1" ht="12.75" customHeight="1" x14ac:dyDescent="0.2">
      <c r="A561" s="226" t="s">
        <v>53</v>
      </c>
      <c r="B561" s="228">
        <v>46100</v>
      </c>
      <c r="C561" s="229" t="s">
        <v>875</v>
      </c>
      <c r="D561" s="229" t="s">
        <v>322</v>
      </c>
      <c r="E561" s="229" t="s">
        <v>59</v>
      </c>
      <c r="F561" s="229" t="s">
        <v>283</v>
      </c>
      <c r="G561" s="227"/>
      <c r="H561" s="230">
        <v>-15.96</v>
      </c>
      <c r="I561" s="231">
        <v>313780.90999999997</v>
      </c>
      <c r="J561" s="232">
        <v>46100</v>
      </c>
      <c r="K561" s="233">
        <v>-4</v>
      </c>
    </row>
    <row r="562" spans="1:11" s="226" customFormat="1" ht="12.75" customHeight="1" x14ac:dyDescent="0.2">
      <c r="A562" s="226" t="s">
        <v>53</v>
      </c>
      <c r="B562" s="228">
        <v>46100</v>
      </c>
      <c r="C562" s="229" t="s">
        <v>875</v>
      </c>
      <c r="D562" s="229" t="s">
        <v>322</v>
      </c>
      <c r="E562" s="229" t="s">
        <v>59</v>
      </c>
      <c r="F562" s="229" t="s">
        <v>283</v>
      </c>
      <c r="G562" s="227">
        <v>15.96</v>
      </c>
      <c r="H562" s="230"/>
      <c r="I562" s="231">
        <v>313796.87</v>
      </c>
      <c r="J562" s="232">
        <v>46100</v>
      </c>
      <c r="K562" s="233">
        <v>4</v>
      </c>
    </row>
    <row r="563" spans="1:11" s="226" customFormat="1" ht="12.75" customHeight="1" x14ac:dyDescent="0.2">
      <c r="A563" s="226" t="s">
        <v>53</v>
      </c>
      <c r="B563" s="228">
        <v>46100</v>
      </c>
      <c r="C563" s="229" t="s">
        <v>876</v>
      </c>
      <c r="D563" s="229" t="s">
        <v>322</v>
      </c>
      <c r="E563" s="229" t="s">
        <v>59</v>
      </c>
      <c r="F563" s="229" t="s">
        <v>283</v>
      </c>
      <c r="G563" s="227"/>
      <c r="H563" s="230">
        <v>-33</v>
      </c>
      <c r="I563" s="231">
        <v>313763.87</v>
      </c>
      <c r="J563" s="232">
        <v>46100</v>
      </c>
      <c r="K563" s="233">
        <v>-4</v>
      </c>
    </row>
    <row r="564" spans="1:11" s="226" customFormat="1" ht="12.75" customHeight="1" x14ac:dyDescent="0.2">
      <c r="A564" s="226" t="s">
        <v>53</v>
      </c>
      <c r="B564" s="228">
        <v>46100</v>
      </c>
      <c r="C564" s="229" t="s">
        <v>876</v>
      </c>
      <c r="D564" s="229" t="s">
        <v>322</v>
      </c>
      <c r="E564" s="229" t="s">
        <v>59</v>
      </c>
      <c r="F564" s="229" t="s">
        <v>283</v>
      </c>
      <c r="G564" s="227">
        <v>33</v>
      </c>
      <c r="H564" s="230"/>
      <c r="I564" s="231">
        <v>313796.87</v>
      </c>
      <c r="J564" s="232">
        <v>46100</v>
      </c>
      <c r="K564" s="233">
        <v>4</v>
      </c>
    </row>
    <row r="565" spans="1:11" s="226" customFormat="1" ht="12.75" customHeight="1" x14ac:dyDescent="0.2">
      <c r="A565" s="226" t="s">
        <v>53</v>
      </c>
      <c r="B565" s="228">
        <v>46100</v>
      </c>
      <c r="C565" s="229" t="s">
        <v>877</v>
      </c>
      <c r="D565" s="229" t="s">
        <v>878</v>
      </c>
      <c r="E565" s="229" t="s">
        <v>279</v>
      </c>
      <c r="F565" s="229" t="s">
        <v>20</v>
      </c>
      <c r="G565" s="227">
        <v>75</v>
      </c>
      <c r="H565" s="230"/>
      <c r="I565" s="231">
        <v>313871.87</v>
      </c>
      <c r="J565" s="232" t="s">
        <v>406</v>
      </c>
      <c r="K565" s="233">
        <v>2</v>
      </c>
    </row>
    <row r="566" spans="1:11" s="226" customFormat="1" ht="12.75" customHeight="1" x14ac:dyDescent="0.2">
      <c r="A566" s="226" t="s">
        <v>53</v>
      </c>
      <c r="B566" s="228">
        <v>46100</v>
      </c>
      <c r="C566" s="229" t="s">
        <v>877</v>
      </c>
      <c r="D566" s="229" t="s">
        <v>878</v>
      </c>
      <c r="E566" s="229" t="s">
        <v>279</v>
      </c>
      <c r="F566" s="229" t="s">
        <v>20</v>
      </c>
      <c r="G566" s="227">
        <v>75</v>
      </c>
      <c r="H566" s="230"/>
      <c r="I566" s="231">
        <v>313946.87</v>
      </c>
      <c r="J566" s="232" t="s">
        <v>406</v>
      </c>
      <c r="K566" s="233">
        <v>2</v>
      </c>
    </row>
    <row r="567" spans="1:11" s="226" customFormat="1" ht="12.75" customHeight="1" x14ac:dyDescent="0.2">
      <c r="A567" s="226" t="s">
        <v>53</v>
      </c>
      <c r="B567" s="228">
        <v>46100</v>
      </c>
      <c r="C567" s="229" t="s">
        <v>877</v>
      </c>
      <c r="D567" s="229" t="s">
        <v>878</v>
      </c>
      <c r="E567" s="229" t="s">
        <v>279</v>
      </c>
      <c r="F567" s="229" t="s">
        <v>20</v>
      </c>
      <c r="G567" s="227">
        <v>389.07</v>
      </c>
      <c r="H567" s="230"/>
      <c r="I567" s="231">
        <v>314335.94</v>
      </c>
      <c r="J567" s="224" t="s">
        <v>406</v>
      </c>
      <c r="K567" s="233">
        <v>2</v>
      </c>
    </row>
    <row r="568" spans="1:11" s="226" customFormat="1" ht="12.75" customHeight="1" x14ac:dyDescent="0.2">
      <c r="A568" s="226" t="s">
        <v>53</v>
      </c>
      <c r="B568" s="228">
        <v>46100</v>
      </c>
      <c r="C568" s="229" t="s">
        <v>877</v>
      </c>
      <c r="D568" s="229" t="s">
        <v>878</v>
      </c>
      <c r="E568" s="229" t="s">
        <v>279</v>
      </c>
      <c r="F568" s="229" t="s">
        <v>20</v>
      </c>
      <c r="G568" s="227">
        <v>48.96</v>
      </c>
      <c r="H568" s="230"/>
      <c r="I568" s="231">
        <v>314384.90000000002</v>
      </c>
      <c r="J568" s="224" t="s">
        <v>406</v>
      </c>
      <c r="K568" s="233">
        <v>2</v>
      </c>
    </row>
    <row r="569" spans="1:11" s="226" customFormat="1" ht="12.75" customHeight="1" x14ac:dyDescent="0.2">
      <c r="A569" s="226" t="s">
        <v>53</v>
      </c>
      <c r="B569" s="228">
        <v>46100</v>
      </c>
      <c r="C569" s="229" t="s">
        <v>877</v>
      </c>
      <c r="D569" s="229" t="s">
        <v>878</v>
      </c>
      <c r="E569" s="229" t="s">
        <v>279</v>
      </c>
      <c r="F569" s="229" t="s">
        <v>20</v>
      </c>
      <c r="G569" s="227">
        <v>911.97</v>
      </c>
      <c r="H569" s="230"/>
      <c r="I569" s="231">
        <v>315296.87</v>
      </c>
      <c r="J569" s="232" t="s">
        <v>406</v>
      </c>
      <c r="K569" s="233">
        <v>2</v>
      </c>
    </row>
    <row r="570" spans="1:11" s="226" customFormat="1" ht="12.75" customHeight="1" x14ac:dyDescent="0.2">
      <c r="A570" s="226" t="s">
        <v>69</v>
      </c>
      <c r="B570" s="228">
        <v>46100</v>
      </c>
      <c r="C570" s="229" t="s">
        <v>879</v>
      </c>
      <c r="D570" s="229" t="s">
        <v>880</v>
      </c>
      <c r="E570" s="229" t="s">
        <v>954</v>
      </c>
      <c r="F570" s="229" t="s">
        <v>293</v>
      </c>
      <c r="G570" s="227">
        <v>40</v>
      </c>
      <c r="H570" s="230"/>
      <c r="I570" s="231">
        <v>315336.87</v>
      </c>
      <c r="J570" s="232" t="s">
        <v>399</v>
      </c>
      <c r="K570" s="233">
        <v>2</v>
      </c>
    </row>
    <row r="571" spans="1:11" s="226" customFormat="1" ht="12.75" customHeight="1" x14ac:dyDescent="0.2">
      <c r="A571" s="226" t="s">
        <v>53</v>
      </c>
      <c r="B571" s="228">
        <v>46101</v>
      </c>
      <c r="C571" s="229" t="s">
        <v>881</v>
      </c>
      <c r="D571" s="229" t="s">
        <v>882</v>
      </c>
      <c r="E571" s="229" t="s">
        <v>258</v>
      </c>
      <c r="F571" s="229" t="s">
        <v>1005</v>
      </c>
      <c r="G571" s="227"/>
      <c r="H571" s="230">
        <v>-225</v>
      </c>
      <c r="I571" s="231">
        <v>315111.87</v>
      </c>
      <c r="J571" s="232">
        <v>46104</v>
      </c>
      <c r="K571" s="233">
        <v>-4</v>
      </c>
    </row>
    <row r="572" spans="1:11" s="226" customFormat="1" ht="12.75" customHeight="1" x14ac:dyDescent="0.2">
      <c r="A572" s="226" t="s">
        <v>53</v>
      </c>
      <c r="B572" s="228">
        <v>46101</v>
      </c>
      <c r="C572" s="229" t="s">
        <v>883</v>
      </c>
      <c r="D572" s="229" t="s">
        <v>884</v>
      </c>
      <c r="E572" s="229" t="s">
        <v>193</v>
      </c>
      <c r="F572" s="229" t="s">
        <v>1006</v>
      </c>
      <c r="G572" s="227"/>
      <c r="H572" s="230">
        <v>-7114.5</v>
      </c>
      <c r="I572" s="231">
        <v>307997.37</v>
      </c>
      <c r="J572" s="232" t="s">
        <v>406</v>
      </c>
      <c r="K572" s="233">
        <v>-2</v>
      </c>
    </row>
    <row r="573" spans="1:11" s="226" customFormat="1" ht="12.75" customHeight="1" x14ac:dyDescent="0.2">
      <c r="A573" s="226" t="s">
        <v>69</v>
      </c>
      <c r="B573" s="228">
        <v>46101</v>
      </c>
      <c r="C573" s="229" t="s">
        <v>883</v>
      </c>
      <c r="D573" s="229" t="s">
        <v>884</v>
      </c>
      <c r="E573" s="229" t="s">
        <v>193</v>
      </c>
      <c r="F573" s="229" t="s">
        <v>1006</v>
      </c>
      <c r="G573" s="227"/>
      <c r="H573" s="230">
        <v>-6835.5</v>
      </c>
      <c r="I573" s="231">
        <v>301161.87</v>
      </c>
      <c r="J573" s="232" t="s">
        <v>406</v>
      </c>
      <c r="K573" s="233">
        <v>-2</v>
      </c>
    </row>
    <row r="574" spans="1:11" s="226" customFormat="1" ht="12.75" customHeight="1" x14ac:dyDescent="0.2">
      <c r="A574" s="226" t="s">
        <v>53</v>
      </c>
      <c r="B574" s="228">
        <v>46104</v>
      </c>
      <c r="C574" s="229" t="s">
        <v>885</v>
      </c>
      <c r="D574" s="229" t="s">
        <v>882</v>
      </c>
      <c r="E574" s="229" t="s">
        <v>258</v>
      </c>
      <c r="F574" s="229" t="s">
        <v>1005</v>
      </c>
      <c r="G574" s="227">
        <v>225</v>
      </c>
      <c r="H574" s="230"/>
      <c r="I574" s="231">
        <v>301386.87</v>
      </c>
      <c r="J574" s="232">
        <v>46101</v>
      </c>
      <c r="K574" s="233">
        <v>4</v>
      </c>
    </row>
    <row r="575" spans="1:11" s="226" customFormat="1" ht="12.75" customHeight="1" x14ac:dyDescent="0.2">
      <c r="A575" s="226" t="s">
        <v>53</v>
      </c>
      <c r="B575" s="228">
        <v>46104</v>
      </c>
      <c r="C575" s="229" t="s">
        <v>886</v>
      </c>
      <c r="D575" s="229" t="s">
        <v>887</v>
      </c>
      <c r="E575" s="229" t="s">
        <v>258</v>
      </c>
      <c r="F575" s="229" t="s">
        <v>1005</v>
      </c>
      <c r="G575" s="227"/>
      <c r="H575" s="230">
        <v>-225</v>
      </c>
      <c r="I575" s="231">
        <v>301161.87</v>
      </c>
      <c r="J575" s="232" t="s">
        <v>403</v>
      </c>
      <c r="K575" s="233">
        <v>-2</v>
      </c>
    </row>
    <row r="576" spans="1:11" s="226" customFormat="1" ht="12.75" customHeight="1" x14ac:dyDescent="0.2">
      <c r="A576" s="226" t="s">
        <v>53</v>
      </c>
      <c r="B576" s="228">
        <v>46104</v>
      </c>
      <c r="C576" s="229" t="s">
        <v>888</v>
      </c>
      <c r="D576" s="229" t="s">
        <v>889</v>
      </c>
      <c r="E576" s="229" t="s">
        <v>282</v>
      </c>
      <c r="F576" s="229" t="s">
        <v>1007</v>
      </c>
      <c r="G576" s="227"/>
      <c r="H576" s="230">
        <v>-65.69</v>
      </c>
      <c r="I576" s="231">
        <v>301096.18</v>
      </c>
      <c r="J576" s="224" t="s">
        <v>403</v>
      </c>
      <c r="K576" s="233">
        <v>-2</v>
      </c>
    </row>
    <row r="577" spans="1:11" s="226" customFormat="1" ht="12.75" customHeight="1" x14ac:dyDescent="0.2">
      <c r="A577" s="226" t="s">
        <v>53</v>
      </c>
      <c r="B577" s="228">
        <v>46104</v>
      </c>
      <c r="C577" s="229" t="s">
        <v>890</v>
      </c>
      <c r="D577" s="229" t="s">
        <v>891</v>
      </c>
      <c r="E577" s="229" t="s">
        <v>282</v>
      </c>
      <c r="F577" s="229" t="s">
        <v>1008</v>
      </c>
      <c r="G577" s="227"/>
      <c r="H577" s="230">
        <v>-119.26</v>
      </c>
      <c r="I577" s="231">
        <v>300976.92</v>
      </c>
      <c r="J577" s="224" t="s">
        <v>403</v>
      </c>
      <c r="K577" s="233">
        <v>-2</v>
      </c>
    </row>
    <row r="578" spans="1:11" s="226" customFormat="1" ht="12.75" customHeight="1" x14ac:dyDescent="0.2">
      <c r="A578" s="226" t="s">
        <v>53</v>
      </c>
      <c r="B578" s="228">
        <v>46104</v>
      </c>
      <c r="C578" s="229" t="s">
        <v>892</v>
      </c>
      <c r="D578" s="229" t="s">
        <v>893</v>
      </c>
      <c r="E578" s="229" t="s">
        <v>282</v>
      </c>
      <c r="F578" s="229" t="s">
        <v>1009</v>
      </c>
      <c r="G578" s="227"/>
      <c r="H578" s="230">
        <v>-565.70000000000005</v>
      </c>
      <c r="I578" s="231">
        <v>300411.21999999997</v>
      </c>
      <c r="J578" s="224" t="s">
        <v>403</v>
      </c>
      <c r="K578" s="233">
        <v>-2</v>
      </c>
    </row>
    <row r="579" spans="1:11" s="226" customFormat="1" ht="12.75" customHeight="1" x14ac:dyDescent="0.2">
      <c r="A579" s="226" t="s">
        <v>53</v>
      </c>
      <c r="B579" s="228">
        <v>46104</v>
      </c>
      <c r="C579" s="229" t="s">
        <v>894</v>
      </c>
      <c r="D579" s="229" t="s">
        <v>895</v>
      </c>
      <c r="E579" s="229" t="s">
        <v>282</v>
      </c>
      <c r="F579" s="229" t="s">
        <v>1010</v>
      </c>
      <c r="G579" s="227"/>
      <c r="H579" s="230">
        <v>-38.47</v>
      </c>
      <c r="I579" s="231">
        <v>300372.75</v>
      </c>
      <c r="J579" s="224" t="s">
        <v>403</v>
      </c>
      <c r="K579" s="233">
        <v>-2</v>
      </c>
    </row>
    <row r="580" spans="1:11" s="226" customFormat="1" ht="12.75" customHeight="1" x14ac:dyDescent="0.2">
      <c r="A580" s="226" t="s">
        <v>53</v>
      </c>
      <c r="B580" s="228">
        <v>46104</v>
      </c>
      <c r="C580" s="229" t="s">
        <v>896</v>
      </c>
      <c r="D580" s="229" t="s">
        <v>897</v>
      </c>
      <c r="E580" s="229" t="s">
        <v>191</v>
      </c>
      <c r="F580" s="229" t="s">
        <v>1011</v>
      </c>
      <c r="G580" s="227"/>
      <c r="H580" s="230">
        <v>-53.55</v>
      </c>
      <c r="I580" s="231">
        <v>300319.2</v>
      </c>
      <c r="J580" s="224" t="s">
        <v>403</v>
      </c>
      <c r="K580" s="233">
        <v>-2</v>
      </c>
    </row>
    <row r="581" spans="1:11" s="226" customFormat="1" ht="12.75" customHeight="1" x14ac:dyDescent="0.2">
      <c r="A581" s="226" t="s">
        <v>69</v>
      </c>
      <c r="B581" s="228">
        <v>46104</v>
      </c>
      <c r="C581" s="229" t="s">
        <v>898</v>
      </c>
      <c r="D581" s="229" t="s">
        <v>899</v>
      </c>
      <c r="E581" s="229" t="s">
        <v>191</v>
      </c>
      <c r="F581" s="229" t="s">
        <v>1012</v>
      </c>
      <c r="G581" s="227"/>
      <c r="H581" s="230">
        <v>-31.98</v>
      </c>
      <c r="I581" s="231">
        <v>300287.21999999997</v>
      </c>
      <c r="J581" s="224" t="s">
        <v>403</v>
      </c>
      <c r="K581" s="233">
        <v>-2</v>
      </c>
    </row>
    <row r="582" spans="1:11" s="226" customFormat="1" ht="12.75" customHeight="1" x14ac:dyDescent="0.2">
      <c r="A582" s="226" t="s">
        <v>53</v>
      </c>
      <c r="B582" s="228">
        <v>46104</v>
      </c>
      <c r="C582" s="229" t="s">
        <v>900</v>
      </c>
      <c r="D582" s="229" t="s">
        <v>634</v>
      </c>
      <c r="E582" s="229" t="s">
        <v>258</v>
      </c>
      <c r="F582" s="229" t="s">
        <v>963</v>
      </c>
      <c r="G582" s="227">
        <v>27.48</v>
      </c>
      <c r="H582" s="230"/>
      <c r="I582" s="231">
        <v>300314.7</v>
      </c>
      <c r="J582" s="228">
        <v>46084</v>
      </c>
      <c r="K582" s="233">
        <v>4</v>
      </c>
    </row>
    <row r="583" spans="1:11" s="226" customFormat="1" ht="12.75" customHeight="1" x14ac:dyDescent="0.2">
      <c r="A583" s="226" t="s">
        <v>53</v>
      </c>
      <c r="B583" s="228">
        <v>46104</v>
      </c>
      <c r="C583" s="229" t="s">
        <v>901</v>
      </c>
      <c r="D583" s="229" t="s">
        <v>902</v>
      </c>
      <c r="E583" s="229" t="s">
        <v>75</v>
      </c>
      <c r="F583" s="229" t="s">
        <v>18</v>
      </c>
      <c r="G583" s="227">
        <v>48.96</v>
      </c>
      <c r="H583" s="230"/>
      <c r="I583" s="231">
        <v>300363.65999999997</v>
      </c>
      <c r="J583" s="224" t="s">
        <v>398</v>
      </c>
      <c r="K583" s="233">
        <v>2</v>
      </c>
    </row>
    <row r="584" spans="1:11" s="226" customFormat="1" ht="12.75" customHeight="1" x14ac:dyDescent="0.2">
      <c r="A584" s="226" t="s">
        <v>53</v>
      </c>
      <c r="B584" s="228">
        <v>46104</v>
      </c>
      <c r="C584" s="229" t="s">
        <v>901</v>
      </c>
      <c r="D584" s="229" t="s">
        <v>902</v>
      </c>
      <c r="E584" s="229" t="s">
        <v>75</v>
      </c>
      <c r="F584" s="229" t="s">
        <v>18</v>
      </c>
      <c r="G584" s="227">
        <v>1000</v>
      </c>
      <c r="H584" s="230"/>
      <c r="I584" s="231">
        <v>301363.65999999997</v>
      </c>
      <c r="J584" s="224" t="s">
        <v>398</v>
      </c>
      <c r="K584" s="233">
        <v>2</v>
      </c>
    </row>
    <row r="585" spans="1:11" s="226" customFormat="1" ht="12.75" customHeight="1" x14ac:dyDescent="0.2">
      <c r="A585" s="226" t="s">
        <v>69</v>
      </c>
      <c r="B585" s="228">
        <v>46104</v>
      </c>
      <c r="C585" s="229" t="s">
        <v>903</v>
      </c>
      <c r="D585" s="229" t="s">
        <v>55</v>
      </c>
      <c r="E585" s="229" t="s">
        <v>104</v>
      </c>
      <c r="F585" s="229" t="s">
        <v>19</v>
      </c>
      <c r="G585" s="227">
        <v>10</v>
      </c>
      <c r="H585" s="230"/>
      <c r="I585" s="231">
        <v>301373.65999999997</v>
      </c>
      <c r="J585" s="232" t="s">
        <v>401</v>
      </c>
      <c r="K585" s="233">
        <v>2</v>
      </c>
    </row>
    <row r="586" spans="1:11" s="226" customFormat="1" ht="12.75" customHeight="1" x14ac:dyDescent="0.2">
      <c r="A586" s="226" t="s">
        <v>69</v>
      </c>
      <c r="B586" s="228">
        <v>46104</v>
      </c>
      <c r="C586" s="229" t="s">
        <v>903</v>
      </c>
      <c r="D586" s="229" t="s">
        <v>55</v>
      </c>
      <c r="E586" s="229" t="s">
        <v>104</v>
      </c>
      <c r="F586" s="229" t="s">
        <v>19</v>
      </c>
      <c r="G586" s="227">
        <v>1005</v>
      </c>
      <c r="H586" s="230"/>
      <c r="I586" s="231">
        <v>302378.65999999997</v>
      </c>
      <c r="J586" s="232" t="s">
        <v>401</v>
      </c>
      <c r="K586" s="233">
        <v>2</v>
      </c>
    </row>
    <row r="587" spans="1:11" s="226" customFormat="1" ht="12.75" customHeight="1" x14ac:dyDescent="0.2">
      <c r="A587" s="226" t="s">
        <v>69</v>
      </c>
      <c r="B587" s="228">
        <v>46104</v>
      </c>
      <c r="C587" s="229" t="s">
        <v>903</v>
      </c>
      <c r="D587" s="229" t="s">
        <v>55</v>
      </c>
      <c r="E587" s="229" t="s">
        <v>104</v>
      </c>
      <c r="F587" s="229" t="s">
        <v>19</v>
      </c>
      <c r="G587" s="227">
        <v>49.52</v>
      </c>
      <c r="H587" s="230"/>
      <c r="I587" s="231">
        <v>302428.18</v>
      </c>
      <c r="J587" s="232" t="s">
        <v>401</v>
      </c>
      <c r="K587" s="233">
        <v>2</v>
      </c>
    </row>
    <row r="588" spans="1:11" s="226" customFormat="1" ht="12.75" customHeight="1" x14ac:dyDescent="0.2">
      <c r="A588" s="226" t="s">
        <v>53</v>
      </c>
      <c r="B588" s="228">
        <v>46105</v>
      </c>
      <c r="C588" s="229" t="s">
        <v>904</v>
      </c>
      <c r="D588" s="229" t="s">
        <v>396</v>
      </c>
      <c r="E588" s="229" t="s">
        <v>258</v>
      </c>
      <c r="F588" s="229" t="s">
        <v>963</v>
      </c>
      <c r="G588" s="227"/>
      <c r="H588" s="230">
        <v>-27.48</v>
      </c>
      <c r="I588" s="231">
        <v>302400.7</v>
      </c>
      <c r="J588" s="232" t="s">
        <v>395</v>
      </c>
      <c r="K588" s="233">
        <v>-2</v>
      </c>
    </row>
    <row r="589" spans="1:11" s="226" customFormat="1" ht="12.75" customHeight="1" x14ac:dyDescent="0.2">
      <c r="A589" s="226" t="s">
        <v>53</v>
      </c>
      <c r="B589" s="228">
        <v>46105</v>
      </c>
      <c r="C589" s="229" t="s">
        <v>905</v>
      </c>
      <c r="D589" s="229" t="s">
        <v>906</v>
      </c>
      <c r="E589" s="229" t="s">
        <v>63</v>
      </c>
      <c r="F589" s="229" t="s">
        <v>17</v>
      </c>
      <c r="G589" s="227">
        <v>48.96</v>
      </c>
      <c r="H589" s="230"/>
      <c r="I589" s="231">
        <v>302449.65999999997</v>
      </c>
      <c r="J589" s="232" t="s">
        <v>395</v>
      </c>
      <c r="K589" s="233">
        <v>2</v>
      </c>
    </row>
    <row r="590" spans="1:11" s="226" customFormat="1" ht="12.75" customHeight="1" x14ac:dyDescent="0.2">
      <c r="A590" s="226" t="s">
        <v>53</v>
      </c>
      <c r="B590" s="228">
        <v>46106</v>
      </c>
      <c r="C590" s="229" t="s">
        <v>907</v>
      </c>
      <c r="D590" s="229" t="s">
        <v>908</v>
      </c>
      <c r="E590" s="229" t="s">
        <v>245</v>
      </c>
      <c r="F590" s="229" t="s">
        <v>1013</v>
      </c>
      <c r="G590" s="227"/>
      <c r="H590" s="230">
        <v>-1400</v>
      </c>
      <c r="I590" s="231">
        <v>301049.65999999997</v>
      </c>
      <c r="J590" s="232"/>
      <c r="K590" s="233">
        <v>-1</v>
      </c>
    </row>
    <row r="591" spans="1:11" s="226" customFormat="1" ht="12.75" customHeight="1" x14ac:dyDescent="0.2">
      <c r="A591" s="226" t="s">
        <v>69</v>
      </c>
      <c r="B591" s="228">
        <v>46106</v>
      </c>
      <c r="C591" s="229" t="s">
        <v>907</v>
      </c>
      <c r="D591" s="229" t="s">
        <v>908</v>
      </c>
      <c r="E591" s="229" t="s">
        <v>245</v>
      </c>
      <c r="F591" s="229" t="s">
        <v>1013</v>
      </c>
      <c r="G591" s="227"/>
      <c r="H591" s="230">
        <v>-1400</v>
      </c>
      <c r="I591" s="231">
        <v>299649.65999999997</v>
      </c>
      <c r="J591" s="232"/>
      <c r="K591" s="233">
        <v>-1</v>
      </c>
    </row>
    <row r="592" spans="1:11" s="226" customFormat="1" ht="12.75" customHeight="1" x14ac:dyDescent="0.2">
      <c r="A592" s="226" t="s">
        <v>69</v>
      </c>
      <c r="B592" s="228">
        <v>46106</v>
      </c>
      <c r="C592" s="229" t="s">
        <v>909</v>
      </c>
      <c r="D592" s="229" t="s">
        <v>910</v>
      </c>
      <c r="E592" s="229" t="s">
        <v>346</v>
      </c>
      <c r="F592" s="229" t="s">
        <v>1014</v>
      </c>
      <c r="G592" s="227"/>
      <c r="H592" s="230">
        <v>-374.59</v>
      </c>
      <c r="I592" s="231">
        <v>299275.07</v>
      </c>
      <c r="J592" s="232"/>
      <c r="K592" s="233">
        <v>-1</v>
      </c>
    </row>
    <row r="593" spans="1:11" s="226" customFormat="1" ht="12.75" customHeight="1" x14ac:dyDescent="0.2">
      <c r="A593" s="226" t="s">
        <v>53</v>
      </c>
      <c r="B593" s="228">
        <v>46106</v>
      </c>
      <c r="C593" s="229" t="s">
        <v>911</v>
      </c>
      <c r="D593" s="229" t="s">
        <v>912</v>
      </c>
      <c r="E593" s="229" t="s">
        <v>277</v>
      </c>
      <c r="F593" s="229" t="s">
        <v>17</v>
      </c>
      <c r="G593" s="227">
        <v>75</v>
      </c>
      <c r="H593" s="230"/>
      <c r="I593" s="231">
        <v>299350.07</v>
      </c>
      <c r="J593" s="232" t="s">
        <v>395</v>
      </c>
      <c r="K593" s="233">
        <v>2</v>
      </c>
    </row>
    <row r="594" spans="1:11" s="226" customFormat="1" ht="12.75" customHeight="1" x14ac:dyDescent="0.2">
      <c r="A594" s="226" t="s">
        <v>53</v>
      </c>
      <c r="B594" s="228">
        <v>46106</v>
      </c>
      <c r="C594" s="229" t="s">
        <v>911</v>
      </c>
      <c r="D594" s="229" t="s">
        <v>912</v>
      </c>
      <c r="E594" s="229" t="s">
        <v>277</v>
      </c>
      <c r="F594" s="229" t="s">
        <v>17</v>
      </c>
      <c r="G594" s="227">
        <v>75</v>
      </c>
      <c r="H594" s="230"/>
      <c r="I594" s="231">
        <v>299425.07</v>
      </c>
      <c r="J594" s="232" t="s">
        <v>395</v>
      </c>
      <c r="K594" s="233">
        <v>2</v>
      </c>
    </row>
    <row r="595" spans="1:11" s="226" customFormat="1" ht="12.75" customHeight="1" x14ac:dyDescent="0.2">
      <c r="A595" s="226" t="s">
        <v>53</v>
      </c>
      <c r="B595" s="228">
        <v>46106</v>
      </c>
      <c r="C595" s="229" t="s">
        <v>911</v>
      </c>
      <c r="D595" s="229" t="s">
        <v>912</v>
      </c>
      <c r="E595" s="229" t="s">
        <v>277</v>
      </c>
      <c r="F595" s="229" t="s">
        <v>17</v>
      </c>
      <c r="G595" s="227">
        <v>48.96</v>
      </c>
      <c r="H595" s="230"/>
      <c r="I595" s="231">
        <v>299474.03000000003</v>
      </c>
      <c r="J595" s="232" t="s">
        <v>395</v>
      </c>
      <c r="K595" s="233">
        <v>2</v>
      </c>
    </row>
    <row r="596" spans="1:11" s="226" customFormat="1" ht="12.75" customHeight="1" x14ac:dyDescent="0.2">
      <c r="A596" s="226" t="s">
        <v>53</v>
      </c>
      <c r="B596" s="228">
        <v>46106</v>
      </c>
      <c r="C596" s="229" t="s">
        <v>911</v>
      </c>
      <c r="D596" s="229" t="s">
        <v>912</v>
      </c>
      <c r="E596" s="229" t="s">
        <v>277</v>
      </c>
      <c r="F596" s="229" t="s">
        <v>17</v>
      </c>
      <c r="G596" s="227">
        <v>1000</v>
      </c>
      <c r="H596" s="230"/>
      <c r="I596" s="231">
        <v>300474.03000000003</v>
      </c>
      <c r="J596" s="232" t="s">
        <v>395</v>
      </c>
      <c r="K596" s="233">
        <v>2</v>
      </c>
    </row>
    <row r="597" spans="1:11" s="226" customFormat="1" ht="12.75" customHeight="1" x14ac:dyDescent="0.2">
      <c r="A597" s="226" t="s">
        <v>53</v>
      </c>
      <c r="B597" s="228">
        <v>46107</v>
      </c>
      <c r="C597" s="229" t="s">
        <v>913</v>
      </c>
      <c r="D597" s="229" t="s">
        <v>914</v>
      </c>
      <c r="E597" s="229" t="s">
        <v>127</v>
      </c>
      <c r="F597" s="229" t="s">
        <v>20</v>
      </c>
      <c r="G597" s="227">
        <v>75</v>
      </c>
      <c r="H597" s="230"/>
      <c r="I597" s="231">
        <v>300549.03000000003</v>
      </c>
      <c r="J597" s="232" t="s">
        <v>397</v>
      </c>
      <c r="K597" s="233">
        <v>2</v>
      </c>
    </row>
    <row r="598" spans="1:11" s="226" customFormat="1" ht="12.75" customHeight="1" x14ac:dyDescent="0.2">
      <c r="A598" s="226" t="s">
        <v>53</v>
      </c>
      <c r="B598" s="228">
        <v>46107</v>
      </c>
      <c r="C598" s="229" t="s">
        <v>913</v>
      </c>
      <c r="D598" s="229" t="s">
        <v>914</v>
      </c>
      <c r="E598" s="229" t="s">
        <v>127</v>
      </c>
      <c r="F598" s="229" t="s">
        <v>20</v>
      </c>
      <c r="G598" s="227">
        <v>75</v>
      </c>
      <c r="H598" s="230"/>
      <c r="I598" s="231">
        <v>300624.03000000003</v>
      </c>
      <c r="J598" s="232" t="s">
        <v>397</v>
      </c>
      <c r="K598" s="233">
        <v>2</v>
      </c>
    </row>
    <row r="599" spans="1:11" s="226" customFormat="1" ht="12.75" customHeight="1" x14ac:dyDescent="0.2">
      <c r="A599" s="226" t="s">
        <v>53</v>
      </c>
      <c r="B599" s="228">
        <v>46107</v>
      </c>
      <c r="C599" s="229" t="s">
        <v>913</v>
      </c>
      <c r="D599" s="229" t="s">
        <v>914</v>
      </c>
      <c r="E599" s="229" t="s">
        <v>127</v>
      </c>
      <c r="F599" s="229" t="s">
        <v>20</v>
      </c>
      <c r="G599" s="227">
        <v>79.94</v>
      </c>
      <c r="H599" s="230"/>
      <c r="I599" s="231">
        <v>300703.96999999997</v>
      </c>
      <c r="J599" s="232" t="s">
        <v>397</v>
      </c>
      <c r="K599" s="233">
        <v>2</v>
      </c>
    </row>
    <row r="600" spans="1:11" s="226" customFormat="1" ht="12.75" customHeight="1" x14ac:dyDescent="0.2">
      <c r="A600" s="226" t="s">
        <v>53</v>
      </c>
      <c r="B600" s="228">
        <v>46107</v>
      </c>
      <c r="C600" s="229" t="s">
        <v>913</v>
      </c>
      <c r="D600" s="229" t="s">
        <v>914</v>
      </c>
      <c r="E600" s="229" t="s">
        <v>127</v>
      </c>
      <c r="F600" s="229" t="s">
        <v>20</v>
      </c>
      <c r="G600" s="227">
        <v>921.98</v>
      </c>
      <c r="H600" s="230"/>
      <c r="I600" s="231">
        <v>301625.95</v>
      </c>
      <c r="J600" s="232" t="s">
        <v>397</v>
      </c>
      <c r="K600" s="233">
        <v>2</v>
      </c>
    </row>
    <row r="601" spans="1:11" s="226" customFormat="1" ht="12.75" customHeight="1" x14ac:dyDescent="0.2">
      <c r="A601" s="226" t="s">
        <v>53</v>
      </c>
      <c r="B601" s="228">
        <v>46107</v>
      </c>
      <c r="C601" s="229" t="s">
        <v>913</v>
      </c>
      <c r="D601" s="229" t="s">
        <v>914</v>
      </c>
      <c r="E601" s="229" t="s">
        <v>127</v>
      </c>
      <c r="F601" s="229" t="s">
        <v>20</v>
      </c>
      <c r="G601" s="227">
        <v>48.96</v>
      </c>
      <c r="H601" s="230"/>
      <c r="I601" s="231">
        <v>301674.90999999997</v>
      </c>
      <c r="J601" s="232" t="s">
        <v>397</v>
      </c>
      <c r="K601" s="233">
        <v>2</v>
      </c>
    </row>
    <row r="602" spans="1:11" s="226" customFormat="1" ht="12.75" customHeight="1" x14ac:dyDescent="0.2">
      <c r="A602" s="226" t="s">
        <v>69</v>
      </c>
      <c r="B602" s="228">
        <v>46107</v>
      </c>
      <c r="C602" s="229" t="s">
        <v>915</v>
      </c>
      <c r="D602" s="229" t="s">
        <v>916</v>
      </c>
      <c r="E602" s="229" t="s">
        <v>288</v>
      </c>
      <c r="F602" s="229" t="s">
        <v>20</v>
      </c>
      <c r="G602" s="227">
        <v>0.44</v>
      </c>
      <c r="H602" s="230"/>
      <c r="I602" s="231">
        <v>301675.34999999998</v>
      </c>
      <c r="J602" s="232" t="s">
        <v>397</v>
      </c>
      <c r="K602" s="233">
        <v>2</v>
      </c>
    </row>
    <row r="603" spans="1:11" s="226" customFormat="1" ht="12.75" customHeight="1" x14ac:dyDescent="0.2">
      <c r="A603" s="226" t="s">
        <v>69</v>
      </c>
      <c r="B603" s="228">
        <v>46107</v>
      </c>
      <c r="C603" s="229" t="s">
        <v>915</v>
      </c>
      <c r="D603" s="229" t="s">
        <v>916</v>
      </c>
      <c r="E603" s="229" t="s">
        <v>288</v>
      </c>
      <c r="F603" s="229" t="s">
        <v>20</v>
      </c>
      <c r="G603" s="227">
        <v>1054.05</v>
      </c>
      <c r="H603" s="230"/>
      <c r="I603" s="231">
        <v>302729.40000000002</v>
      </c>
      <c r="J603" s="232" t="s">
        <v>397</v>
      </c>
      <c r="K603" s="233">
        <v>2</v>
      </c>
    </row>
    <row r="604" spans="1:11" s="226" customFormat="1" ht="12.75" customHeight="1" x14ac:dyDescent="0.2">
      <c r="A604" s="226" t="s">
        <v>69</v>
      </c>
      <c r="B604" s="228">
        <v>46108</v>
      </c>
      <c r="C604" s="229" t="s">
        <v>917</v>
      </c>
      <c r="D604" s="229" t="s">
        <v>322</v>
      </c>
      <c r="E604" s="229" t="s">
        <v>144</v>
      </c>
      <c r="F604" s="229" t="s">
        <v>283</v>
      </c>
      <c r="G604" s="227"/>
      <c r="H604" s="230">
        <v>-616.25</v>
      </c>
      <c r="I604" s="231">
        <v>302113.15000000002</v>
      </c>
      <c r="J604" s="232">
        <v>46108</v>
      </c>
      <c r="K604" s="233">
        <v>-4</v>
      </c>
    </row>
    <row r="605" spans="1:11" s="226" customFormat="1" ht="12.75" customHeight="1" x14ac:dyDescent="0.2">
      <c r="A605" s="226" t="s">
        <v>69</v>
      </c>
      <c r="B605" s="228">
        <v>46108</v>
      </c>
      <c r="C605" s="229" t="s">
        <v>917</v>
      </c>
      <c r="D605" s="229" t="s">
        <v>322</v>
      </c>
      <c r="E605" s="229" t="s">
        <v>144</v>
      </c>
      <c r="F605" s="229" t="s">
        <v>283</v>
      </c>
      <c r="G605" s="227">
        <v>616.25</v>
      </c>
      <c r="H605" s="230"/>
      <c r="I605" s="231">
        <v>302729.40000000002</v>
      </c>
      <c r="J605" s="232">
        <v>46108</v>
      </c>
      <c r="K605" s="233">
        <v>4</v>
      </c>
    </row>
    <row r="606" spans="1:11" s="226" customFormat="1" ht="12.75" customHeight="1" x14ac:dyDescent="0.2">
      <c r="A606" s="226" t="s">
        <v>69</v>
      </c>
      <c r="B606" s="228">
        <v>46108</v>
      </c>
      <c r="C606" s="229" t="s">
        <v>918</v>
      </c>
      <c r="D606" s="229" t="s">
        <v>322</v>
      </c>
      <c r="E606" s="229" t="s">
        <v>144</v>
      </c>
      <c r="F606" s="229" t="s">
        <v>283</v>
      </c>
      <c r="G606" s="227"/>
      <c r="H606" s="230">
        <v>-49.52</v>
      </c>
      <c r="I606" s="231">
        <v>302679.88</v>
      </c>
      <c r="J606" s="232">
        <v>46108</v>
      </c>
      <c r="K606" s="233">
        <v>-4</v>
      </c>
    </row>
    <row r="607" spans="1:11" s="226" customFormat="1" ht="12.75" customHeight="1" x14ac:dyDescent="0.2">
      <c r="A607" s="226" t="s">
        <v>69</v>
      </c>
      <c r="B607" s="228">
        <v>46108</v>
      </c>
      <c r="C607" s="229" t="s">
        <v>918</v>
      </c>
      <c r="D607" s="229" t="s">
        <v>322</v>
      </c>
      <c r="E607" s="229" t="s">
        <v>144</v>
      </c>
      <c r="F607" s="229" t="s">
        <v>283</v>
      </c>
      <c r="G607" s="227">
        <v>49.52</v>
      </c>
      <c r="H607" s="230"/>
      <c r="I607" s="231">
        <v>302729.40000000002</v>
      </c>
      <c r="J607" s="232">
        <v>46108</v>
      </c>
      <c r="K607" s="233">
        <v>4</v>
      </c>
    </row>
    <row r="608" spans="1:11" s="226" customFormat="1" ht="12.75" customHeight="1" x14ac:dyDescent="0.2">
      <c r="A608" s="226" t="s">
        <v>69</v>
      </c>
      <c r="B608" s="228">
        <v>46108</v>
      </c>
      <c r="C608" s="229" t="s">
        <v>919</v>
      </c>
      <c r="D608" s="229" t="s">
        <v>322</v>
      </c>
      <c r="E608" s="229" t="s">
        <v>144</v>
      </c>
      <c r="F608" s="229" t="s">
        <v>283</v>
      </c>
      <c r="G608" s="227"/>
      <c r="H608" s="230">
        <v>-10</v>
      </c>
      <c r="I608" s="231">
        <v>302719.40000000002</v>
      </c>
      <c r="J608" s="232">
        <v>46108</v>
      </c>
      <c r="K608" s="233">
        <v>-4</v>
      </c>
    </row>
    <row r="609" spans="1:11" s="226" customFormat="1" ht="12.75" customHeight="1" x14ac:dyDescent="0.2">
      <c r="A609" s="226" t="s">
        <v>69</v>
      </c>
      <c r="B609" s="228">
        <v>46108</v>
      </c>
      <c r="C609" s="229" t="s">
        <v>919</v>
      </c>
      <c r="D609" s="229" t="s">
        <v>322</v>
      </c>
      <c r="E609" s="229" t="s">
        <v>144</v>
      </c>
      <c r="F609" s="229" t="s">
        <v>283</v>
      </c>
      <c r="G609" s="227">
        <v>10</v>
      </c>
      <c r="H609" s="230"/>
      <c r="I609" s="231">
        <v>302729.40000000002</v>
      </c>
      <c r="J609" s="232">
        <v>46108</v>
      </c>
      <c r="K609" s="233">
        <v>4</v>
      </c>
    </row>
    <row r="610" spans="1:11" s="226" customFormat="1" ht="12.75" customHeight="1" x14ac:dyDescent="0.2">
      <c r="A610" s="226" t="s">
        <v>69</v>
      </c>
      <c r="B610" s="228">
        <v>46108</v>
      </c>
      <c r="C610" s="229" t="s">
        <v>920</v>
      </c>
      <c r="D610" s="229" t="s">
        <v>322</v>
      </c>
      <c r="E610" s="229" t="s">
        <v>144</v>
      </c>
      <c r="F610" s="229" t="s">
        <v>283</v>
      </c>
      <c r="G610" s="227"/>
      <c r="H610" s="230">
        <v>-379.4</v>
      </c>
      <c r="I610" s="231">
        <v>302350</v>
      </c>
      <c r="J610" s="232">
        <v>46108</v>
      </c>
      <c r="K610" s="233">
        <v>-4</v>
      </c>
    </row>
    <row r="611" spans="1:11" s="226" customFormat="1" ht="12.75" customHeight="1" x14ac:dyDescent="0.2">
      <c r="A611" s="226" t="s">
        <v>69</v>
      </c>
      <c r="B611" s="228">
        <v>46108</v>
      </c>
      <c r="C611" s="229" t="s">
        <v>920</v>
      </c>
      <c r="D611" s="229" t="s">
        <v>322</v>
      </c>
      <c r="E611" s="229" t="s">
        <v>144</v>
      </c>
      <c r="F611" s="229" t="s">
        <v>283</v>
      </c>
      <c r="G611" s="227">
        <v>379.4</v>
      </c>
      <c r="H611" s="230"/>
      <c r="I611" s="231">
        <v>302729.40000000002</v>
      </c>
      <c r="J611" s="232">
        <v>46108</v>
      </c>
      <c r="K611" s="233">
        <v>4</v>
      </c>
    </row>
    <row r="612" spans="1:11" s="226" customFormat="1" ht="12.75" customHeight="1" x14ac:dyDescent="0.2">
      <c r="A612" s="226" t="s">
        <v>69</v>
      </c>
      <c r="B612" s="228">
        <v>46108</v>
      </c>
      <c r="C612" s="229" t="s">
        <v>921</v>
      </c>
      <c r="D612" s="229" t="s">
        <v>322</v>
      </c>
      <c r="E612" s="229" t="s">
        <v>144</v>
      </c>
      <c r="F612" s="229" t="s">
        <v>283</v>
      </c>
      <c r="G612" s="227"/>
      <c r="H612" s="230">
        <v>-675.77</v>
      </c>
      <c r="I612" s="231">
        <v>302053.63</v>
      </c>
      <c r="J612" s="232">
        <v>46108</v>
      </c>
      <c r="K612" s="233">
        <v>-4</v>
      </c>
    </row>
    <row r="613" spans="1:11" s="226" customFormat="1" ht="12.75" customHeight="1" x14ac:dyDescent="0.2">
      <c r="A613" s="226" t="s">
        <v>69</v>
      </c>
      <c r="B613" s="228">
        <v>46108</v>
      </c>
      <c r="C613" s="229" t="s">
        <v>921</v>
      </c>
      <c r="D613" s="229" t="s">
        <v>322</v>
      </c>
      <c r="E613" s="229" t="s">
        <v>144</v>
      </c>
      <c r="F613" s="229" t="s">
        <v>283</v>
      </c>
      <c r="G613" s="227">
        <v>675.77</v>
      </c>
      <c r="H613" s="230"/>
      <c r="I613" s="231">
        <v>302729.40000000002</v>
      </c>
      <c r="J613" s="232">
        <v>46108</v>
      </c>
      <c r="K613" s="233">
        <v>4</v>
      </c>
    </row>
    <row r="614" spans="1:11" s="226" customFormat="1" ht="12.75" customHeight="1" x14ac:dyDescent="0.2">
      <c r="A614" s="226" t="s">
        <v>69</v>
      </c>
      <c r="B614" s="228">
        <v>46108</v>
      </c>
      <c r="C614" s="229" t="s">
        <v>922</v>
      </c>
      <c r="D614" s="229" t="s">
        <v>55</v>
      </c>
      <c r="E614" s="229" t="s">
        <v>76</v>
      </c>
      <c r="F614" s="229" t="s">
        <v>19</v>
      </c>
      <c r="G614" s="227">
        <v>1.44</v>
      </c>
      <c r="H614" s="230"/>
      <c r="I614" s="231">
        <v>302730.84000000003</v>
      </c>
      <c r="J614" s="232" t="s">
        <v>397</v>
      </c>
      <c r="K614" s="233">
        <v>2</v>
      </c>
    </row>
    <row r="615" spans="1:11" s="226" customFormat="1" ht="12.75" customHeight="1" x14ac:dyDescent="0.2">
      <c r="A615" s="226" t="s">
        <v>69</v>
      </c>
      <c r="B615" s="228">
        <v>46108</v>
      </c>
      <c r="C615" s="229" t="s">
        <v>922</v>
      </c>
      <c r="D615" s="229" t="s">
        <v>55</v>
      </c>
      <c r="E615" s="229" t="s">
        <v>76</v>
      </c>
      <c r="F615" s="229" t="s">
        <v>19</v>
      </c>
      <c r="G615" s="227">
        <v>1053.56</v>
      </c>
      <c r="H615" s="230"/>
      <c r="I615" s="231">
        <v>303784.40000000002</v>
      </c>
      <c r="J615" s="232" t="s">
        <v>397</v>
      </c>
      <c r="K615" s="233">
        <v>2</v>
      </c>
    </row>
    <row r="616" spans="1:11" s="226" customFormat="1" ht="12.75" customHeight="1" x14ac:dyDescent="0.2">
      <c r="A616" s="226" t="s">
        <v>53</v>
      </c>
      <c r="B616" s="228">
        <v>46108</v>
      </c>
      <c r="C616" s="229" t="s">
        <v>923</v>
      </c>
      <c r="D616" s="229" t="s">
        <v>192</v>
      </c>
      <c r="E616" s="229" t="s">
        <v>955</v>
      </c>
      <c r="F616" s="229" t="s">
        <v>955</v>
      </c>
      <c r="G616" s="227"/>
      <c r="H616" s="230">
        <v>-9.9</v>
      </c>
      <c r="I616" s="231">
        <v>303774.5</v>
      </c>
      <c r="J616" s="232" t="s">
        <v>401</v>
      </c>
      <c r="K616" s="233">
        <v>-2</v>
      </c>
    </row>
    <row r="617" spans="1:11" s="226" customFormat="1" ht="12.75" customHeight="1" x14ac:dyDescent="0.2">
      <c r="A617" s="226" t="s">
        <v>69</v>
      </c>
      <c r="B617" s="228">
        <v>46108</v>
      </c>
      <c r="C617" s="229" t="s">
        <v>923</v>
      </c>
      <c r="D617" s="229" t="s">
        <v>192</v>
      </c>
      <c r="E617" s="229" t="s">
        <v>955</v>
      </c>
      <c r="F617" s="229" t="s">
        <v>955</v>
      </c>
      <c r="G617" s="227"/>
      <c r="H617" s="230">
        <v>-9.9</v>
      </c>
      <c r="I617" s="231">
        <v>303764.59999999998</v>
      </c>
      <c r="J617" s="232" t="s">
        <v>401</v>
      </c>
      <c r="K617" s="233">
        <v>-2</v>
      </c>
    </row>
    <row r="618" spans="1:11" s="226" customFormat="1" ht="12.75" customHeight="1" x14ac:dyDescent="0.2">
      <c r="A618" s="226" t="s">
        <v>69</v>
      </c>
      <c r="B618" s="228">
        <v>46110</v>
      </c>
      <c r="C618" s="229" t="s">
        <v>924</v>
      </c>
      <c r="D618" s="229" t="s">
        <v>55</v>
      </c>
      <c r="E618" s="229" t="s">
        <v>168</v>
      </c>
      <c r="F618" s="229" t="s">
        <v>57</v>
      </c>
      <c r="G618" s="227">
        <v>1005</v>
      </c>
      <c r="H618" s="230"/>
      <c r="I618" s="231">
        <v>304769.59999999998</v>
      </c>
      <c r="J618" s="224" t="s">
        <v>395</v>
      </c>
      <c r="K618" s="233">
        <v>2</v>
      </c>
    </row>
    <row r="619" spans="1:11" s="226" customFormat="1" ht="12.75" customHeight="1" x14ac:dyDescent="0.2">
      <c r="A619" s="226" t="s">
        <v>69</v>
      </c>
      <c r="B619" s="228">
        <v>46110</v>
      </c>
      <c r="C619" s="229" t="s">
        <v>924</v>
      </c>
      <c r="D619" s="229" t="s">
        <v>55</v>
      </c>
      <c r="E619" s="229" t="s">
        <v>168</v>
      </c>
      <c r="F619" s="229" t="s">
        <v>57</v>
      </c>
      <c r="G619" s="227">
        <v>49.52</v>
      </c>
      <c r="H619" s="230"/>
      <c r="I619" s="231">
        <v>304819.12</v>
      </c>
      <c r="J619" s="232" t="s">
        <v>395</v>
      </c>
      <c r="K619" s="233">
        <v>2</v>
      </c>
    </row>
    <row r="620" spans="1:11" s="226" customFormat="1" ht="12.75" customHeight="1" x14ac:dyDescent="0.2">
      <c r="A620" s="226" t="s">
        <v>69</v>
      </c>
      <c r="B620" s="228">
        <v>46110</v>
      </c>
      <c r="C620" s="229" t="s">
        <v>924</v>
      </c>
      <c r="D620" s="229" t="s">
        <v>55</v>
      </c>
      <c r="E620" s="229" t="s">
        <v>168</v>
      </c>
      <c r="F620" s="229" t="s">
        <v>57</v>
      </c>
      <c r="G620" s="227">
        <v>75</v>
      </c>
      <c r="H620" s="230"/>
      <c r="I620" s="231">
        <v>304894.12</v>
      </c>
      <c r="J620" s="232" t="s">
        <v>395</v>
      </c>
      <c r="K620" s="233">
        <v>2</v>
      </c>
    </row>
    <row r="621" spans="1:11" s="226" customFormat="1" ht="12.75" customHeight="1" x14ac:dyDescent="0.2">
      <c r="A621" s="226" t="s">
        <v>69</v>
      </c>
      <c r="B621" s="228">
        <v>46110</v>
      </c>
      <c r="C621" s="229" t="s">
        <v>924</v>
      </c>
      <c r="D621" s="229" t="s">
        <v>55</v>
      </c>
      <c r="E621" s="229" t="s">
        <v>168</v>
      </c>
      <c r="F621" s="229" t="s">
        <v>57</v>
      </c>
      <c r="G621" s="227">
        <v>75</v>
      </c>
      <c r="H621" s="230"/>
      <c r="I621" s="231">
        <v>304969.12</v>
      </c>
      <c r="J621" s="232" t="s">
        <v>395</v>
      </c>
      <c r="K621" s="233">
        <v>2</v>
      </c>
    </row>
    <row r="622" spans="1:11" s="226" customFormat="1" ht="12.75" customHeight="1" x14ac:dyDescent="0.2">
      <c r="A622" s="226" t="s">
        <v>53</v>
      </c>
      <c r="B622" s="228">
        <v>46110</v>
      </c>
      <c r="C622" s="229" t="s">
        <v>925</v>
      </c>
      <c r="D622" s="229" t="s">
        <v>134</v>
      </c>
      <c r="E622" s="229" t="s">
        <v>64</v>
      </c>
      <c r="F622" s="229" t="s">
        <v>1015</v>
      </c>
      <c r="G622" s="227">
        <v>98.08</v>
      </c>
      <c r="H622" s="230"/>
      <c r="I622" s="231">
        <v>305067.2</v>
      </c>
      <c r="J622" s="224"/>
      <c r="K622" s="233">
        <v>1</v>
      </c>
    </row>
    <row r="623" spans="1:11" s="226" customFormat="1" ht="12.75" customHeight="1" x14ac:dyDescent="0.2">
      <c r="A623" s="226" t="s">
        <v>53</v>
      </c>
      <c r="B623" s="228">
        <v>46110</v>
      </c>
      <c r="C623" s="229" t="s">
        <v>925</v>
      </c>
      <c r="D623" s="229" t="s">
        <v>134</v>
      </c>
      <c r="E623" s="229" t="s">
        <v>64</v>
      </c>
      <c r="F623" s="229" t="s">
        <v>1015</v>
      </c>
      <c r="G623" s="227">
        <v>949.92</v>
      </c>
      <c r="H623" s="230"/>
      <c r="I623" s="231">
        <v>306017.12</v>
      </c>
      <c r="J623" s="232"/>
      <c r="K623" s="233">
        <v>1</v>
      </c>
    </row>
    <row r="624" spans="1:11" s="226" customFormat="1" ht="12.75" customHeight="1" x14ac:dyDescent="0.2">
      <c r="A624" s="226" t="s">
        <v>53</v>
      </c>
      <c r="B624" s="228">
        <v>46111</v>
      </c>
      <c r="C624" s="229" t="s">
        <v>926</v>
      </c>
      <c r="D624" s="229" t="s">
        <v>927</v>
      </c>
      <c r="E624" s="229" t="s">
        <v>258</v>
      </c>
      <c r="F624" s="229" t="s">
        <v>1016</v>
      </c>
      <c r="G624" s="227"/>
      <c r="H624" s="230">
        <v>-722.82</v>
      </c>
      <c r="I624" s="231">
        <v>305294.3</v>
      </c>
      <c r="J624" s="232" t="s">
        <v>395</v>
      </c>
      <c r="K624" s="233">
        <v>-2</v>
      </c>
    </row>
    <row r="625" spans="1:11" s="226" customFormat="1" ht="12.75" customHeight="1" x14ac:dyDescent="0.2">
      <c r="A625" s="226" t="s">
        <v>53</v>
      </c>
      <c r="B625" s="228">
        <v>46111</v>
      </c>
      <c r="C625" s="229" t="s">
        <v>928</v>
      </c>
      <c r="D625" s="229" t="s">
        <v>929</v>
      </c>
      <c r="E625" s="229" t="s">
        <v>258</v>
      </c>
      <c r="F625" s="229" t="s">
        <v>1017</v>
      </c>
      <c r="G625" s="227"/>
      <c r="H625" s="230">
        <v>-19.239999999999998</v>
      </c>
      <c r="I625" s="231">
        <v>305275.06</v>
      </c>
      <c r="J625" s="232" t="s">
        <v>395</v>
      </c>
      <c r="K625" s="233">
        <v>-2</v>
      </c>
    </row>
    <row r="626" spans="1:11" s="226" customFormat="1" ht="12.75" customHeight="1" x14ac:dyDescent="0.2">
      <c r="A626" s="226" t="s">
        <v>69</v>
      </c>
      <c r="B626" s="228">
        <v>46111</v>
      </c>
      <c r="C626" s="229" t="s">
        <v>928</v>
      </c>
      <c r="D626" s="229" t="s">
        <v>929</v>
      </c>
      <c r="E626" s="229" t="s">
        <v>258</v>
      </c>
      <c r="F626" s="229" t="s">
        <v>1017</v>
      </c>
      <c r="G626" s="227"/>
      <c r="H626" s="230">
        <v>-5.29</v>
      </c>
      <c r="I626" s="231">
        <v>305269.77</v>
      </c>
      <c r="J626" s="232" t="s">
        <v>395</v>
      </c>
      <c r="K626" s="233">
        <v>-2</v>
      </c>
    </row>
    <row r="627" spans="1:11" s="226" customFormat="1" ht="12.75" customHeight="1" x14ac:dyDescent="0.2">
      <c r="A627" s="226" t="s">
        <v>53</v>
      </c>
      <c r="B627" s="228">
        <v>46111</v>
      </c>
      <c r="C627" s="229" t="s">
        <v>930</v>
      </c>
      <c r="D627" s="229" t="s">
        <v>931</v>
      </c>
      <c r="E627" s="229" t="s">
        <v>63</v>
      </c>
      <c r="F627" s="229" t="s">
        <v>17</v>
      </c>
      <c r="G627" s="227">
        <v>2.9</v>
      </c>
      <c r="H627" s="230"/>
      <c r="I627" s="231">
        <v>305272.67</v>
      </c>
      <c r="J627" s="232"/>
      <c r="K627" s="233">
        <v>1</v>
      </c>
    </row>
    <row r="628" spans="1:11" s="226" customFormat="1" ht="12.75" customHeight="1" x14ac:dyDescent="0.2">
      <c r="A628" s="226" t="s">
        <v>53</v>
      </c>
      <c r="B628" s="228">
        <v>46111</v>
      </c>
      <c r="C628" s="229" t="s">
        <v>930</v>
      </c>
      <c r="D628" s="229" t="s">
        <v>931</v>
      </c>
      <c r="E628" s="229" t="s">
        <v>63</v>
      </c>
      <c r="F628" s="229" t="s">
        <v>17</v>
      </c>
      <c r="G628" s="227">
        <v>1048.96</v>
      </c>
      <c r="H628" s="230"/>
      <c r="I628" s="231">
        <v>306321.63</v>
      </c>
      <c r="J628" s="232"/>
      <c r="K628" s="233">
        <v>1</v>
      </c>
    </row>
    <row r="629" spans="1:11" s="226" customFormat="1" ht="12.75" customHeight="1" x14ac:dyDescent="0.2">
      <c r="A629" s="226" t="s">
        <v>53</v>
      </c>
      <c r="B629" s="228">
        <v>46112</v>
      </c>
      <c r="C629" s="229" t="s">
        <v>932</v>
      </c>
      <c r="D629" s="229" t="s">
        <v>933</v>
      </c>
      <c r="E629" s="229" t="s">
        <v>258</v>
      </c>
      <c r="F629" s="229"/>
      <c r="G629" s="227"/>
      <c r="H629" s="230">
        <v>-1.91</v>
      </c>
      <c r="I629" s="231">
        <v>306319.71999999997</v>
      </c>
      <c r="J629" s="232"/>
      <c r="K629" s="233">
        <v>-1</v>
      </c>
    </row>
    <row r="630" spans="1:11" s="226" customFormat="1" ht="12.75" customHeight="1" x14ac:dyDescent="0.2">
      <c r="A630" s="226" t="s">
        <v>69</v>
      </c>
      <c r="B630" s="228">
        <v>46112</v>
      </c>
      <c r="C630" s="229" t="s">
        <v>932</v>
      </c>
      <c r="D630" s="229" t="s">
        <v>933</v>
      </c>
      <c r="E630" s="229" t="s">
        <v>258</v>
      </c>
      <c r="F630" s="229"/>
      <c r="G630" s="227"/>
      <c r="H630" s="230">
        <v>-0.52</v>
      </c>
      <c r="I630" s="231">
        <v>306319.2</v>
      </c>
      <c r="J630" s="232"/>
      <c r="K630" s="233">
        <v>-1</v>
      </c>
    </row>
    <row r="631" spans="1:11" s="226" customFormat="1" ht="12.75" customHeight="1" x14ac:dyDescent="0.2">
      <c r="A631" s="226" t="s">
        <v>53</v>
      </c>
      <c r="B631" s="228">
        <v>46112</v>
      </c>
      <c r="C631" s="229" t="s">
        <v>934</v>
      </c>
      <c r="D631" s="229" t="s">
        <v>935</v>
      </c>
      <c r="E631" s="229" t="s">
        <v>258</v>
      </c>
      <c r="F631" s="229" t="s">
        <v>1018</v>
      </c>
      <c r="G631" s="227"/>
      <c r="H631" s="230">
        <v>-20</v>
      </c>
      <c r="I631" s="231">
        <v>306299.2</v>
      </c>
      <c r="J631" s="232"/>
      <c r="K631" s="233">
        <v>-1</v>
      </c>
    </row>
    <row r="632" spans="1:11" s="226" customFormat="1" ht="12.75" customHeight="1" x14ac:dyDescent="0.2">
      <c r="A632" s="226" t="s">
        <v>53</v>
      </c>
      <c r="B632" s="228">
        <v>46112</v>
      </c>
      <c r="C632" s="229" t="s">
        <v>934</v>
      </c>
      <c r="D632" s="229" t="s">
        <v>935</v>
      </c>
      <c r="E632" s="229" t="s">
        <v>258</v>
      </c>
      <c r="F632" s="229" t="s">
        <v>1019</v>
      </c>
      <c r="G632" s="227"/>
      <c r="H632" s="230">
        <v>-17.829999999999998</v>
      </c>
      <c r="I632" s="231">
        <v>306281.37</v>
      </c>
      <c r="J632" s="232"/>
      <c r="K632" s="233">
        <v>-1</v>
      </c>
    </row>
    <row r="633" spans="1:11" s="226" customFormat="1" ht="12.75" customHeight="1" x14ac:dyDescent="0.2">
      <c r="A633" s="226" t="s">
        <v>53</v>
      </c>
      <c r="B633" s="228">
        <v>46112</v>
      </c>
      <c r="C633" s="229" t="s">
        <v>934</v>
      </c>
      <c r="D633" s="229" t="s">
        <v>935</v>
      </c>
      <c r="E633" s="229" t="s">
        <v>258</v>
      </c>
      <c r="F633" s="229" t="s">
        <v>1020</v>
      </c>
      <c r="G633" s="227"/>
      <c r="H633" s="230">
        <v>-13.51</v>
      </c>
      <c r="I633" s="231">
        <v>306267.86</v>
      </c>
      <c r="J633" s="232"/>
      <c r="K633" s="233">
        <v>-1</v>
      </c>
    </row>
    <row r="634" spans="1:11" s="226" customFormat="1" ht="12.75" customHeight="1" x14ac:dyDescent="0.2">
      <c r="A634" s="226" t="s">
        <v>53</v>
      </c>
      <c r="B634" s="228">
        <v>46112</v>
      </c>
      <c r="C634" s="229" t="s">
        <v>934</v>
      </c>
      <c r="D634" s="229" t="s">
        <v>935</v>
      </c>
      <c r="E634" s="229" t="s">
        <v>258</v>
      </c>
      <c r="F634" s="229" t="s">
        <v>1021</v>
      </c>
      <c r="G634" s="227">
        <v>6.42</v>
      </c>
      <c r="H634" s="230"/>
      <c r="I634" s="231">
        <v>306274.28000000003</v>
      </c>
      <c r="J634" s="232"/>
      <c r="K634" s="233">
        <v>-1</v>
      </c>
    </row>
    <row r="635" spans="1:11" s="226" customFormat="1" ht="12.75" customHeight="1" x14ac:dyDescent="0.2">
      <c r="A635" s="226" t="s">
        <v>53</v>
      </c>
      <c r="B635" s="228">
        <v>46112</v>
      </c>
      <c r="C635" s="229" t="s">
        <v>934</v>
      </c>
      <c r="D635" s="229" t="s">
        <v>935</v>
      </c>
      <c r="E635" s="229" t="s">
        <v>258</v>
      </c>
      <c r="F635" s="229" t="s">
        <v>1022</v>
      </c>
      <c r="G635" s="227"/>
      <c r="H635" s="230">
        <v>-33.04</v>
      </c>
      <c r="I635" s="231">
        <v>306241.24</v>
      </c>
      <c r="J635" s="232"/>
      <c r="K635" s="233">
        <v>-1</v>
      </c>
    </row>
    <row r="636" spans="1:11" s="226" customFormat="1" ht="12.75" customHeight="1" x14ac:dyDescent="0.2">
      <c r="A636" s="226" t="s">
        <v>53</v>
      </c>
      <c r="B636" s="228">
        <v>46112</v>
      </c>
      <c r="C636" s="229" t="s">
        <v>934</v>
      </c>
      <c r="D636" s="229" t="s">
        <v>935</v>
      </c>
      <c r="E636" s="229" t="s">
        <v>258</v>
      </c>
      <c r="F636" s="229" t="s">
        <v>239</v>
      </c>
      <c r="G636" s="227"/>
      <c r="H636" s="230">
        <v>-97.28</v>
      </c>
      <c r="I636" s="231">
        <v>306143.96000000002</v>
      </c>
      <c r="J636" s="232"/>
      <c r="K636" s="233">
        <v>-1</v>
      </c>
    </row>
    <row r="637" spans="1:11" s="226" customFormat="1" ht="12.75" customHeight="1" x14ac:dyDescent="0.2">
      <c r="A637" s="226" t="s">
        <v>53</v>
      </c>
      <c r="B637" s="228">
        <v>46112</v>
      </c>
      <c r="C637" s="229" t="s">
        <v>934</v>
      </c>
      <c r="D637" s="229" t="s">
        <v>935</v>
      </c>
      <c r="E637" s="229" t="s">
        <v>258</v>
      </c>
      <c r="F637" s="229" t="s">
        <v>1023</v>
      </c>
      <c r="G637" s="227"/>
      <c r="H637" s="230">
        <v>-106.99</v>
      </c>
      <c r="I637" s="231">
        <v>306036.96999999997</v>
      </c>
      <c r="J637" s="232"/>
      <c r="K637" s="233">
        <v>-1</v>
      </c>
    </row>
    <row r="638" spans="1:11" s="226" customFormat="1" ht="12.75" customHeight="1" x14ac:dyDescent="0.2">
      <c r="A638" s="226" t="s">
        <v>53</v>
      </c>
      <c r="B638" s="228">
        <v>46112</v>
      </c>
      <c r="C638" s="229" t="s">
        <v>934</v>
      </c>
      <c r="D638" s="229" t="s">
        <v>935</v>
      </c>
      <c r="E638" s="229" t="s">
        <v>258</v>
      </c>
      <c r="F638" s="229" t="s">
        <v>1024</v>
      </c>
      <c r="G638" s="227"/>
      <c r="H638" s="230">
        <v>-10</v>
      </c>
      <c r="I638" s="231">
        <v>306026.96999999997</v>
      </c>
      <c r="J638" s="232"/>
      <c r="K638" s="233">
        <v>-1</v>
      </c>
    </row>
    <row r="639" spans="1:11" s="226" customFormat="1" ht="12.75" customHeight="1" x14ac:dyDescent="0.2">
      <c r="A639" s="226" t="s">
        <v>53</v>
      </c>
      <c r="B639" s="228">
        <v>46112</v>
      </c>
      <c r="C639" s="229" t="s">
        <v>934</v>
      </c>
      <c r="D639" s="229" t="s">
        <v>935</v>
      </c>
      <c r="E639" s="229" t="s">
        <v>258</v>
      </c>
      <c r="F639" s="229" t="s">
        <v>1025</v>
      </c>
      <c r="G639" s="227"/>
      <c r="H639" s="230">
        <v>-21.38</v>
      </c>
      <c r="I639" s="231">
        <v>306005.59000000003</v>
      </c>
      <c r="J639" s="232"/>
      <c r="K639" s="233">
        <v>-1</v>
      </c>
    </row>
    <row r="640" spans="1:11" s="226" customFormat="1" ht="12.75" customHeight="1" x14ac:dyDescent="0.2">
      <c r="A640" s="226" t="s">
        <v>53</v>
      </c>
      <c r="B640" s="228">
        <v>46112</v>
      </c>
      <c r="C640" s="229" t="s">
        <v>934</v>
      </c>
      <c r="D640" s="229" t="s">
        <v>935</v>
      </c>
      <c r="E640" s="229" t="s">
        <v>258</v>
      </c>
      <c r="F640" s="229" t="s">
        <v>1026</v>
      </c>
      <c r="G640" s="227"/>
      <c r="H640" s="230">
        <v>-241.04</v>
      </c>
      <c r="I640" s="231">
        <v>305764.55</v>
      </c>
      <c r="J640" s="232"/>
      <c r="K640" s="233">
        <v>-1</v>
      </c>
    </row>
    <row r="641" spans="1:11" s="226" customFormat="1" ht="12.75" customHeight="1" x14ac:dyDescent="0.2">
      <c r="A641" s="226" t="s">
        <v>53</v>
      </c>
      <c r="B641" s="228">
        <v>46112</v>
      </c>
      <c r="C641" s="229" t="s">
        <v>934</v>
      </c>
      <c r="D641" s="229" t="s">
        <v>935</v>
      </c>
      <c r="E641" s="229" t="s">
        <v>258</v>
      </c>
      <c r="F641" s="229" t="s">
        <v>1027</v>
      </c>
      <c r="G641" s="227"/>
      <c r="H641" s="230">
        <v>-132.96</v>
      </c>
      <c r="I641" s="231">
        <v>305631.59000000003</v>
      </c>
      <c r="J641" s="232"/>
      <c r="K641" s="233">
        <v>-1</v>
      </c>
    </row>
    <row r="642" spans="1:11" s="226" customFormat="1" ht="12.75" customHeight="1" x14ac:dyDescent="0.2">
      <c r="A642" s="226" t="s">
        <v>53</v>
      </c>
      <c r="B642" s="228">
        <v>46112</v>
      </c>
      <c r="C642" s="229" t="s">
        <v>934</v>
      </c>
      <c r="D642" s="229" t="s">
        <v>935</v>
      </c>
      <c r="E642" s="229" t="s">
        <v>258</v>
      </c>
      <c r="F642" s="229" t="s">
        <v>1028</v>
      </c>
      <c r="G642" s="227"/>
      <c r="H642" s="230">
        <v>-250</v>
      </c>
      <c r="I642" s="231">
        <v>305381.59000000003</v>
      </c>
      <c r="J642" s="232"/>
      <c r="K642" s="233">
        <v>-1</v>
      </c>
    </row>
    <row r="643" spans="1:11" s="226" customFormat="1" ht="12.75" customHeight="1" x14ac:dyDescent="0.2">
      <c r="A643" s="226" t="s">
        <v>53</v>
      </c>
      <c r="B643" s="228">
        <v>46112</v>
      </c>
      <c r="C643" s="229" t="s">
        <v>934</v>
      </c>
      <c r="D643" s="229" t="s">
        <v>935</v>
      </c>
      <c r="E643" s="229" t="s">
        <v>258</v>
      </c>
      <c r="F643" s="229" t="s">
        <v>1029</v>
      </c>
      <c r="G643" s="227"/>
      <c r="H643" s="230">
        <v>-173.81</v>
      </c>
      <c r="I643" s="231">
        <v>305207.78000000003</v>
      </c>
      <c r="J643" s="232"/>
      <c r="K643" s="233">
        <v>-1</v>
      </c>
    </row>
    <row r="644" spans="1:11" s="226" customFormat="1" ht="12.75" customHeight="1" x14ac:dyDescent="0.2">
      <c r="A644" s="226" t="s">
        <v>69</v>
      </c>
      <c r="B644" s="228">
        <v>46112</v>
      </c>
      <c r="C644" s="229" t="s">
        <v>934</v>
      </c>
      <c r="D644" s="229" t="s">
        <v>935</v>
      </c>
      <c r="E644" s="229" t="s">
        <v>258</v>
      </c>
      <c r="F644" s="229" t="s">
        <v>1018</v>
      </c>
      <c r="G644" s="227"/>
      <c r="H644" s="230">
        <v>-20</v>
      </c>
      <c r="I644" s="231">
        <v>305187.78000000003</v>
      </c>
      <c r="J644" s="232"/>
      <c r="K644" s="233">
        <v>-1</v>
      </c>
    </row>
    <row r="645" spans="1:11" s="226" customFormat="1" ht="12.75" customHeight="1" x14ac:dyDescent="0.2">
      <c r="A645" s="226" t="s">
        <v>69</v>
      </c>
      <c r="B645" s="228">
        <v>46112</v>
      </c>
      <c r="C645" s="229" t="s">
        <v>934</v>
      </c>
      <c r="D645" s="229" t="s">
        <v>935</v>
      </c>
      <c r="E645" s="229" t="s">
        <v>258</v>
      </c>
      <c r="F645" s="229" t="s">
        <v>1019</v>
      </c>
      <c r="G645" s="227"/>
      <c r="H645" s="230">
        <v>-17.829999999999998</v>
      </c>
      <c r="I645" s="231">
        <v>305169.95</v>
      </c>
      <c r="J645" s="232"/>
      <c r="K645" s="233">
        <v>-1</v>
      </c>
    </row>
    <row r="646" spans="1:11" s="226" customFormat="1" ht="12.75" customHeight="1" x14ac:dyDescent="0.2">
      <c r="A646" s="226" t="s">
        <v>69</v>
      </c>
      <c r="B646" s="228">
        <v>46112</v>
      </c>
      <c r="C646" s="229" t="s">
        <v>934</v>
      </c>
      <c r="D646" s="229" t="s">
        <v>935</v>
      </c>
      <c r="E646" s="229" t="s">
        <v>258</v>
      </c>
      <c r="F646" s="229" t="s">
        <v>1030</v>
      </c>
      <c r="G646" s="227"/>
      <c r="H646" s="230">
        <v>-37.11</v>
      </c>
      <c r="I646" s="231">
        <v>305132.84000000003</v>
      </c>
      <c r="J646" s="232"/>
      <c r="K646" s="233">
        <v>-1</v>
      </c>
    </row>
    <row r="647" spans="1:11" s="226" customFormat="1" ht="12.75" customHeight="1" x14ac:dyDescent="0.2">
      <c r="A647" s="226" t="s">
        <v>53</v>
      </c>
      <c r="B647" s="228">
        <v>46112</v>
      </c>
      <c r="C647" s="229" t="s">
        <v>936</v>
      </c>
      <c r="D647" s="229" t="s">
        <v>937</v>
      </c>
      <c r="E647" s="229" t="s">
        <v>162</v>
      </c>
      <c r="F647" s="229" t="s">
        <v>20</v>
      </c>
      <c r="G647" s="227">
        <v>673.96</v>
      </c>
      <c r="H647" s="230"/>
      <c r="I647" s="231">
        <v>305806.8</v>
      </c>
      <c r="J647" s="232"/>
      <c r="K647" s="233">
        <v>1</v>
      </c>
    </row>
    <row r="648" spans="1:11" s="226" customFormat="1" ht="12.75" customHeight="1" x14ac:dyDescent="0.2">
      <c r="A648" s="226" t="s">
        <v>53</v>
      </c>
      <c r="B648" s="228">
        <v>46112</v>
      </c>
      <c r="C648" s="229" t="s">
        <v>936</v>
      </c>
      <c r="D648" s="229" t="s">
        <v>937</v>
      </c>
      <c r="E648" s="229" t="s">
        <v>162</v>
      </c>
      <c r="F648" s="229" t="s">
        <v>20</v>
      </c>
      <c r="G648" s="227">
        <v>176.04</v>
      </c>
      <c r="H648" s="230"/>
      <c r="I648" s="231">
        <v>305982.84000000003</v>
      </c>
      <c r="J648" s="232"/>
      <c r="K648" s="233">
        <v>1</v>
      </c>
    </row>
    <row r="649" spans="1:11" s="226" customFormat="1" ht="12.75" customHeight="1" x14ac:dyDescent="0.2">
      <c r="A649" s="226" t="s">
        <v>53</v>
      </c>
      <c r="B649" s="228">
        <v>46112</v>
      </c>
      <c r="C649" s="229" t="s">
        <v>936</v>
      </c>
      <c r="D649" s="229" t="s">
        <v>937</v>
      </c>
      <c r="E649" s="229" t="s">
        <v>162</v>
      </c>
      <c r="F649" s="229" t="s">
        <v>20</v>
      </c>
      <c r="G649" s="227">
        <v>48.96</v>
      </c>
      <c r="H649" s="230"/>
      <c r="I649" s="231">
        <v>306031.8</v>
      </c>
      <c r="J649" s="232"/>
      <c r="K649" s="233">
        <v>1</v>
      </c>
    </row>
    <row r="650" spans="1:11" s="226" customFormat="1" ht="12.75" customHeight="1" x14ac:dyDescent="0.2">
      <c r="A650" s="226" t="s">
        <v>53</v>
      </c>
      <c r="B650" s="228">
        <v>46112</v>
      </c>
      <c r="C650" s="229" t="s">
        <v>936</v>
      </c>
      <c r="D650" s="229" t="s">
        <v>937</v>
      </c>
      <c r="E650" s="229" t="s">
        <v>162</v>
      </c>
      <c r="F650" s="229" t="s">
        <v>20</v>
      </c>
      <c r="G650" s="227">
        <v>75</v>
      </c>
      <c r="H650" s="230"/>
      <c r="I650" s="231">
        <v>306106.8</v>
      </c>
      <c r="J650" s="232"/>
      <c r="K650" s="233">
        <v>1</v>
      </c>
    </row>
    <row r="651" spans="1:11" s="226" customFormat="1" ht="12.75" customHeight="1" x14ac:dyDescent="0.2">
      <c r="A651" s="226" t="s">
        <v>53</v>
      </c>
      <c r="B651" s="228">
        <v>46112</v>
      </c>
      <c r="C651" s="229" t="s">
        <v>936</v>
      </c>
      <c r="D651" s="229" t="s">
        <v>937</v>
      </c>
      <c r="E651" s="229" t="s">
        <v>162</v>
      </c>
      <c r="F651" s="229" t="s">
        <v>20</v>
      </c>
      <c r="G651" s="227">
        <v>75</v>
      </c>
      <c r="H651" s="230"/>
      <c r="I651" s="231">
        <v>306181.8</v>
      </c>
      <c r="J651" s="232"/>
      <c r="K651" s="233">
        <v>1</v>
      </c>
    </row>
    <row r="652" spans="1:11" s="226" customFormat="1" ht="12.75" customHeight="1" x14ac:dyDescent="0.2">
      <c r="A652" s="226" t="s">
        <v>53</v>
      </c>
      <c r="B652" s="228">
        <v>46112</v>
      </c>
      <c r="C652" s="229" t="s">
        <v>938</v>
      </c>
      <c r="D652" s="229" t="s">
        <v>301</v>
      </c>
      <c r="E652" s="229" t="s">
        <v>162</v>
      </c>
      <c r="F652" s="229" t="s">
        <v>20</v>
      </c>
      <c r="G652" s="227">
        <v>75</v>
      </c>
      <c r="H652" s="230"/>
      <c r="I652" s="231">
        <v>306256.8</v>
      </c>
      <c r="J652" s="232"/>
      <c r="K652" s="233">
        <v>1</v>
      </c>
    </row>
    <row r="653" spans="1:11" s="226" customFormat="1" ht="12.75" customHeight="1" x14ac:dyDescent="0.2">
      <c r="A653" s="226" t="s">
        <v>53</v>
      </c>
      <c r="B653" s="228">
        <v>46112</v>
      </c>
      <c r="C653" s="229" t="s">
        <v>938</v>
      </c>
      <c r="D653" s="229" t="s">
        <v>301</v>
      </c>
      <c r="E653" s="229" t="s">
        <v>162</v>
      </c>
      <c r="F653" s="229" t="s">
        <v>20</v>
      </c>
      <c r="G653" s="227">
        <v>75</v>
      </c>
      <c r="H653" s="230"/>
      <c r="I653" s="231">
        <v>306331.8</v>
      </c>
      <c r="J653" s="232"/>
      <c r="K653" s="233">
        <v>1</v>
      </c>
    </row>
    <row r="654" spans="1:11" s="226" customFormat="1" ht="12.75" customHeight="1" x14ac:dyDescent="0.2">
      <c r="A654" s="226" t="s">
        <v>53</v>
      </c>
      <c r="B654" s="228">
        <v>46112</v>
      </c>
      <c r="C654" s="229" t="s">
        <v>938</v>
      </c>
      <c r="D654" s="229" t="s">
        <v>301</v>
      </c>
      <c r="E654" s="229" t="s">
        <v>162</v>
      </c>
      <c r="F654" s="229" t="s">
        <v>20</v>
      </c>
      <c r="G654" s="227">
        <v>26.04</v>
      </c>
      <c r="H654" s="230"/>
      <c r="I654" s="231">
        <v>306357.84000000003</v>
      </c>
      <c r="J654" s="232"/>
      <c r="K654" s="233">
        <v>1</v>
      </c>
    </row>
    <row r="655" spans="1:11" s="226" customFormat="1" ht="12.75" customHeight="1" x14ac:dyDescent="0.2">
      <c r="A655" s="226" t="s">
        <v>53</v>
      </c>
      <c r="B655" s="228">
        <v>46112</v>
      </c>
      <c r="C655" s="229" t="s">
        <v>938</v>
      </c>
      <c r="D655" s="229" t="s">
        <v>301</v>
      </c>
      <c r="E655" s="229" t="s">
        <v>162</v>
      </c>
      <c r="F655" s="229" t="s">
        <v>20</v>
      </c>
      <c r="G655" s="227">
        <v>48.96</v>
      </c>
      <c r="H655" s="230"/>
      <c r="I655" s="231">
        <v>306406.8</v>
      </c>
      <c r="J655" s="232"/>
      <c r="K655" s="233">
        <v>1</v>
      </c>
    </row>
    <row r="656" spans="1:11" s="226" customFormat="1" ht="12.75" customHeight="1" x14ac:dyDescent="0.2">
      <c r="A656" s="226" t="s">
        <v>53</v>
      </c>
      <c r="B656" s="228">
        <v>46112</v>
      </c>
      <c r="C656" s="229" t="s">
        <v>938</v>
      </c>
      <c r="D656" s="229" t="s">
        <v>301</v>
      </c>
      <c r="E656" s="229" t="s">
        <v>162</v>
      </c>
      <c r="F656" s="229" t="s">
        <v>20</v>
      </c>
      <c r="G656" s="227">
        <v>823.96</v>
      </c>
      <c r="H656" s="230"/>
      <c r="I656" s="231">
        <v>307230.76</v>
      </c>
      <c r="J656" s="232"/>
      <c r="K656" s="233">
        <v>1</v>
      </c>
    </row>
    <row r="657" spans="1:11" s="226" customFormat="1" ht="12.75" customHeight="1" x14ac:dyDescent="0.2">
      <c r="A657" s="226" t="s">
        <v>53</v>
      </c>
      <c r="B657" s="228">
        <v>46112</v>
      </c>
      <c r="C657" s="229" t="s">
        <v>939</v>
      </c>
      <c r="D657" s="229" t="s">
        <v>940</v>
      </c>
      <c r="E657" s="229" t="s">
        <v>940</v>
      </c>
      <c r="F657" s="229" t="s">
        <v>195</v>
      </c>
      <c r="G657" s="227"/>
      <c r="H657" s="230">
        <v>-30793.74</v>
      </c>
      <c r="I657" s="231">
        <v>276437.02</v>
      </c>
      <c r="J657" s="232"/>
      <c r="K657" s="233">
        <v>-1</v>
      </c>
    </row>
    <row r="658" spans="1:11" s="226" customFormat="1" ht="12.75" customHeight="1" x14ac:dyDescent="0.2">
      <c r="A658" s="226" t="s">
        <v>69</v>
      </c>
      <c r="B658" s="228">
        <v>46112</v>
      </c>
      <c r="C658" s="229" t="s">
        <v>939</v>
      </c>
      <c r="D658" s="229" t="s">
        <v>940</v>
      </c>
      <c r="E658" s="229" t="s">
        <v>940</v>
      </c>
      <c r="F658" s="229" t="s">
        <v>195</v>
      </c>
      <c r="G658" s="227"/>
      <c r="H658" s="230">
        <v>-29586.15</v>
      </c>
      <c r="I658" s="231">
        <v>246850.87</v>
      </c>
      <c r="J658" s="232"/>
      <c r="K658" s="233">
        <v>-1</v>
      </c>
    </row>
    <row r="659" spans="1:11" s="226" customFormat="1" ht="12.75" customHeight="1" x14ac:dyDescent="0.2">
      <c r="A659" s="226" t="s">
        <v>53</v>
      </c>
      <c r="B659" s="228">
        <v>46112</v>
      </c>
      <c r="C659" s="229" t="s">
        <v>941</v>
      </c>
      <c r="D659" s="229"/>
      <c r="E659" s="229" t="s">
        <v>956</v>
      </c>
      <c r="F659" s="229" t="s">
        <v>1031</v>
      </c>
      <c r="G659" s="227">
        <v>10807.57</v>
      </c>
      <c r="H659" s="230"/>
      <c r="I659" s="231">
        <v>257658.44</v>
      </c>
      <c r="J659" s="232"/>
      <c r="K659" s="233">
        <v>1</v>
      </c>
    </row>
    <row r="660" spans="1:11" s="226" customFormat="1" ht="12.75" customHeight="1" x14ac:dyDescent="0.2">
      <c r="A660" s="226" t="s">
        <v>69</v>
      </c>
      <c r="B660" s="228">
        <v>46112</v>
      </c>
      <c r="C660" s="229" t="s">
        <v>941</v>
      </c>
      <c r="D660" s="229"/>
      <c r="E660" s="229" t="s">
        <v>956</v>
      </c>
      <c r="F660" s="229" t="s">
        <v>1032</v>
      </c>
      <c r="G660" s="227">
        <v>8824.7199999999993</v>
      </c>
      <c r="H660" s="230"/>
      <c r="I660" s="231">
        <v>266483.15999999997</v>
      </c>
      <c r="J660" s="232"/>
      <c r="K660" s="233">
        <v>1</v>
      </c>
    </row>
    <row r="661" spans="1:11" s="226" customFormat="1" ht="12.75" customHeight="1" x14ac:dyDescent="0.2">
      <c r="A661" s="226" t="s">
        <v>53</v>
      </c>
      <c r="B661" s="228">
        <v>46112</v>
      </c>
      <c r="C661" s="229" t="s">
        <v>942</v>
      </c>
      <c r="D661" s="229" t="s">
        <v>943</v>
      </c>
      <c r="E661" s="229" t="s">
        <v>943</v>
      </c>
      <c r="F661" s="229" t="s">
        <v>1033</v>
      </c>
      <c r="G661" s="227">
        <v>706.14</v>
      </c>
      <c r="H661" s="230"/>
      <c r="I661" s="231">
        <v>267189.3</v>
      </c>
      <c r="J661" s="232"/>
      <c r="K661" s="233">
        <v>1</v>
      </c>
    </row>
    <row r="662" spans="1:11" s="226" customFormat="1" ht="12.75" customHeight="1" x14ac:dyDescent="0.2">
      <c r="A662" s="226" t="s">
        <v>53</v>
      </c>
      <c r="B662" s="228">
        <v>46112</v>
      </c>
      <c r="C662" s="229" t="s">
        <v>944</v>
      </c>
      <c r="D662" s="229" t="s">
        <v>945</v>
      </c>
      <c r="E662" s="229" t="s">
        <v>957</v>
      </c>
      <c r="F662" s="229" t="s">
        <v>957</v>
      </c>
      <c r="G662" s="227"/>
      <c r="H662" s="230">
        <v>-4122.76</v>
      </c>
      <c r="I662" s="231">
        <v>263066.53999999998</v>
      </c>
      <c r="J662" s="232"/>
      <c r="K662" s="233">
        <v>-1</v>
      </c>
    </row>
    <row r="663" spans="1:11" s="226" customFormat="1" ht="12.75" customHeight="1" x14ac:dyDescent="0.2">
      <c r="A663" s="226" t="s">
        <v>69</v>
      </c>
      <c r="B663" s="228">
        <v>46112</v>
      </c>
      <c r="C663" s="229" t="s">
        <v>946</v>
      </c>
      <c r="D663" s="229" t="s">
        <v>945</v>
      </c>
      <c r="E663" s="229" t="s">
        <v>958</v>
      </c>
      <c r="F663" s="229" t="s">
        <v>958</v>
      </c>
      <c r="G663" s="227"/>
      <c r="H663" s="230">
        <v>-3994.34</v>
      </c>
      <c r="I663" s="231">
        <v>259072.2</v>
      </c>
      <c r="J663" s="232"/>
      <c r="K663" s="233">
        <v>-1</v>
      </c>
    </row>
    <row r="664" spans="1:11" s="226" customFormat="1" ht="12.75" customHeight="1" x14ac:dyDescent="0.2">
      <c r="A664" s="226" t="s">
        <v>53</v>
      </c>
      <c r="B664" s="228">
        <v>46112</v>
      </c>
      <c r="C664" s="229" t="s">
        <v>1042</v>
      </c>
      <c r="D664" s="229"/>
      <c r="E664" s="229" t="s">
        <v>1044</v>
      </c>
      <c r="F664" s="229" t="s">
        <v>1046</v>
      </c>
      <c r="G664" s="227"/>
      <c r="H664" s="227">
        <v>-1415</v>
      </c>
      <c r="I664" s="231">
        <v>257657.2</v>
      </c>
      <c r="J664" s="232"/>
      <c r="K664" s="233">
        <v>-1</v>
      </c>
    </row>
    <row r="665" spans="1:11" s="226" customFormat="1" ht="12.75" customHeight="1" x14ac:dyDescent="0.2">
      <c r="A665" s="226" t="s">
        <v>69</v>
      </c>
      <c r="B665" s="228">
        <v>46112</v>
      </c>
      <c r="C665" s="229" t="s">
        <v>1043</v>
      </c>
      <c r="D665" s="229"/>
      <c r="E665" s="229" t="s">
        <v>1045</v>
      </c>
      <c r="F665" s="229" t="s">
        <v>1046</v>
      </c>
      <c r="G665" s="227"/>
      <c r="H665" s="227">
        <v>-834</v>
      </c>
      <c r="I665" s="231">
        <v>256823.2</v>
      </c>
      <c r="J665" s="232"/>
      <c r="K665" s="233">
        <v>-1</v>
      </c>
    </row>
    <row r="666" spans="1:11" ht="15" customHeight="1" x14ac:dyDescent="0.2">
      <c r="B666" s="49"/>
      <c r="C666" s="50"/>
      <c r="D666" s="50"/>
      <c r="E666" s="50"/>
      <c r="F666" s="51" t="s">
        <v>196</v>
      </c>
      <c r="G666" s="67">
        <v>251009.37</v>
      </c>
      <c r="H666" s="67">
        <v>158033.04999999999</v>
      </c>
      <c r="I666" s="91">
        <v>256823.2</v>
      </c>
      <c r="J666" s="192"/>
      <c r="K666" s="53"/>
    </row>
    <row r="667" spans="1:11" ht="15" customHeight="1" x14ac:dyDescent="0.2">
      <c r="B667" s="49"/>
      <c r="C667" s="50"/>
      <c r="D667" s="50"/>
      <c r="E667" s="50"/>
      <c r="F667" s="50"/>
      <c r="H667" s="38"/>
      <c r="I667" s="90"/>
      <c r="J667" s="192"/>
      <c r="K667" s="62"/>
    </row>
    <row r="668" spans="1:11" ht="15" customHeight="1" x14ac:dyDescent="0.2">
      <c r="B668" s="49"/>
      <c r="C668" s="50"/>
      <c r="D668" s="50"/>
      <c r="E668" s="50"/>
      <c r="F668" s="50"/>
      <c r="H668" s="38"/>
      <c r="I668" s="38"/>
      <c r="J668" s="192"/>
      <c r="K668" s="62"/>
    </row>
    <row r="669" spans="1:11" ht="15" customHeight="1" thickBot="1" x14ac:dyDescent="0.25">
      <c r="B669" s="49"/>
      <c r="C669" s="50"/>
      <c r="D669" s="50"/>
      <c r="E669" s="50"/>
      <c r="F669" s="50">
        <v>1</v>
      </c>
      <c r="G669" s="39">
        <f>SUMIF(K6:K665,1,H6:H665)+SUMIF(K6:K665,1,G6:G665)</f>
        <v>24536.21</v>
      </c>
      <c r="H669" s="38" t="s">
        <v>197</v>
      </c>
      <c r="I669" s="38"/>
      <c r="J669" s="192"/>
      <c r="K669" s="62"/>
    </row>
    <row r="670" spans="1:11" ht="15" customHeight="1" thickTop="1" x14ac:dyDescent="0.2">
      <c r="B670" s="49"/>
      <c r="C670" s="50"/>
      <c r="D670" s="50"/>
      <c r="E670" s="50"/>
      <c r="F670" s="50"/>
      <c r="G670" s="38"/>
      <c r="H670" s="38"/>
      <c r="I670" s="38"/>
      <c r="J670" s="192"/>
      <c r="K670" s="62"/>
    </row>
    <row r="671" spans="1:11" ht="15" customHeight="1" thickBot="1" x14ac:dyDescent="0.25">
      <c r="B671" s="49"/>
      <c r="C671" s="50"/>
      <c r="D671" s="50"/>
      <c r="E671" s="50"/>
      <c r="F671" s="50">
        <v>-1</v>
      </c>
      <c r="G671" s="39">
        <f>SUMIF(K6:K665,-1,H6:H665)+SUMIF(K6:K665,-1,G6:G665)</f>
        <v>-75559.37</v>
      </c>
      <c r="H671" s="38" t="s">
        <v>41</v>
      </c>
      <c r="I671" s="38"/>
      <c r="J671" s="192"/>
      <c r="K671" s="62"/>
    </row>
    <row r="672" spans="1:11" ht="15" customHeight="1" thickTop="1" x14ac:dyDescent="0.2">
      <c r="B672" s="49"/>
      <c r="C672" s="50"/>
      <c r="D672" s="50"/>
      <c r="E672" s="50"/>
      <c r="F672" s="50"/>
      <c r="G672" s="38"/>
      <c r="H672" s="38"/>
      <c r="I672" s="38"/>
      <c r="J672" s="192"/>
      <c r="K672" s="62"/>
    </row>
    <row r="673" spans="2:11" ht="15" customHeight="1" x14ac:dyDescent="0.2">
      <c r="B673" s="52"/>
      <c r="C673" s="41"/>
      <c r="D673" s="41"/>
      <c r="E673" s="41"/>
      <c r="F673" s="41"/>
      <c r="G673" s="81"/>
      <c r="H673" s="81"/>
      <c r="I673" s="81"/>
      <c r="J673" s="193"/>
      <c r="K673" s="62"/>
    </row>
    <row r="674" spans="2:11" ht="15" customHeight="1" x14ac:dyDescent="0.2">
      <c r="B674" s="52"/>
      <c r="C674" s="41"/>
      <c r="D674" s="41"/>
      <c r="E674" s="41"/>
      <c r="F674" s="41"/>
      <c r="G674" s="81"/>
      <c r="H674" s="81"/>
      <c r="I674" s="81"/>
      <c r="J674" s="193"/>
      <c r="K674" s="62"/>
    </row>
    <row r="675" spans="2:11" ht="15" customHeight="1" x14ac:dyDescent="0.2">
      <c r="B675" s="52"/>
      <c r="C675" s="41"/>
      <c r="D675" s="41"/>
      <c r="E675" s="41"/>
      <c r="F675" s="41"/>
      <c r="G675" s="81"/>
      <c r="H675" s="81"/>
      <c r="I675" s="81"/>
      <c r="J675" s="193"/>
      <c r="K675" s="62"/>
    </row>
    <row r="676" spans="2:11" ht="15" customHeight="1" x14ac:dyDescent="0.2">
      <c r="B676" s="52"/>
      <c r="C676" s="41"/>
      <c r="D676" s="41"/>
      <c r="E676" s="41"/>
      <c r="F676" s="41"/>
      <c r="G676" s="81"/>
      <c r="H676" s="81"/>
      <c r="I676" s="81"/>
      <c r="J676" s="193"/>
      <c r="K676" s="62"/>
    </row>
    <row r="677" spans="2:11" ht="15" customHeight="1" x14ac:dyDescent="0.2">
      <c r="B677" s="52"/>
      <c r="C677" s="41"/>
      <c r="D677" s="41"/>
      <c r="E677" s="41"/>
      <c r="F677" s="41"/>
      <c r="G677" s="81"/>
      <c r="H677" s="81"/>
      <c r="I677" s="81"/>
      <c r="J677" s="193"/>
      <c r="K677" s="62"/>
    </row>
  </sheetData>
  <sortState ref="A6:K697">
    <sortCondition ref="B6:B697"/>
  </sortState>
  <mergeCells count="3">
    <mergeCell ref="B1:H1"/>
    <mergeCell ref="B2:I2"/>
    <mergeCell ref="B3:I3"/>
  </mergeCells>
  <pageMargins left="0.5" right="0.5" top="0.5" bottom="0.5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zoomScale="85" zoomScaleNormal="85" workbookViewId="0">
      <pane ySplit="2" topLeftCell="A3" activePane="bottomLeft" state="frozen"/>
      <selection activeCell="G16" sqref="G16"/>
      <selection pane="bottomLeft" activeCell="A3" sqref="A3"/>
    </sheetView>
  </sheetViews>
  <sheetFormatPr defaultColWidth="9.33203125" defaultRowHeight="12.75" x14ac:dyDescent="0.2"/>
  <cols>
    <col min="1" max="1" width="22.6640625" style="42" customWidth="1"/>
    <col min="2" max="2" width="12" style="2" bestFit="1" customWidth="1"/>
    <col min="3" max="3" width="12.5" style="42" bestFit="1" customWidth="1"/>
    <col min="4" max="4" width="14.33203125" style="42" customWidth="1"/>
    <col min="5" max="5" width="33.83203125" style="2" customWidth="1"/>
    <col min="6" max="6" width="46" style="36" customWidth="1"/>
    <col min="7" max="7" width="14.6640625" style="44" bestFit="1" customWidth="1"/>
    <col min="8" max="8" width="12.1640625" style="44" customWidth="1"/>
    <col min="9" max="9" width="50.1640625" style="36" hidden="1" customWidth="1"/>
    <col min="10" max="10" width="12" style="207" bestFit="1" customWidth="1"/>
    <col min="11" max="12" width="9.33203125" style="2"/>
    <col min="13" max="13" width="12.6640625" style="2" bestFit="1" customWidth="1"/>
    <col min="14" max="16384" width="9.33203125" style="2"/>
  </cols>
  <sheetData>
    <row r="1" spans="1:10" x14ac:dyDescent="0.2">
      <c r="A1" s="58" t="s">
        <v>198</v>
      </c>
    </row>
    <row r="2" spans="1:10" s="34" customFormat="1" x14ac:dyDescent="0.2">
      <c r="A2" s="68" t="s">
        <v>45</v>
      </c>
      <c r="B2" s="63" t="s">
        <v>31</v>
      </c>
      <c r="C2" s="64" t="s">
        <v>46</v>
      </c>
      <c r="D2" s="64" t="s">
        <v>47</v>
      </c>
      <c r="E2" s="65" t="s">
        <v>35</v>
      </c>
      <c r="F2" s="66" t="s">
        <v>48</v>
      </c>
      <c r="G2" s="69" t="s">
        <v>32</v>
      </c>
      <c r="H2" s="69" t="s">
        <v>199</v>
      </c>
      <c r="I2" s="186"/>
      <c r="J2" s="201"/>
    </row>
    <row r="3" spans="1:10" x14ac:dyDescent="0.2">
      <c r="A3" s="34" t="s">
        <v>200</v>
      </c>
      <c r="B3" s="224" t="s">
        <v>395</v>
      </c>
      <c r="D3" s="224" t="s">
        <v>36</v>
      </c>
      <c r="E3" s="226"/>
      <c r="F3" s="226" t="s">
        <v>8</v>
      </c>
      <c r="G3" s="225">
        <v>-425662.57</v>
      </c>
      <c r="H3" s="44" t="s">
        <v>7</v>
      </c>
      <c r="I3" s="36" t="s">
        <v>1041</v>
      </c>
    </row>
    <row r="4" spans="1:10" ht="13.5" thickBot="1" x14ac:dyDescent="0.25">
      <c r="A4" s="34"/>
      <c r="C4" s="58"/>
      <c r="D4" s="58"/>
      <c r="F4" s="75"/>
      <c r="G4" s="77">
        <f>SUM(G3)</f>
        <v>-425662.57</v>
      </c>
    </row>
    <row r="5" spans="1:10" ht="13.5" thickTop="1" x14ac:dyDescent="0.2">
      <c r="A5" s="34"/>
      <c r="B5" s="53"/>
      <c r="C5" s="75"/>
      <c r="D5" s="53"/>
      <c r="E5" s="34"/>
      <c r="F5" s="34"/>
      <c r="G5" s="75"/>
    </row>
    <row r="6" spans="1:10" x14ac:dyDescent="0.2">
      <c r="A6" s="58" t="s">
        <v>201</v>
      </c>
      <c r="C6" s="58"/>
      <c r="D6" s="58"/>
      <c r="F6" s="75"/>
    </row>
    <row r="7" spans="1:10" x14ac:dyDescent="0.2">
      <c r="A7" s="68" t="s">
        <v>45</v>
      </c>
      <c r="B7" s="63" t="s">
        <v>31</v>
      </c>
      <c r="C7" s="64" t="s">
        <v>46</v>
      </c>
      <c r="D7" s="64" t="s">
        <v>47</v>
      </c>
      <c r="E7" s="65" t="s">
        <v>35</v>
      </c>
      <c r="F7" s="92" t="s">
        <v>48</v>
      </c>
      <c r="G7" s="69" t="s">
        <v>32</v>
      </c>
      <c r="H7" s="69" t="s">
        <v>199</v>
      </c>
      <c r="I7" s="186"/>
      <c r="J7" s="208"/>
    </row>
    <row r="8" spans="1:10" s="34" customFormat="1" x14ac:dyDescent="0.2">
      <c r="A8" s="226" t="s">
        <v>53</v>
      </c>
      <c r="B8" s="228">
        <v>46110</v>
      </c>
      <c r="C8" s="229" t="s">
        <v>925</v>
      </c>
      <c r="D8" s="229" t="s">
        <v>134</v>
      </c>
      <c r="E8" s="229" t="s">
        <v>64</v>
      </c>
      <c r="F8" s="229" t="s">
        <v>1015</v>
      </c>
      <c r="G8" s="227">
        <v>98.08</v>
      </c>
      <c r="H8" s="219" t="s">
        <v>15</v>
      </c>
      <c r="I8" s="274" t="s">
        <v>1036</v>
      </c>
      <c r="J8" s="201"/>
    </row>
    <row r="9" spans="1:10" s="34" customFormat="1" x14ac:dyDescent="0.2">
      <c r="A9" s="226" t="s">
        <v>53</v>
      </c>
      <c r="B9" s="228">
        <v>46110</v>
      </c>
      <c r="C9" s="229" t="s">
        <v>925</v>
      </c>
      <c r="D9" s="229" t="s">
        <v>134</v>
      </c>
      <c r="E9" s="229" t="s">
        <v>64</v>
      </c>
      <c r="F9" s="229" t="s">
        <v>1015</v>
      </c>
      <c r="G9" s="227">
        <v>949.92</v>
      </c>
      <c r="H9" s="219" t="s">
        <v>15</v>
      </c>
      <c r="I9" s="274"/>
      <c r="J9" s="201"/>
    </row>
    <row r="10" spans="1:10" s="34" customFormat="1" x14ac:dyDescent="0.2">
      <c r="A10" s="226" t="s">
        <v>53</v>
      </c>
      <c r="B10" s="228">
        <v>46111</v>
      </c>
      <c r="C10" s="229" t="s">
        <v>930</v>
      </c>
      <c r="D10" s="229" t="s">
        <v>931</v>
      </c>
      <c r="E10" s="229" t="s">
        <v>63</v>
      </c>
      <c r="F10" s="229" t="s">
        <v>17</v>
      </c>
      <c r="G10" s="227">
        <v>2.9</v>
      </c>
      <c r="H10" s="219" t="s">
        <v>15</v>
      </c>
      <c r="I10" s="274" t="s">
        <v>1047</v>
      </c>
      <c r="J10" s="201"/>
    </row>
    <row r="11" spans="1:10" s="34" customFormat="1" x14ac:dyDescent="0.2">
      <c r="A11" s="226" t="s">
        <v>53</v>
      </c>
      <c r="B11" s="228">
        <v>46111</v>
      </c>
      <c r="C11" s="229" t="s">
        <v>930</v>
      </c>
      <c r="D11" s="229" t="s">
        <v>931</v>
      </c>
      <c r="E11" s="229" t="s">
        <v>63</v>
      </c>
      <c r="F11" s="229" t="s">
        <v>17</v>
      </c>
      <c r="G11" s="227">
        <v>1048.96</v>
      </c>
      <c r="H11" s="219" t="s">
        <v>15</v>
      </c>
      <c r="I11" s="274"/>
      <c r="J11" s="201"/>
    </row>
    <row r="12" spans="1:10" s="34" customFormat="1" x14ac:dyDescent="0.2">
      <c r="A12" s="226" t="s">
        <v>53</v>
      </c>
      <c r="B12" s="228">
        <v>46112</v>
      </c>
      <c r="C12" s="229" t="s">
        <v>936</v>
      </c>
      <c r="D12" s="229" t="s">
        <v>937</v>
      </c>
      <c r="E12" s="229" t="s">
        <v>162</v>
      </c>
      <c r="F12" s="229" t="s">
        <v>20</v>
      </c>
      <c r="G12" s="227">
        <v>673.96</v>
      </c>
      <c r="H12" s="219" t="s">
        <v>15</v>
      </c>
      <c r="I12" s="274" t="s">
        <v>1037</v>
      </c>
      <c r="J12" s="201"/>
    </row>
    <row r="13" spans="1:10" s="34" customFormat="1" x14ac:dyDescent="0.2">
      <c r="A13" s="226" t="s">
        <v>53</v>
      </c>
      <c r="B13" s="228">
        <v>46112</v>
      </c>
      <c r="C13" s="229" t="s">
        <v>936</v>
      </c>
      <c r="D13" s="229" t="s">
        <v>937</v>
      </c>
      <c r="E13" s="229" t="s">
        <v>162</v>
      </c>
      <c r="F13" s="229" t="s">
        <v>20</v>
      </c>
      <c r="G13" s="227">
        <v>176.04</v>
      </c>
      <c r="H13" s="219" t="s">
        <v>15</v>
      </c>
      <c r="I13" s="274"/>
      <c r="J13" s="201"/>
    </row>
    <row r="14" spans="1:10" s="34" customFormat="1" x14ac:dyDescent="0.2">
      <c r="A14" s="226" t="s">
        <v>53</v>
      </c>
      <c r="B14" s="228">
        <v>46112</v>
      </c>
      <c r="C14" s="229" t="s">
        <v>936</v>
      </c>
      <c r="D14" s="229" t="s">
        <v>937</v>
      </c>
      <c r="E14" s="229" t="s">
        <v>162</v>
      </c>
      <c r="F14" s="229" t="s">
        <v>20</v>
      </c>
      <c r="G14" s="227">
        <v>48.96</v>
      </c>
      <c r="H14" s="219" t="s">
        <v>15</v>
      </c>
      <c r="I14" s="274"/>
      <c r="J14" s="201"/>
    </row>
    <row r="15" spans="1:10" s="34" customFormat="1" x14ac:dyDescent="0.2">
      <c r="A15" s="226" t="s">
        <v>53</v>
      </c>
      <c r="B15" s="228">
        <v>46112</v>
      </c>
      <c r="C15" s="229" t="s">
        <v>936</v>
      </c>
      <c r="D15" s="229" t="s">
        <v>937</v>
      </c>
      <c r="E15" s="229" t="s">
        <v>162</v>
      </c>
      <c r="F15" s="229" t="s">
        <v>20</v>
      </c>
      <c r="G15" s="227">
        <v>75</v>
      </c>
      <c r="H15" s="219" t="s">
        <v>15</v>
      </c>
      <c r="I15" s="274"/>
      <c r="J15" s="201"/>
    </row>
    <row r="16" spans="1:10" s="34" customFormat="1" x14ac:dyDescent="0.2">
      <c r="A16" s="226" t="s">
        <v>53</v>
      </c>
      <c r="B16" s="228">
        <v>46112</v>
      </c>
      <c r="C16" s="229" t="s">
        <v>936</v>
      </c>
      <c r="D16" s="229" t="s">
        <v>937</v>
      </c>
      <c r="E16" s="229" t="s">
        <v>162</v>
      </c>
      <c r="F16" s="229" t="s">
        <v>20</v>
      </c>
      <c r="G16" s="227">
        <v>75</v>
      </c>
      <c r="H16" s="219" t="s">
        <v>15</v>
      </c>
      <c r="I16" s="274"/>
      <c r="J16" s="201"/>
    </row>
    <row r="17" spans="1:12" s="34" customFormat="1" x14ac:dyDescent="0.2">
      <c r="A17" s="226" t="s">
        <v>53</v>
      </c>
      <c r="B17" s="228">
        <v>46112</v>
      </c>
      <c r="C17" s="229" t="s">
        <v>938</v>
      </c>
      <c r="D17" s="229" t="s">
        <v>301</v>
      </c>
      <c r="E17" s="229" t="s">
        <v>162</v>
      </c>
      <c r="F17" s="229" t="s">
        <v>20</v>
      </c>
      <c r="G17" s="227">
        <v>75</v>
      </c>
      <c r="H17" s="219" t="s">
        <v>15</v>
      </c>
      <c r="I17" s="274"/>
      <c r="J17" s="201"/>
    </row>
    <row r="18" spans="1:12" s="34" customFormat="1" x14ac:dyDescent="0.2">
      <c r="A18" s="226" t="s">
        <v>53</v>
      </c>
      <c r="B18" s="228">
        <v>46112</v>
      </c>
      <c r="C18" s="229" t="s">
        <v>938</v>
      </c>
      <c r="D18" s="229" t="s">
        <v>301</v>
      </c>
      <c r="E18" s="229" t="s">
        <v>162</v>
      </c>
      <c r="F18" s="229" t="s">
        <v>20</v>
      </c>
      <c r="G18" s="227">
        <v>75</v>
      </c>
      <c r="H18" s="219" t="s">
        <v>15</v>
      </c>
      <c r="I18" s="274"/>
      <c r="J18" s="201"/>
    </row>
    <row r="19" spans="1:12" s="34" customFormat="1" x14ac:dyDescent="0.2">
      <c r="A19" s="226" t="s">
        <v>53</v>
      </c>
      <c r="B19" s="228">
        <v>46112</v>
      </c>
      <c r="C19" s="229" t="s">
        <v>938</v>
      </c>
      <c r="D19" s="229" t="s">
        <v>301</v>
      </c>
      <c r="E19" s="229" t="s">
        <v>162</v>
      </c>
      <c r="F19" s="229" t="s">
        <v>20</v>
      </c>
      <c r="G19" s="227">
        <v>26.04</v>
      </c>
      <c r="H19" s="219" t="s">
        <v>15</v>
      </c>
      <c r="I19" s="274"/>
      <c r="J19" s="201"/>
    </row>
    <row r="20" spans="1:12" s="34" customFormat="1" x14ac:dyDescent="0.2">
      <c r="A20" s="226" t="s">
        <v>53</v>
      </c>
      <c r="B20" s="228">
        <v>46112</v>
      </c>
      <c r="C20" s="229" t="s">
        <v>938</v>
      </c>
      <c r="D20" s="229" t="s">
        <v>301</v>
      </c>
      <c r="E20" s="229" t="s">
        <v>162</v>
      </c>
      <c r="F20" s="229" t="s">
        <v>20</v>
      </c>
      <c r="G20" s="227">
        <v>48.96</v>
      </c>
      <c r="H20" s="219" t="s">
        <v>15</v>
      </c>
      <c r="I20" s="274"/>
      <c r="J20" s="224"/>
    </row>
    <row r="21" spans="1:12" s="34" customFormat="1" x14ac:dyDescent="0.2">
      <c r="A21" s="226" t="s">
        <v>53</v>
      </c>
      <c r="B21" s="228">
        <v>46112</v>
      </c>
      <c r="C21" s="229" t="s">
        <v>938</v>
      </c>
      <c r="D21" s="229" t="s">
        <v>301</v>
      </c>
      <c r="E21" s="229" t="s">
        <v>162</v>
      </c>
      <c r="F21" s="229" t="s">
        <v>20</v>
      </c>
      <c r="G21" s="227">
        <v>823.96</v>
      </c>
      <c r="H21" s="219" t="s">
        <v>15</v>
      </c>
      <c r="I21" s="274"/>
      <c r="J21" s="224"/>
    </row>
    <row r="22" spans="1:12" s="34" customFormat="1" x14ac:dyDescent="0.2">
      <c r="A22" s="226" t="s">
        <v>53</v>
      </c>
      <c r="B22" s="228">
        <v>46112</v>
      </c>
      <c r="C22" s="229" t="s">
        <v>941</v>
      </c>
      <c r="D22" s="229"/>
      <c r="E22" s="229" t="s">
        <v>956</v>
      </c>
      <c r="F22" s="229" t="s">
        <v>1031</v>
      </c>
      <c r="G22" s="227">
        <v>10807.57</v>
      </c>
      <c r="H22" s="219" t="s">
        <v>15</v>
      </c>
      <c r="I22" s="223" t="s">
        <v>1038</v>
      </c>
      <c r="J22" s="224"/>
    </row>
    <row r="23" spans="1:12" s="34" customFormat="1" x14ac:dyDescent="0.2">
      <c r="A23" s="226" t="s">
        <v>69</v>
      </c>
      <c r="B23" s="228">
        <v>46112</v>
      </c>
      <c r="C23" s="229" t="s">
        <v>941</v>
      </c>
      <c r="D23" s="229"/>
      <c r="E23" s="229" t="s">
        <v>956</v>
      </c>
      <c r="F23" s="229" t="s">
        <v>1032</v>
      </c>
      <c r="G23" s="227">
        <v>8824.7199999999993</v>
      </c>
      <c r="H23" s="219" t="s">
        <v>15</v>
      </c>
      <c r="I23" s="223" t="s">
        <v>1038</v>
      </c>
      <c r="J23" s="224"/>
    </row>
    <row r="24" spans="1:12" s="34" customFormat="1" x14ac:dyDescent="0.2">
      <c r="A24" s="226" t="s">
        <v>53</v>
      </c>
      <c r="B24" s="228">
        <v>46112</v>
      </c>
      <c r="C24" s="229" t="s">
        <v>942</v>
      </c>
      <c r="D24" s="229" t="s">
        <v>943</v>
      </c>
      <c r="E24" s="229" t="s">
        <v>943</v>
      </c>
      <c r="F24" s="229" t="s">
        <v>1033</v>
      </c>
      <c r="G24" s="227">
        <v>706.14</v>
      </c>
      <c r="H24" s="219" t="s">
        <v>15</v>
      </c>
      <c r="I24" s="223" t="s">
        <v>1036</v>
      </c>
      <c r="J24" s="201"/>
    </row>
    <row r="25" spans="1:12" s="34" customFormat="1" ht="12.75" customHeight="1" thickBot="1" x14ac:dyDescent="0.25">
      <c r="B25" s="89"/>
      <c r="C25" s="46"/>
      <c r="D25" s="46"/>
      <c r="E25" s="46"/>
      <c r="F25" s="46"/>
      <c r="G25" s="77">
        <f>SUM(G8:G24)</f>
        <v>24536.21</v>
      </c>
      <c r="H25" s="204"/>
      <c r="I25" s="215"/>
      <c r="J25" s="217"/>
      <c r="K25" s="214"/>
    </row>
    <row r="26" spans="1:12" ht="13.5" thickTop="1" x14ac:dyDescent="0.2">
      <c r="G26" s="2"/>
    </row>
    <row r="27" spans="1:12" s="34" customFormat="1" ht="12.75" customHeight="1" x14ac:dyDescent="0.2">
      <c r="A27" s="34" t="s">
        <v>69</v>
      </c>
      <c r="B27" s="89">
        <v>45985</v>
      </c>
      <c r="C27" s="46" t="s">
        <v>268</v>
      </c>
      <c r="D27" s="46" t="s">
        <v>269</v>
      </c>
      <c r="E27" s="46" t="s">
        <v>264</v>
      </c>
      <c r="F27" s="46" t="s">
        <v>275</v>
      </c>
      <c r="G27" s="218">
        <v>-55.8</v>
      </c>
      <c r="H27" s="44" t="s">
        <v>7</v>
      </c>
      <c r="I27" s="215" t="s">
        <v>276</v>
      </c>
      <c r="J27" s="207"/>
      <c r="K27" s="214"/>
    </row>
    <row r="28" spans="1:12" s="34" customFormat="1" ht="12.75" customHeight="1" x14ac:dyDescent="0.2">
      <c r="A28" s="34" t="s">
        <v>53</v>
      </c>
      <c r="B28" s="89">
        <v>46029</v>
      </c>
      <c r="C28" s="46" t="s">
        <v>284</v>
      </c>
      <c r="D28" s="46" t="s">
        <v>285</v>
      </c>
      <c r="E28" s="46" t="s">
        <v>290</v>
      </c>
      <c r="F28" s="46" t="s">
        <v>274</v>
      </c>
      <c r="G28" s="218">
        <v>-117497.31</v>
      </c>
      <c r="H28" s="44" t="s">
        <v>7</v>
      </c>
      <c r="I28" s="215" t="s">
        <v>276</v>
      </c>
      <c r="J28" s="207"/>
      <c r="K28" s="2"/>
    </row>
    <row r="29" spans="1:12" s="34" customFormat="1" ht="12.75" customHeight="1" x14ac:dyDescent="0.2">
      <c r="A29" s="34" t="s">
        <v>53</v>
      </c>
      <c r="B29" s="89">
        <v>46055</v>
      </c>
      <c r="C29" s="46" t="s">
        <v>299</v>
      </c>
      <c r="D29" s="46" t="s">
        <v>300</v>
      </c>
      <c r="E29" s="46" t="s">
        <v>258</v>
      </c>
      <c r="F29" s="46" t="s">
        <v>273</v>
      </c>
      <c r="G29" s="218">
        <v>-131.55000000000001</v>
      </c>
      <c r="H29" s="44" t="s">
        <v>7</v>
      </c>
      <c r="I29" s="274" t="s">
        <v>295</v>
      </c>
      <c r="J29" s="207"/>
      <c r="K29" s="214"/>
      <c r="L29" s="76"/>
    </row>
    <row r="30" spans="1:12" s="34" customFormat="1" ht="12.75" customHeight="1" x14ac:dyDescent="0.2">
      <c r="A30" s="34" t="s">
        <v>69</v>
      </c>
      <c r="B30" s="89">
        <v>46055</v>
      </c>
      <c r="C30" s="46" t="s">
        <v>299</v>
      </c>
      <c r="D30" s="46" t="s">
        <v>300</v>
      </c>
      <c r="E30" s="46" t="s">
        <v>258</v>
      </c>
      <c r="F30" s="46" t="s">
        <v>273</v>
      </c>
      <c r="G30" s="218">
        <v>-131.55000000000001</v>
      </c>
      <c r="H30" s="44" t="s">
        <v>7</v>
      </c>
      <c r="I30" s="274"/>
      <c r="J30" s="207"/>
      <c r="K30" s="214"/>
    </row>
    <row r="31" spans="1:12" s="34" customFormat="1" ht="12.75" customHeight="1" x14ac:dyDescent="0.2">
      <c r="A31" s="226" t="s">
        <v>53</v>
      </c>
      <c r="B31" s="228">
        <v>46098</v>
      </c>
      <c r="C31" s="229" t="s">
        <v>854</v>
      </c>
      <c r="D31" s="229" t="s">
        <v>855</v>
      </c>
      <c r="E31" s="229" t="s">
        <v>953</v>
      </c>
      <c r="F31" s="229" t="s">
        <v>1000</v>
      </c>
      <c r="G31" s="230">
        <v>-225</v>
      </c>
      <c r="H31" s="44" t="s">
        <v>7</v>
      </c>
      <c r="I31" s="274" t="s">
        <v>276</v>
      </c>
      <c r="J31" s="207"/>
      <c r="K31" s="214"/>
    </row>
    <row r="32" spans="1:12" s="34" customFormat="1" ht="12.75" customHeight="1" x14ac:dyDescent="0.2">
      <c r="A32" s="226" t="s">
        <v>69</v>
      </c>
      <c r="B32" s="228">
        <v>46098</v>
      </c>
      <c r="C32" s="229" t="s">
        <v>854</v>
      </c>
      <c r="D32" s="229" t="s">
        <v>855</v>
      </c>
      <c r="E32" s="229" t="s">
        <v>953</v>
      </c>
      <c r="F32" s="229" t="s">
        <v>1000</v>
      </c>
      <c r="G32" s="230">
        <v>-225</v>
      </c>
      <c r="H32" s="44" t="s">
        <v>7</v>
      </c>
      <c r="I32" s="274"/>
      <c r="J32" s="207"/>
      <c r="K32" s="214"/>
    </row>
    <row r="33" spans="1:11" x14ac:dyDescent="0.2">
      <c r="A33" s="226" t="s">
        <v>53</v>
      </c>
      <c r="B33" s="228">
        <v>46106</v>
      </c>
      <c r="C33" s="229" t="s">
        <v>907</v>
      </c>
      <c r="D33" s="229" t="s">
        <v>908</v>
      </c>
      <c r="E33" s="229" t="s">
        <v>245</v>
      </c>
      <c r="F33" s="229" t="s">
        <v>1013</v>
      </c>
      <c r="G33" s="230">
        <v>-1400</v>
      </c>
      <c r="H33" s="44" t="s">
        <v>7</v>
      </c>
      <c r="I33" s="274" t="s">
        <v>1036</v>
      </c>
      <c r="K33" s="214"/>
    </row>
    <row r="34" spans="1:11" x14ac:dyDescent="0.2">
      <c r="A34" s="226" t="s">
        <v>69</v>
      </c>
      <c r="B34" s="228">
        <v>46106</v>
      </c>
      <c r="C34" s="229" t="s">
        <v>907</v>
      </c>
      <c r="D34" s="229" t="s">
        <v>908</v>
      </c>
      <c r="E34" s="229" t="s">
        <v>245</v>
      </c>
      <c r="F34" s="229" t="s">
        <v>1013</v>
      </c>
      <c r="G34" s="230">
        <v>-1400</v>
      </c>
      <c r="H34" s="44" t="s">
        <v>7</v>
      </c>
      <c r="I34" s="274"/>
      <c r="K34" s="214"/>
    </row>
    <row r="35" spans="1:11" x14ac:dyDescent="0.2">
      <c r="A35" s="226" t="s">
        <v>69</v>
      </c>
      <c r="B35" s="228">
        <v>46106</v>
      </c>
      <c r="C35" s="229" t="s">
        <v>909</v>
      </c>
      <c r="D35" s="229" t="s">
        <v>910</v>
      </c>
      <c r="E35" s="229" t="s">
        <v>346</v>
      </c>
      <c r="F35" s="229" t="s">
        <v>1014</v>
      </c>
      <c r="G35" s="230">
        <v>-374.59</v>
      </c>
      <c r="H35" s="44" t="s">
        <v>7</v>
      </c>
      <c r="I35" s="237" t="s">
        <v>1037</v>
      </c>
      <c r="K35" s="214"/>
    </row>
    <row r="36" spans="1:11" x14ac:dyDescent="0.2">
      <c r="A36" s="226" t="s">
        <v>53</v>
      </c>
      <c r="B36" s="228">
        <v>46112</v>
      </c>
      <c r="C36" s="229" t="s">
        <v>932</v>
      </c>
      <c r="D36" s="229" t="s">
        <v>933</v>
      </c>
      <c r="E36" s="229" t="s">
        <v>258</v>
      </c>
      <c r="F36" s="229"/>
      <c r="G36" s="230">
        <v>-1.91</v>
      </c>
      <c r="H36" s="44" t="s">
        <v>7</v>
      </c>
      <c r="I36" s="273" t="s">
        <v>1036</v>
      </c>
      <c r="K36" s="214"/>
    </row>
    <row r="37" spans="1:11" x14ac:dyDescent="0.2">
      <c r="A37" s="226" t="s">
        <v>69</v>
      </c>
      <c r="B37" s="228">
        <v>46112</v>
      </c>
      <c r="C37" s="229" t="s">
        <v>932</v>
      </c>
      <c r="D37" s="229" t="s">
        <v>933</v>
      </c>
      <c r="E37" s="229" t="s">
        <v>258</v>
      </c>
      <c r="F37" s="229"/>
      <c r="G37" s="230">
        <v>-0.52</v>
      </c>
      <c r="H37" s="44" t="s">
        <v>7</v>
      </c>
      <c r="I37" s="273"/>
      <c r="K37" s="214"/>
    </row>
    <row r="38" spans="1:11" x14ac:dyDescent="0.2">
      <c r="A38" s="226" t="s">
        <v>53</v>
      </c>
      <c r="B38" s="228">
        <v>46112</v>
      </c>
      <c r="C38" s="229" t="s">
        <v>934</v>
      </c>
      <c r="D38" s="229" t="s">
        <v>935</v>
      </c>
      <c r="E38" s="229" t="s">
        <v>258</v>
      </c>
      <c r="F38" s="229" t="s">
        <v>1018</v>
      </c>
      <c r="G38" s="230">
        <v>-20</v>
      </c>
      <c r="H38" s="44" t="s">
        <v>7</v>
      </c>
      <c r="I38" s="273"/>
      <c r="K38" s="214"/>
    </row>
    <row r="39" spans="1:11" x14ac:dyDescent="0.2">
      <c r="A39" s="226" t="s">
        <v>53</v>
      </c>
      <c r="B39" s="228">
        <v>46112</v>
      </c>
      <c r="C39" s="229" t="s">
        <v>934</v>
      </c>
      <c r="D39" s="229" t="s">
        <v>935</v>
      </c>
      <c r="E39" s="229" t="s">
        <v>258</v>
      </c>
      <c r="F39" s="229" t="s">
        <v>1019</v>
      </c>
      <c r="G39" s="230">
        <v>-17.829999999999998</v>
      </c>
      <c r="H39" s="44" t="s">
        <v>7</v>
      </c>
      <c r="I39" s="273"/>
      <c r="K39" s="214"/>
    </row>
    <row r="40" spans="1:11" x14ac:dyDescent="0.2">
      <c r="A40" s="226" t="s">
        <v>53</v>
      </c>
      <c r="B40" s="228">
        <v>46112</v>
      </c>
      <c r="C40" s="229" t="s">
        <v>934</v>
      </c>
      <c r="D40" s="229" t="s">
        <v>935</v>
      </c>
      <c r="E40" s="229" t="s">
        <v>258</v>
      </c>
      <c r="F40" s="229" t="s">
        <v>1020</v>
      </c>
      <c r="G40" s="230">
        <v>-13.51</v>
      </c>
      <c r="H40" s="44" t="s">
        <v>7</v>
      </c>
      <c r="I40" s="273"/>
      <c r="K40" s="214"/>
    </row>
    <row r="41" spans="1:11" x14ac:dyDescent="0.2">
      <c r="A41" s="226" t="s">
        <v>53</v>
      </c>
      <c r="B41" s="228">
        <v>46112</v>
      </c>
      <c r="C41" s="229" t="s">
        <v>934</v>
      </c>
      <c r="D41" s="229" t="s">
        <v>935</v>
      </c>
      <c r="E41" s="229" t="s">
        <v>258</v>
      </c>
      <c r="F41" s="229" t="s">
        <v>1021</v>
      </c>
      <c r="G41" s="227">
        <v>6.42</v>
      </c>
      <c r="H41" s="44" t="s">
        <v>7</v>
      </c>
      <c r="I41" s="273"/>
      <c r="K41" s="214"/>
    </row>
    <row r="42" spans="1:11" x14ac:dyDescent="0.2">
      <c r="A42" s="226" t="s">
        <v>53</v>
      </c>
      <c r="B42" s="228">
        <v>46112</v>
      </c>
      <c r="C42" s="229" t="s">
        <v>934</v>
      </c>
      <c r="D42" s="229" t="s">
        <v>935</v>
      </c>
      <c r="E42" s="229" t="s">
        <v>258</v>
      </c>
      <c r="F42" s="229" t="s">
        <v>1022</v>
      </c>
      <c r="G42" s="230">
        <v>-33.04</v>
      </c>
      <c r="H42" s="44" t="s">
        <v>7</v>
      </c>
      <c r="I42" s="273"/>
      <c r="K42" s="214"/>
    </row>
    <row r="43" spans="1:11" x14ac:dyDescent="0.2">
      <c r="A43" s="226" t="s">
        <v>53</v>
      </c>
      <c r="B43" s="228">
        <v>46112</v>
      </c>
      <c r="C43" s="229" t="s">
        <v>934</v>
      </c>
      <c r="D43" s="229" t="s">
        <v>935</v>
      </c>
      <c r="E43" s="229" t="s">
        <v>258</v>
      </c>
      <c r="F43" s="229" t="s">
        <v>239</v>
      </c>
      <c r="G43" s="230">
        <v>-97.28</v>
      </c>
      <c r="H43" s="44" t="s">
        <v>7</v>
      </c>
      <c r="I43" s="273"/>
      <c r="K43" s="214"/>
    </row>
    <row r="44" spans="1:11" x14ac:dyDescent="0.2">
      <c r="A44" s="226" t="s">
        <v>53</v>
      </c>
      <c r="B44" s="228">
        <v>46112</v>
      </c>
      <c r="C44" s="229" t="s">
        <v>934</v>
      </c>
      <c r="D44" s="229" t="s">
        <v>935</v>
      </c>
      <c r="E44" s="229" t="s">
        <v>258</v>
      </c>
      <c r="F44" s="229" t="s">
        <v>1023</v>
      </c>
      <c r="G44" s="230">
        <v>-106.99</v>
      </c>
      <c r="H44" s="44" t="s">
        <v>7</v>
      </c>
      <c r="I44" s="273"/>
      <c r="K44" s="214"/>
    </row>
    <row r="45" spans="1:11" x14ac:dyDescent="0.2">
      <c r="A45" s="226" t="s">
        <v>53</v>
      </c>
      <c r="B45" s="228">
        <v>46112</v>
      </c>
      <c r="C45" s="229" t="s">
        <v>934</v>
      </c>
      <c r="D45" s="229" t="s">
        <v>935</v>
      </c>
      <c r="E45" s="229" t="s">
        <v>258</v>
      </c>
      <c r="F45" s="229" t="s">
        <v>1024</v>
      </c>
      <c r="G45" s="230">
        <v>-10</v>
      </c>
      <c r="H45" s="44" t="s">
        <v>7</v>
      </c>
      <c r="I45" s="273"/>
      <c r="K45" s="214"/>
    </row>
    <row r="46" spans="1:11" x14ac:dyDescent="0.2">
      <c r="A46" s="226" t="s">
        <v>53</v>
      </c>
      <c r="B46" s="228">
        <v>46112</v>
      </c>
      <c r="C46" s="229" t="s">
        <v>934</v>
      </c>
      <c r="D46" s="229" t="s">
        <v>935</v>
      </c>
      <c r="E46" s="229" t="s">
        <v>258</v>
      </c>
      <c r="F46" s="229" t="s">
        <v>1025</v>
      </c>
      <c r="G46" s="230">
        <v>-21.38</v>
      </c>
      <c r="H46" s="44" t="s">
        <v>7</v>
      </c>
      <c r="I46" s="273"/>
      <c r="K46" s="214"/>
    </row>
    <row r="47" spans="1:11" x14ac:dyDescent="0.2">
      <c r="A47" s="226" t="s">
        <v>53</v>
      </c>
      <c r="B47" s="228">
        <v>46112</v>
      </c>
      <c r="C47" s="229" t="s">
        <v>934</v>
      </c>
      <c r="D47" s="229" t="s">
        <v>935</v>
      </c>
      <c r="E47" s="229" t="s">
        <v>258</v>
      </c>
      <c r="F47" s="229" t="s">
        <v>1026</v>
      </c>
      <c r="G47" s="230">
        <v>-241.04</v>
      </c>
      <c r="H47" s="44" t="s">
        <v>7</v>
      </c>
      <c r="I47" s="273"/>
      <c r="K47" s="214"/>
    </row>
    <row r="48" spans="1:11" x14ac:dyDescent="0.2">
      <c r="A48" s="226" t="s">
        <v>53</v>
      </c>
      <c r="B48" s="228">
        <v>46112</v>
      </c>
      <c r="C48" s="229" t="s">
        <v>934</v>
      </c>
      <c r="D48" s="229" t="s">
        <v>935</v>
      </c>
      <c r="E48" s="229" t="s">
        <v>258</v>
      </c>
      <c r="F48" s="229" t="s">
        <v>1027</v>
      </c>
      <c r="G48" s="230">
        <v>-132.96</v>
      </c>
      <c r="H48" s="44" t="s">
        <v>7</v>
      </c>
      <c r="I48" s="273"/>
      <c r="K48" s="214"/>
    </row>
    <row r="49" spans="1:12" x14ac:dyDescent="0.2">
      <c r="A49" s="226" t="s">
        <v>53</v>
      </c>
      <c r="B49" s="228">
        <v>46112</v>
      </c>
      <c r="C49" s="229" t="s">
        <v>934</v>
      </c>
      <c r="D49" s="229" t="s">
        <v>935</v>
      </c>
      <c r="E49" s="229" t="s">
        <v>258</v>
      </c>
      <c r="F49" s="229" t="s">
        <v>1028</v>
      </c>
      <c r="G49" s="230">
        <v>-250</v>
      </c>
      <c r="H49" s="44" t="s">
        <v>7</v>
      </c>
      <c r="I49" s="273"/>
      <c r="K49" s="214"/>
    </row>
    <row r="50" spans="1:12" x14ac:dyDescent="0.2">
      <c r="A50" s="226" t="s">
        <v>53</v>
      </c>
      <c r="B50" s="228">
        <v>46112</v>
      </c>
      <c r="C50" s="229" t="s">
        <v>934</v>
      </c>
      <c r="D50" s="229" t="s">
        <v>935</v>
      </c>
      <c r="E50" s="229" t="s">
        <v>258</v>
      </c>
      <c r="F50" s="229" t="s">
        <v>1029</v>
      </c>
      <c r="G50" s="230">
        <v>-173.81</v>
      </c>
      <c r="H50" s="44" t="s">
        <v>7</v>
      </c>
      <c r="I50" s="273"/>
      <c r="K50" s="214"/>
    </row>
    <row r="51" spans="1:12" x14ac:dyDescent="0.2">
      <c r="A51" s="226" t="s">
        <v>69</v>
      </c>
      <c r="B51" s="228">
        <v>46112</v>
      </c>
      <c r="C51" s="229" t="s">
        <v>934</v>
      </c>
      <c r="D51" s="229" t="s">
        <v>935</v>
      </c>
      <c r="E51" s="229" t="s">
        <v>258</v>
      </c>
      <c r="F51" s="229" t="s">
        <v>1018</v>
      </c>
      <c r="G51" s="230">
        <v>-20</v>
      </c>
      <c r="H51" s="44" t="s">
        <v>7</v>
      </c>
      <c r="I51" s="273"/>
      <c r="K51" s="214"/>
    </row>
    <row r="52" spans="1:12" x14ac:dyDescent="0.2">
      <c r="A52" s="226" t="s">
        <v>69</v>
      </c>
      <c r="B52" s="228">
        <v>46112</v>
      </c>
      <c r="C52" s="229" t="s">
        <v>934</v>
      </c>
      <c r="D52" s="229" t="s">
        <v>935</v>
      </c>
      <c r="E52" s="229" t="s">
        <v>258</v>
      </c>
      <c r="F52" s="229" t="s">
        <v>1019</v>
      </c>
      <c r="G52" s="230">
        <v>-17.829999999999998</v>
      </c>
      <c r="H52" s="44" t="s">
        <v>7</v>
      </c>
      <c r="I52" s="273"/>
      <c r="K52" s="214"/>
    </row>
    <row r="53" spans="1:12" x14ac:dyDescent="0.2">
      <c r="A53" s="226" t="s">
        <v>69</v>
      </c>
      <c r="B53" s="228">
        <v>46112</v>
      </c>
      <c r="C53" s="229" t="s">
        <v>934</v>
      </c>
      <c r="D53" s="229" t="s">
        <v>935</v>
      </c>
      <c r="E53" s="229" t="s">
        <v>258</v>
      </c>
      <c r="F53" s="229" t="s">
        <v>1030</v>
      </c>
      <c r="G53" s="230">
        <v>-37.11</v>
      </c>
      <c r="H53" s="44" t="s">
        <v>7</v>
      </c>
      <c r="I53" s="273"/>
      <c r="K53" s="214"/>
    </row>
    <row r="54" spans="1:12" x14ac:dyDescent="0.2">
      <c r="A54" s="226" t="s">
        <v>53</v>
      </c>
      <c r="B54" s="228">
        <v>46112</v>
      </c>
      <c r="C54" s="229" t="s">
        <v>939</v>
      </c>
      <c r="D54" s="229" t="s">
        <v>940</v>
      </c>
      <c r="E54" s="229" t="s">
        <v>940</v>
      </c>
      <c r="F54" s="229" t="s">
        <v>195</v>
      </c>
      <c r="G54" s="230">
        <v>-30793.74</v>
      </c>
      <c r="H54" s="44" t="s">
        <v>7</v>
      </c>
      <c r="I54" s="273" t="s">
        <v>1047</v>
      </c>
      <c r="K54" s="214"/>
    </row>
    <row r="55" spans="1:12" x14ac:dyDescent="0.2">
      <c r="A55" s="226" t="s">
        <v>69</v>
      </c>
      <c r="B55" s="228">
        <v>46112</v>
      </c>
      <c r="C55" s="229" t="s">
        <v>939</v>
      </c>
      <c r="D55" s="229" t="s">
        <v>940</v>
      </c>
      <c r="E55" s="229" t="s">
        <v>940</v>
      </c>
      <c r="F55" s="229" t="s">
        <v>195</v>
      </c>
      <c r="G55" s="230">
        <v>-29586.15</v>
      </c>
      <c r="H55" s="44" t="s">
        <v>7</v>
      </c>
      <c r="I55" s="273"/>
      <c r="K55" s="214"/>
    </row>
    <row r="56" spans="1:12" x14ac:dyDescent="0.2">
      <c r="A56" s="226" t="s">
        <v>53</v>
      </c>
      <c r="B56" s="228">
        <v>46112</v>
      </c>
      <c r="C56" s="229" t="s">
        <v>944</v>
      </c>
      <c r="D56" s="229" t="s">
        <v>945</v>
      </c>
      <c r="E56" s="229" t="s">
        <v>957</v>
      </c>
      <c r="F56" s="229" t="s">
        <v>957</v>
      </c>
      <c r="G56" s="230">
        <v>-4122.76</v>
      </c>
      <c r="H56" s="44" t="s">
        <v>7</v>
      </c>
      <c r="I56" s="237" t="s">
        <v>1039</v>
      </c>
      <c r="K56" s="214"/>
    </row>
    <row r="57" spans="1:12" x14ac:dyDescent="0.2">
      <c r="A57" s="226" t="s">
        <v>69</v>
      </c>
      <c r="B57" s="228">
        <v>46112</v>
      </c>
      <c r="C57" s="229" t="s">
        <v>946</v>
      </c>
      <c r="D57" s="229" t="s">
        <v>945</v>
      </c>
      <c r="E57" s="229" t="s">
        <v>958</v>
      </c>
      <c r="F57" s="229" t="s">
        <v>958</v>
      </c>
      <c r="G57" s="230">
        <v>-3994.34</v>
      </c>
      <c r="H57" s="44" t="s">
        <v>7</v>
      </c>
      <c r="I57" s="237" t="s">
        <v>1040</v>
      </c>
      <c r="K57" s="214"/>
    </row>
    <row r="58" spans="1:12" s="226" customFormat="1" ht="12.75" customHeight="1" x14ac:dyDescent="0.2">
      <c r="A58" s="226" t="s">
        <v>53</v>
      </c>
      <c r="B58" s="228">
        <v>46112</v>
      </c>
      <c r="C58" s="229" t="s">
        <v>1042</v>
      </c>
      <c r="D58" s="229"/>
      <c r="E58" s="229" t="s">
        <v>1044</v>
      </c>
      <c r="F58" s="229" t="s">
        <v>1046</v>
      </c>
      <c r="G58" s="227">
        <v>-1415</v>
      </c>
      <c r="H58" s="44" t="s">
        <v>7</v>
      </c>
      <c r="I58" s="237" t="s">
        <v>1048</v>
      </c>
      <c r="J58" s="232"/>
      <c r="K58" s="233"/>
      <c r="L58" s="227"/>
    </row>
    <row r="59" spans="1:12" s="226" customFormat="1" ht="12.75" customHeight="1" x14ac:dyDescent="0.2">
      <c r="A59" s="226" t="s">
        <v>69</v>
      </c>
      <c r="B59" s="228">
        <v>46112</v>
      </c>
      <c r="C59" s="229" t="s">
        <v>1043</v>
      </c>
      <c r="D59" s="229"/>
      <c r="E59" s="229" t="s">
        <v>1045</v>
      </c>
      <c r="F59" s="229" t="s">
        <v>1046</v>
      </c>
      <c r="G59" s="227">
        <v>-834</v>
      </c>
      <c r="H59" s="44" t="s">
        <v>7</v>
      </c>
      <c r="I59" s="237" t="s">
        <v>1049</v>
      </c>
      <c r="J59" s="232"/>
      <c r="K59" s="233"/>
    </row>
    <row r="60" spans="1:12" ht="13.5" thickBot="1" x14ac:dyDescent="0.25">
      <c r="G60" s="77">
        <f>SUM(G27:G59)</f>
        <v>-193375.58000000002</v>
      </c>
    </row>
    <row r="61" spans="1:12" ht="13.5" thickTop="1" x14ac:dyDescent="0.2"/>
  </sheetData>
  <mergeCells count="8">
    <mergeCell ref="I54:I55"/>
    <mergeCell ref="I36:I53"/>
    <mergeCell ref="I29:I30"/>
    <mergeCell ref="I8:I9"/>
    <mergeCell ref="I10:I11"/>
    <mergeCell ref="I12:I21"/>
    <mergeCell ref="I31:I32"/>
    <mergeCell ref="I33:I3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ColWidth="9.33203125" defaultRowHeight="12.75" x14ac:dyDescent="0.2"/>
  <cols>
    <col min="1" max="1" width="12" style="45" bestFit="1" customWidth="1"/>
    <col min="2" max="2" width="12.6640625" style="43" bestFit="1" customWidth="1"/>
    <col min="3" max="3" width="14.6640625" style="43" customWidth="1"/>
    <col min="4" max="4" width="20.5" style="43" customWidth="1"/>
    <col min="5" max="5" width="57.33203125" style="43" customWidth="1"/>
    <col min="6" max="6" width="56.1640625" style="43" customWidth="1"/>
    <col min="7" max="7" width="13.5" style="43" bestFit="1" customWidth="1"/>
    <col min="8" max="8" width="14.6640625" style="43" bestFit="1" customWidth="1"/>
    <col min="9" max="9" width="17.33203125" style="206" customWidth="1"/>
    <col min="10" max="10" width="12" style="43" bestFit="1" customWidth="1"/>
    <col min="11" max="16384" width="9.33203125" style="43"/>
  </cols>
  <sheetData>
    <row r="1" spans="1:11" x14ac:dyDescent="0.2">
      <c r="A1" s="104" t="s">
        <v>198</v>
      </c>
      <c r="I1" s="43"/>
    </row>
    <row r="2" spans="1:11" s="33" customFormat="1" x14ac:dyDescent="0.2">
      <c r="A2" s="94" t="s">
        <v>45</v>
      </c>
      <c r="B2" s="95" t="s">
        <v>31</v>
      </c>
      <c r="C2" s="94" t="s">
        <v>32</v>
      </c>
      <c r="D2" s="94" t="s">
        <v>202</v>
      </c>
      <c r="E2" s="94" t="s">
        <v>35</v>
      </c>
      <c r="F2" s="95" t="s">
        <v>48</v>
      </c>
      <c r="G2" s="94" t="s">
        <v>34</v>
      </c>
    </row>
    <row r="3" spans="1:11" s="2" customFormat="1" x14ac:dyDescent="0.2">
      <c r="A3" s="34" t="s">
        <v>200</v>
      </c>
      <c r="B3" s="53" t="s">
        <v>296</v>
      </c>
      <c r="C3" s="75">
        <v>-331376.13</v>
      </c>
      <c r="D3" s="53" t="s">
        <v>36</v>
      </c>
      <c r="E3" s="34"/>
      <c r="F3" s="34" t="s">
        <v>8</v>
      </c>
      <c r="G3" s="207">
        <v>-4</v>
      </c>
      <c r="H3" s="44"/>
      <c r="I3" s="36"/>
    </row>
    <row r="4" spans="1:11" x14ac:dyDescent="0.2">
      <c r="A4" s="34"/>
      <c r="B4" s="53"/>
      <c r="C4" s="75"/>
      <c r="D4" s="53"/>
      <c r="E4" s="34"/>
      <c r="F4" s="34"/>
      <c r="G4" s="34"/>
      <c r="H4" s="44"/>
    </row>
    <row r="5" spans="1:11" x14ac:dyDescent="0.2">
      <c r="A5" s="97" t="s">
        <v>201</v>
      </c>
      <c r="B5" s="53"/>
      <c r="C5" s="75"/>
      <c r="D5" s="53"/>
      <c r="E5" s="34"/>
      <c r="F5" s="34"/>
      <c r="I5" s="43"/>
    </row>
    <row r="6" spans="1:11" x14ac:dyDescent="0.2">
      <c r="A6" s="93" t="s">
        <v>45</v>
      </c>
      <c r="B6" s="93" t="s">
        <v>31</v>
      </c>
      <c r="C6" s="93" t="s">
        <v>46</v>
      </c>
      <c r="D6" s="93" t="s">
        <v>47</v>
      </c>
      <c r="E6" s="93" t="s">
        <v>35</v>
      </c>
      <c r="F6" s="95" t="s">
        <v>48</v>
      </c>
      <c r="G6" s="95" t="s">
        <v>49</v>
      </c>
      <c r="H6" s="95" t="s">
        <v>50</v>
      </c>
      <c r="I6" s="95" t="s">
        <v>51</v>
      </c>
      <c r="J6" s="95" t="s">
        <v>203</v>
      </c>
      <c r="K6" s="96" t="s">
        <v>34</v>
      </c>
    </row>
    <row r="7" spans="1:11" x14ac:dyDescent="0.2">
      <c r="A7" s="34" t="s">
        <v>53</v>
      </c>
      <c r="B7" s="89">
        <v>46076</v>
      </c>
      <c r="C7" s="46" t="s">
        <v>308</v>
      </c>
      <c r="D7" s="46" t="s">
        <v>309</v>
      </c>
      <c r="E7" s="46" t="s">
        <v>63</v>
      </c>
      <c r="F7" s="46" t="s">
        <v>17</v>
      </c>
      <c r="G7" s="241">
        <v>1000</v>
      </c>
      <c r="H7" s="219"/>
      <c r="I7" s="222"/>
      <c r="J7" s="201" t="s">
        <v>429</v>
      </c>
      <c r="K7" s="34">
        <v>3</v>
      </c>
    </row>
    <row r="8" spans="1:11" x14ac:dyDescent="0.2">
      <c r="A8" s="34" t="s">
        <v>53</v>
      </c>
      <c r="B8" s="89">
        <v>46076</v>
      </c>
      <c r="C8" s="46" t="s">
        <v>308</v>
      </c>
      <c r="D8" s="46" t="s">
        <v>309</v>
      </c>
      <c r="E8" s="46" t="s">
        <v>63</v>
      </c>
      <c r="F8" s="46" t="s">
        <v>17</v>
      </c>
      <c r="G8" s="241">
        <v>48.96</v>
      </c>
      <c r="H8" s="219"/>
      <c r="I8" s="222"/>
      <c r="J8" s="201" t="s">
        <v>429</v>
      </c>
      <c r="K8" s="34">
        <v>3</v>
      </c>
    </row>
    <row r="9" spans="1:11" x14ac:dyDescent="0.2">
      <c r="A9" s="34" t="s">
        <v>69</v>
      </c>
      <c r="B9" s="89">
        <v>46077</v>
      </c>
      <c r="C9" s="46" t="s">
        <v>310</v>
      </c>
      <c r="D9" s="46" t="s">
        <v>311</v>
      </c>
      <c r="E9" s="46" t="s">
        <v>234</v>
      </c>
      <c r="F9" s="46" t="s">
        <v>16</v>
      </c>
      <c r="G9" s="241">
        <v>49.52</v>
      </c>
      <c r="H9" s="219"/>
      <c r="I9" s="222"/>
      <c r="J9" s="201" t="s">
        <v>429</v>
      </c>
      <c r="K9" s="34">
        <v>3</v>
      </c>
    </row>
    <row r="10" spans="1:11" x14ac:dyDescent="0.2">
      <c r="A10" s="34" t="s">
        <v>69</v>
      </c>
      <c r="B10" s="89">
        <v>46077</v>
      </c>
      <c r="C10" s="46" t="s">
        <v>310</v>
      </c>
      <c r="D10" s="46" t="s">
        <v>311</v>
      </c>
      <c r="E10" s="46" t="s">
        <v>234</v>
      </c>
      <c r="F10" s="46" t="s">
        <v>16</v>
      </c>
      <c r="G10" s="241">
        <v>1020</v>
      </c>
      <c r="H10" s="219"/>
      <c r="I10" s="222"/>
      <c r="J10" s="201" t="s">
        <v>429</v>
      </c>
      <c r="K10" s="34">
        <v>3</v>
      </c>
    </row>
    <row r="11" spans="1:11" x14ac:dyDescent="0.2">
      <c r="A11" s="34" t="s">
        <v>69</v>
      </c>
      <c r="B11" s="89">
        <v>46077</v>
      </c>
      <c r="C11" s="46" t="s">
        <v>310</v>
      </c>
      <c r="D11" s="46" t="s">
        <v>311</v>
      </c>
      <c r="E11" s="46" t="s">
        <v>234</v>
      </c>
      <c r="F11" s="46" t="s">
        <v>16</v>
      </c>
      <c r="G11" s="241">
        <v>75</v>
      </c>
      <c r="H11" s="219"/>
      <c r="I11" s="222"/>
      <c r="J11" s="201" t="s">
        <v>429</v>
      </c>
      <c r="K11" s="34">
        <v>3</v>
      </c>
    </row>
    <row r="12" spans="1:11" x14ac:dyDescent="0.2">
      <c r="A12" s="34" t="s">
        <v>69</v>
      </c>
      <c r="B12" s="89">
        <v>46077</v>
      </c>
      <c r="C12" s="46" t="s">
        <v>310</v>
      </c>
      <c r="D12" s="46" t="s">
        <v>311</v>
      </c>
      <c r="E12" s="46" t="s">
        <v>234</v>
      </c>
      <c r="F12" s="46" t="s">
        <v>16</v>
      </c>
      <c r="G12" s="241">
        <v>75</v>
      </c>
      <c r="H12" s="219"/>
      <c r="I12" s="222"/>
      <c r="J12" s="201" t="s">
        <v>429</v>
      </c>
      <c r="K12" s="34">
        <v>3</v>
      </c>
    </row>
    <row r="13" spans="1:11" x14ac:dyDescent="0.2">
      <c r="A13" s="34" t="s">
        <v>53</v>
      </c>
      <c r="B13" s="89">
        <v>46078</v>
      </c>
      <c r="C13" s="46" t="s">
        <v>312</v>
      </c>
      <c r="D13" s="46" t="s">
        <v>313</v>
      </c>
      <c r="E13" s="46" t="s">
        <v>289</v>
      </c>
      <c r="F13" s="46" t="s">
        <v>18</v>
      </c>
      <c r="G13" s="243">
        <v>75</v>
      </c>
      <c r="H13" s="219"/>
      <c r="I13" s="222"/>
      <c r="J13" s="201" t="s">
        <v>428</v>
      </c>
      <c r="K13" s="34">
        <v>3</v>
      </c>
    </row>
    <row r="14" spans="1:11" x14ac:dyDescent="0.2">
      <c r="A14" s="34" t="s">
        <v>53</v>
      </c>
      <c r="B14" s="89">
        <v>46078</v>
      </c>
      <c r="C14" s="46" t="s">
        <v>312</v>
      </c>
      <c r="D14" s="46" t="s">
        <v>313</v>
      </c>
      <c r="E14" s="46" t="s">
        <v>289</v>
      </c>
      <c r="F14" s="46" t="s">
        <v>18</v>
      </c>
      <c r="G14" s="243">
        <v>75</v>
      </c>
      <c r="H14" s="219"/>
      <c r="I14" s="222"/>
      <c r="J14" s="201" t="s">
        <v>428</v>
      </c>
      <c r="K14" s="34">
        <v>3</v>
      </c>
    </row>
    <row r="15" spans="1:11" x14ac:dyDescent="0.2">
      <c r="A15" s="34" t="s">
        <v>53</v>
      </c>
      <c r="B15" s="89">
        <v>46078</v>
      </c>
      <c r="C15" s="46" t="s">
        <v>312</v>
      </c>
      <c r="D15" s="46" t="s">
        <v>313</v>
      </c>
      <c r="E15" s="46" t="s">
        <v>289</v>
      </c>
      <c r="F15" s="46" t="s">
        <v>18</v>
      </c>
      <c r="G15" s="243">
        <v>48.96</v>
      </c>
      <c r="H15" s="219"/>
      <c r="I15" s="222"/>
      <c r="J15" s="201" t="s">
        <v>428</v>
      </c>
      <c r="K15" s="34">
        <v>3</v>
      </c>
    </row>
    <row r="16" spans="1:11" x14ac:dyDescent="0.2">
      <c r="A16" s="34" t="s">
        <v>53</v>
      </c>
      <c r="B16" s="89">
        <v>46078</v>
      </c>
      <c r="C16" s="46" t="s">
        <v>312</v>
      </c>
      <c r="D16" s="46" t="s">
        <v>313</v>
      </c>
      <c r="E16" s="46" t="s">
        <v>289</v>
      </c>
      <c r="F16" s="46" t="s">
        <v>18</v>
      </c>
      <c r="G16" s="243">
        <v>1000</v>
      </c>
      <c r="H16" s="219"/>
      <c r="I16" s="222"/>
      <c r="J16" s="201" t="s">
        <v>428</v>
      </c>
      <c r="K16" s="34">
        <v>3</v>
      </c>
    </row>
    <row r="17" spans="1:11" x14ac:dyDescent="0.2">
      <c r="A17" s="34" t="s">
        <v>69</v>
      </c>
      <c r="B17" s="89">
        <v>46078</v>
      </c>
      <c r="C17" s="46" t="s">
        <v>314</v>
      </c>
      <c r="D17" s="46" t="s">
        <v>315</v>
      </c>
      <c r="E17" s="46" t="s">
        <v>190</v>
      </c>
      <c r="F17" s="46" t="s">
        <v>251</v>
      </c>
      <c r="G17" s="243">
        <v>0.13</v>
      </c>
      <c r="H17" s="219"/>
      <c r="I17" s="222"/>
      <c r="J17" s="201" t="s">
        <v>428</v>
      </c>
      <c r="K17" s="34">
        <v>3</v>
      </c>
    </row>
    <row r="18" spans="1:11" x14ac:dyDescent="0.2">
      <c r="A18" s="34" t="s">
        <v>69</v>
      </c>
      <c r="B18" s="89">
        <v>46078</v>
      </c>
      <c r="C18" s="46" t="s">
        <v>314</v>
      </c>
      <c r="D18" s="46" t="s">
        <v>315</v>
      </c>
      <c r="E18" s="46" t="s">
        <v>190</v>
      </c>
      <c r="F18" s="46" t="s">
        <v>251</v>
      </c>
      <c r="G18" s="243">
        <v>1069.52</v>
      </c>
      <c r="H18" s="219"/>
      <c r="I18" s="222"/>
      <c r="J18" s="201" t="s">
        <v>428</v>
      </c>
      <c r="K18" s="34">
        <v>3</v>
      </c>
    </row>
    <row r="19" spans="1:11" x14ac:dyDescent="0.2">
      <c r="A19" s="34" t="s">
        <v>53</v>
      </c>
      <c r="B19" s="89">
        <v>46079</v>
      </c>
      <c r="C19" s="46" t="s">
        <v>323</v>
      </c>
      <c r="D19" s="46" t="s">
        <v>324</v>
      </c>
      <c r="E19" s="46" t="s">
        <v>266</v>
      </c>
      <c r="F19" s="46" t="s">
        <v>17</v>
      </c>
      <c r="G19" s="245">
        <v>75</v>
      </c>
      <c r="H19" s="219"/>
      <c r="I19" s="222"/>
      <c r="J19" s="224" t="s">
        <v>427</v>
      </c>
      <c r="K19" s="34">
        <v>3</v>
      </c>
    </row>
    <row r="20" spans="1:11" x14ac:dyDescent="0.2">
      <c r="A20" s="34" t="s">
        <v>53</v>
      </c>
      <c r="B20" s="89">
        <v>46079</v>
      </c>
      <c r="C20" s="46" t="s">
        <v>323</v>
      </c>
      <c r="D20" s="46" t="s">
        <v>324</v>
      </c>
      <c r="E20" s="46" t="s">
        <v>266</v>
      </c>
      <c r="F20" s="46" t="s">
        <v>17</v>
      </c>
      <c r="G20" s="245">
        <v>75</v>
      </c>
      <c r="H20" s="219"/>
      <c r="I20" s="222"/>
      <c r="J20" s="224" t="s">
        <v>427</v>
      </c>
      <c r="K20" s="34">
        <v>3</v>
      </c>
    </row>
    <row r="21" spans="1:11" x14ac:dyDescent="0.2">
      <c r="A21" s="34" t="s">
        <v>53</v>
      </c>
      <c r="B21" s="89">
        <v>46079</v>
      </c>
      <c r="C21" s="46" t="s">
        <v>323</v>
      </c>
      <c r="D21" s="46" t="s">
        <v>324</v>
      </c>
      <c r="E21" s="46" t="s">
        <v>266</v>
      </c>
      <c r="F21" s="46" t="s">
        <v>17</v>
      </c>
      <c r="G21" s="245">
        <v>48.96</v>
      </c>
      <c r="H21" s="219"/>
      <c r="I21" s="222"/>
      <c r="J21" s="224" t="s">
        <v>427</v>
      </c>
      <c r="K21" s="34">
        <v>3</v>
      </c>
    </row>
    <row r="22" spans="1:11" x14ac:dyDescent="0.2">
      <c r="A22" s="34" t="s">
        <v>53</v>
      </c>
      <c r="B22" s="89">
        <v>46079</v>
      </c>
      <c r="C22" s="46" t="s">
        <v>323</v>
      </c>
      <c r="D22" s="46" t="s">
        <v>324</v>
      </c>
      <c r="E22" s="46" t="s">
        <v>266</v>
      </c>
      <c r="F22" s="46" t="s">
        <v>17</v>
      </c>
      <c r="G22" s="245">
        <v>1000</v>
      </c>
      <c r="H22" s="219"/>
      <c r="I22" s="222"/>
      <c r="J22" s="224" t="s">
        <v>427</v>
      </c>
      <c r="K22" s="34">
        <v>3</v>
      </c>
    </row>
    <row r="23" spans="1:11" x14ac:dyDescent="0.2">
      <c r="A23" s="34" t="s">
        <v>53</v>
      </c>
      <c r="B23" s="89">
        <v>46079</v>
      </c>
      <c r="C23" s="46" t="s">
        <v>325</v>
      </c>
      <c r="D23" s="46" t="s">
        <v>55</v>
      </c>
      <c r="E23" s="46" t="s">
        <v>259</v>
      </c>
      <c r="F23" s="46" t="s">
        <v>57</v>
      </c>
      <c r="G23" s="238">
        <v>75</v>
      </c>
      <c r="H23" s="219"/>
      <c r="I23" s="222"/>
      <c r="J23" s="201" t="s">
        <v>429</v>
      </c>
      <c r="K23" s="34">
        <v>3</v>
      </c>
    </row>
    <row r="24" spans="1:11" x14ac:dyDescent="0.2">
      <c r="A24" s="34" t="s">
        <v>53</v>
      </c>
      <c r="B24" s="89">
        <v>46079</v>
      </c>
      <c r="C24" s="46" t="s">
        <v>325</v>
      </c>
      <c r="D24" s="46" t="s">
        <v>55</v>
      </c>
      <c r="E24" s="46" t="s">
        <v>259</v>
      </c>
      <c r="F24" s="46" t="s">
        <v>57</v>
      </c>
      <c r="G24" s="238">
        <v>75</v>
      </c>
      <c r="H24" s="219"/>
      <c r="I24" s="222"/>
      <c r="J24" s="201" t="s">
        <v>429</v>
      </c>
      <c r="K24" s="34">
        <v>3</v>
      </c>
    </row>
    <row r="25" spans="1:11" x14ac:dyDescent="0.2">
      <c r="A25" s="34" t="s">
        <v>53</v>
      </c>
      <c r="B25" s="89">
        <v>46079</v>
      </c>
      <c r="C25" s="46" t="s">
        <v>325</v>
      </c>
      <c r="D25" s="46" t="s">
        <v>55</v>
      </c>
      <c r="E25" s="46" t="s">
        <v>259</v>
      </c>
      <c r="F25" s="46" t="s">
        <v>57</v>
      </c>
      <c r="G25" s="238">
        <v>1000</v>
      </c>
      <c r="H25" s="219"/>
      <c r="I25" s="222"/>
      <c r="J25" s="201" t="s">
        <v>429</v>
      </c>
      <c r="K25" s="34">
        <v>3</v>
      </c>
    </row>
    <row r="26" spans="1:11" x14ac:dyDescent="0.2">
      <c r="A26" s="34" t="s">
        <v>53</v>
      </c>
      <c r="B26" s="89">
        <v>46079</v>
      </c>
      <c r="C26" s="46" t="s">
        <v>325</v>
      </c>
      <c r="D26" s="46" t="s">
        <v>55</v>
      </c>
      <c r="E26" s="46" t="s">
        <v>259</v>
      </c>
      <c r="F26" s="46" t="s">
        <v>57</v>
      </c>
      <c r="G26" s="238">
        <v>48.96</v>
      </c>
      <c r="H26" s="219"/>
      <c r="I26" s="222"/>
      <c r="J26" s="201" t="s">
        <v>429</v>
      </c>
      <c r="K26" s="34">
        <v>3</v>
      </c>
    </row>
    <row r="27" spans="1:11" x14ac:dyDescent="0.2">
      <c r="A27" s="34" t="s">
        <v>69</v>
      </c>
      <c r="B27" s="89">
        <v>46080</v>
      </c>
      <c r="C27" s="46" t="s">
        <v>338</v>
      </c>
      <c r="D27" s="46" t="s">
        <v>55</v>
      </c>
      <c r="E27" s="46" t="s">
        <v>76</v>
      </c>
      <c r="F27" s="46" t="s">
        <v>19</v>
      </c>
      <c r="G27" s="238">
        <v>0.96</v>
      </c>
      <c r="H27" s="219"/>
      <c r="I27" s="222"/>
      <c r="J27" s="201" t="s">
        <v>429</v>
      </c>
      <c r="K27" s="34">
        <v>3</v>
      </c>
    </row>
    <row r="28" spans="1:11" x14ac:dyDescent="0.2">
      <c r="A28" s="34" t="s">
        <v>69</v>
      </c>
      <c r="B28" s="89">
        <v>46080</v>
      </c>
      <c r="C28" s="46" t="s">
        <v>338</v>
      </c>
      <c r="D28" s="46" t="s">
        <v>55</v>
      </c>
      <c r="E28" s="46" t="s">
        <v>76</v>
      </c>
      <c r="F28" s="46" t="s">
        <v>19</v>
      </c>
      <c r="G28" s="238">
        <v>1054.04</v>
      </c>
      <c r="H28" s="219"/>
      <c r="I28" s="222"/>
      <c r="J28" s="201" t="s">
        <v>429</v>
      </c>
      <c r="K28" s="34">
        <v>3</v>
      </c>
    </row>
    <row r="29" spans="1:11" x14ac:dyDescent="0.2">
      <c r="A29" s="34" t="s">
        <v>69</v>
      </c>
      <c r="B29" s="89">
        <v>46080</v>
      </c>
      <c r="C29" s="46" t="s">
        <v>339</v>
      </c>
      <c r="D29" s="46" t="s">
        <v>55</v>
      </c>
      <c r="E29" s="46" t="s">
        <v>168</v>
      </c>
      <c r="F29" s="46" t="s">
        <v>57</v>
      </c>
      <c r="G29" s="238">
        <v>75</v>
      </c>
      <c r="H29" s="219"/>
      <c r="I29" s="222"/>
      <c r="J29" s="201" t="s">
        <v>429</v>
      </c>
      <c r="K29" s="34">
        <v>3</v>
      </c>
    </row>
    <row r="30" spans="1:11" x14ac:dyDescent="0.2">
      <c r="A30" s="34" t="s">
        <v>69</v>
      </c>
      <c r="B30" s="89">
        <v>46080</v>
      </c>
      <c r="C30" s="46" t="s">
        <v>339</v>
      </c>
      <c r="D30" s="46" t="s">
        <v>55</v>
      </c>
      <c r="E30" s="46" t="s">
        <v>168</v>
      </c>
      <c r="F30" s="46" t="s">
        <v>57</v>
      </c>
      <c r="G30" s="238">
        <v>75</v>
      </c>
      <c r="H30" s="219"/>
      <c r="I30" s="222"/>
      <c r="J30" s="201" t="s">
        <v>429</v>
      </c>
      <c r="K30" s="34">
        <v>3</v>
      </c>
    </row>
    <row r="31" spans="1:11" x14ac:dyDescent="0.2">
      <c r="A31" s="34" t="s">
        <v>69</v>
      </c>
      <c r="B31" s="89">
        <v>46080</v>
      </c>
      <c r="C31" s="46" t="s">
        <v>339</v>
      </c>
      <c r="D31" s="46" t="s">
        <v>55</v>
      </c>
      <c r="E31" s="46" t="s">
        <v>168</v>
      </c>
      <c r="F31" s="46" t="s">
        <v>57</v>
      </c>
      <c r="G31" s="238">
        <v>1005</v>
      </c>
      <c r="H31" s="219"/>
      <c r="I31" s="222"/>
      <c r="J31" s="201" t="s">
        <v>429</v>
      </c>
      <c r="K31" s="34">
        <v>3</v>
      </c>
    </row>
    <row r="32" spans="1:11" x14ac:dyDescent="0.2">
      <c r="A32" s="34" t="s">
        <v>69</v>
      </c>
      <c r="B32" s="89">
        <v>46080</v>
      </c>
      <c r="C32" s="46" t="s">
        <v>339</v>
      </c>
      <c r="D32" s="46" t="s">
        <v>55</v>
      </c>
      <c r="E32" s="46" t="s">
        <v>168</v>
      </c>
      <c r="F32" s="46" t="s">
        <v>57</v>
      </c>
      <c r="G32" s="238">
        <v>49.52</v>
      </c>
      <c r="H32" s="219"/>
      <c r="I32" s="222"/>
      <c r="J32" s="201" t="s">
        <v>429</v>
      </c>
      <c r="K32" s="34">
        <v>3</v>
      </c>
    </row>
    <row r="33" spans="1:11" x14ac:dyDescent="0.2">
      <c r="A33" s="34" t="s">
        <v>53</v>
      </c>
      <c r="B33" s="89">
        <v>46081</v>
      </c>
      <c r="C33" s="46" t="s">
        <v>342</v>
      </c>
      <c r="D33" s="46"/>
      <c r="E33" s="46" t="s">
        <v>347</v>
      </c>
      <c r="F33" s="46" t="s">
        <v>388</v>
      </c>
      <c r="G33" s="76">
        <v>10154.49</v>
      </c>
      <c r="H33" s="219"/>
      <c r="I33" s="222"/>
      <c r="J33" s="228">
        <v>46082</v>
      </c>
      <c r="K33" s="34">
        <v>4</v>
      </c>
    </row>
    <row r="34" spans="1:11" x14ac:dyDescent="0.2">
      <c r="A34" s="34" t="s">
        <v>69</v>
      </c>
      <c r="B34" s="89">
        <v>46081</v>
      </c>
      <c r="C34" s="46" t="s">
        <v>342</v>
      </c>
      <c r="D34" s="46"/>
      <c r="E34" s="46" t="s">
        <v>347</v>
      </c>
      <c r="F34" s="46" t="s">
        <v>389</v>
      </c>
      <c r="G34" s="76">
        <v>8291.4599999999991</v>
      </c>
      <c r="H34" s="219"/>
      <c r="I34" s="222"/>
      <c r="J34" s="228">
        <v>46082</v>
      </c>
      <c r="K34" s="34">
        <v>4</v>
      </c>
    </row>
    <row r="35" spans="1:11" x14ac:dyDescent="0.2">
      <c r="A35" s="34" t="s">
        <v>53</v>
      </c>
      <c r="B35" s="89">
        <v>46052</v>
      </c>
      <c r="C35" s="46" t="s">
        <v>286</v>
      </c>
      <c r="D35" s="46" t="s">
        <v>287</v>
      </c>
      <c r="E35" s="46" t="s">
        <v>258</v>
      </c>
      <c r="F35" s="46" t="s">
        <v>294</v>
      </c>
      <c r="H35" s="218">
        <v>-266.06</v>
      </c>
      <c r="I35" s="237"/>
      <c r="J35" s="228">
        <v>46099</v>
      </c>
      <c r="K35" s="2">
        <v>-4</v>
      </c>
    </row>
    <row r="36" spans="1:11" x14ac:dyDescent="0.2">
      <c r="A36" s="34" t="s">
        <v>69</v>
      </c>
      <c r="B36" s="89">
        <v>46052</v>
      </c>
      <c r="C36" s="46" t="s">
        <v>286</v>
      </c>
      <c r="D36" s="46" t="s">
        <v>287</v>
      </c>
      <c r="E36" s="46" t="s">
        <v>258</v>
      </c>
      <c r="F36" s="46" t="s">
        <v>294</v>
      </c>
      <c r="H36" s="218">
        <v>-252.75</v>
      </c>
      <c r="I36" s="237"/>
      <c r="J36" s="228">
        <v>46099</v>
      </c>
      <c r="K36" s="2">
        <v>-4</v>
      </c>
    </row>
    <row r="37" spans="1:11" x14ac:dyDescent="0.2">
      <c r="A37" s="34" t="s">
        <v>53</v>
      </c>
      <c r="B37" s="89">
        <v>46055</v>
      </c>
      <c r="C37" s="46" t="s">
        <v>297</v>
      </c>
      <c r="D37" s="46" t="s">
        <v>298</v>
      </c>
      <c r="E37" s="46" t="s">
        <v>258</v>
      </c>
      <c r="F37" s="46" t="s">
        <v>252</v>
      </c>
      <c r="H37" s="218">
        <v>-2664</v>
      </c>
      <c r="I37" s="222"/>
      <c r="J37" s="228">
        <v>46097</v>
      </c>
      <c r="K37" s="2">
        <v>-4</v>
      </c>
    </row>
    <row r="38" spans="1:11" x14ac:dyDescent="0.2">
      <c r="A38" s="34" t="s">
        <v>69</v>
      </c>
      <c r="B38" s="89">
        <v>46055</v>
      </c>
      <c r="C38" s="46" t="s">
        <v>297</v>
      </c>
      <c r="D38" s="46" t="s">
        <v>298</v>
      </c>
      <c r="E38" s="46" t="s">
        <v>258</v>
      </c>
      <c r="F38" s="46" t="s">
        <v>252</v>
      </c>
      <c r="H38" s="218">
        <v>-2430.4499999999998</v>
      </c>
      <c r="I38" s="222"/>
      <c r="J38" s="228">
        <v>46097</v>
      </c>
      <c r="K38" s="2">
        <v>-4</v>
      </c>
    </row>
    <row r="39" spans="1:11" x14ac:dyDescent="0.2">
      <c r="A39" s="34" t="s">
        <v>53</v>
      </c>
      <c r="B39" s="89">
        <v>46070</v>
      </c>
      <c r="C39" s="46" t="s">
        <v>302</v>
      </c>
      <c r="D39" s="46" t="s">
        <v>303</v>
      </c>
      <c r="E39" s="46" t="s">
        <v>346</v>
      </c>
      <c r="F39" s="46" t="s">
        <v>350</v>
      </c>
      <c r="H39" s="218">
        <v>-296.72000000000003</v>
      </c>
      <c r="I39" s="222"/>
      <c r="J39" s="207" t="s">
        <v>429</v>
      </c>
      <c r="K39" s="214">
        <v>-3</v>
      </c>
    </row>
    <row r="40" spans="1:11" x14ac:dyDescent="0.2">
      <c r="A40" s="34" t="s">
        <v>53</v>
      </c>
      <c r="B40" s="89">
        <v>46073</v>
      </c>
      <c r="C40" s="46" t="s">
        <v>304</v>
      </c>
      <c r="D40" s="46" t="s">
        <v>305</v>
      </c>
      <c r="E40" s="46" t="s">
        <v>253</v>
      </c>
      <c r="F40" s="46" t="s">
        <v>351</v>
      </c>
      <c r="H40" s="218">
        <v>-64.3</v>
      </c>
      <c r="I40" s="222"/>
      <c r="J40" s="207" t="s">
        <v>429</v>
      </c>
      <c r="K40" s="214">
        <v>-3</v>
      </c>
    </row>
    <row r="41" spans="1:11" x14ac:dyDescent="0.2">
      <c r="A41" s="34" t="s">
        <v>53</v>
      </c>
      <c r="B41" s="89">
        <v>46073</v>
      </c>
      <c r="C41" s="46" t="s">
        <v>304</v>
      </c>
      <c r="D41" s="46" t="s">
        <v>305</v>
      </c>
      <c r="E41" s="46" t="s">
        <v>253</v>
      </c>
      <c r="F41" s="46" t="s">
        <v>352</v>
      </c>
      <c r="H41" s="218">
        <v>-51.86</v>
      </c>
      <c r="I41" s="222"/>
      <c r="J41" s="207" t="s">
        <v>429</v>
      </c>
      <c r="K41" s="214">
        <v>-3</v>
      </c>
    </row>
    <row r="42" spans="1:11" x14ac:dyDescent="0.2">
      <c r="A42" s="34" t="s">
        <v>53</v>
      </c>
      <c r="B42" s="89">
        <v>46076</v>
      </c>
      <c r="C42" s="46" t="s">
        <v>306</v>
      </c>
      <c r="D42" s="46" t="s">
        <v>307</v>
      </c>
      <c r="E42" s="46" t="s">
        <v>267</v>
      </c>
      <c r="F42" s="46" t="s">
        <v>353</v>
      </c>
      <c r="H42" s="218">
        <v>-24</v>
      </c>
      <c r="I42" s="237"/>
      <c r="J42" s="207" t="s">
        <v>428</v>
      </c>
      <c r="K42" s="214">
        <v>-3</v>
      </c>
    </row>
    <row r="43" spans="1:11" x14ac:dyDescent="0.2">
      <c r="A43" s="34" t="s">
        <v>53</v>
      </c>
      <c r="B43" s="89">
        <v>46076</v>
      </c>
      <c r="C43" s="46" t="s">
        <v>306</v>
      </c>
      <c r="D43" s="46" t="s">
        <v>307</v>
      </c>
      <c r="E43" s="46" t="s">
        <v>267</v>
      </c>
      <c r="F43" s="46" t="s">
        <v>354</v>
      </c>
      <c r="H43" s="218">
        <v>-12</v>
      </c>
      <c r="I43" s="237"/>
      <c r="J43" s="207" t="s">
        <v>428</v>
      </c>
      <c r="K43" s="214">
        <v>-3</v>
      </c>
    </row>
    <row r="44" spans="1:11" x14ac:dyDescent="0.2">
      <c r="A44" s="34" t="s">
        <v>53</v>
      </c>
      <c r="B44" s="89">
        <v>46076</v>
      </c>
      <c r="C44" s="46" t="s">
        <v>306</v>
      </c>
      <c r="D44" s="46" t="s">
        <v>307</v>
      </c>
      <c r="E44" s="46" t="s">
        <v>267</v>
      </c>
      <c r="F44" s="46" t="s">
        <v>355</v>
      </c>
      <c r="H44" s="218">
        <v>-18</v>
      </c>
      <c r="I44" s="237"/>
      <c r="J44" s="207" t="s">
        <v>428</v>
      </c>
      <c r="K44" s="214">
        <v>-3</v>
      </c>
    </row>
    <row r="45" spans="1:11" x14ac:dyDescent="0.2">
      <c r="A45" s="34" t="s">
        <v>53</v>
      </c>
      <c r="B45" s="89">
        <v>46076</v>
      </c>
      <c r="C45" s="46" t="s">
        <v>306</v>
      </c>
      <c r="D45" s="46" t="s">
        <v>307</v>
      </c>
      <c r="E45" s="46" t="s">
        <v>267</v>
      </c>
      <c r="F45" s="46" t="s">
        <v>356</v>
      </c>
      <c r="H45" s="218">
        <v>-4</v>
      </c>
      <c r="I45" s="237"/>
      <c r="J45" s="207" t="s">
        <v>428</v>
      </c>
      <c r="K45" s="214">
        <v>-3</v>
      </c>
    </row>
    <row r="46" spans="1:11" x14ac:dyDescent="0.2">
      <c r="A46" s="34" t="s">
        <v>53</v>
      </c>
      <c r="B46" s="89">
        <v>46076</v>
      </c>
      <c r="C46" s="46" t="s">
        <v>306</v>
      </c>
      <c r="D46" s="46" t="s">
        <v>307</v>
      </c>
      <c r="E46" s="46" t="s">
        <v>267</v>
      </c>
      <c r="F46" s="46" t="s">
        <v>357</v>
      </c>
      <c r="H46" s="218">
        <v>-16</v>
      </c>
      <c r="I46" s="237"/>
      <c r="J46" s="207" t="s">
        <v>428</v>
      </c>
      <c r="K46" s="214">
        <v>-3</v>
      </c>
    </row>
    <row r="47" spans="1:11" x14ac:dyDescent="0.2">
      <c r="A47" s="34" t="s">
        <v>53</v>
      </c>
      <c r="B47" s="89">
        <v>46076</v>
      </c>
      <c r="C47" s="46" t="s">
        <v>306</v>
      </c>
      <c r="D47" s="46" t="s">
        <v>307</v>
      </c>
      <c r="E47" s="46" t="s">
        <v>267</v>
      </c>
      <c r="F47" s="46" t="s">
        <v>358</v>
      </c>
      <c r="H47" s="218">
        <v>-8</v>
      </c>
      <c r="I47" s="237"/>
      <c r="J47" s="207" t="s">
        <v>428</v>
      </c>
      <c r="K47" s="214">
        <v>-3</v>
      </c>
    </row>
    <row r="48" spans="1:11" x14ac:dyDescent="0.2">
      <c r="A48" s="34" t="s">
        <v>69</v>
      </c>
      <c r="B48" s="89">
        <v>46076</v>
      </c>
      <c r="C48" s="46" t="s">
        <v>306</v>
      </c>
      <c r="D48" s="46" t="s">
        <v>307</v>
      </c>
      <c r="E48" s="46" t="s">
        <v>267</v>
      </c>
      <c r="F48" s="46" t="s">
        <v>359</v>
      </c>
      <c r="H48" s="218">
        <v>-6</v>
      </c>
      <c r="I48" s="237"/>
      <c r="J48" s="207" t="s">
        <v>428</v>
      </c>
      <c r="K48" s="214">
        <v>-3</v>
      </c>
    </row>
    <row r="49" spans="1:11" x14ac:dyDescent="0.2">
      <c r="A49" s="34" t="s">
        <v>69</v>
      </c>
      <c r="B49" s="89">
        <v>46076</v>
      </c>
      <c r="C49" s="46" t="s">
        <v>306</v>
      </c>
      <c r="D49" s="46" t="s">
        <v>307</v>
      </c>
      <c r="E49" s="46" t="s">
        <v>267</v>
      </c>
      <c r="F49" s="46" t="s">
        <v>360</v>
      </c>
      <c r="H49" s="218">
        <v>-3</v>
      </c>
      <c r="I49" s="237"/>
      <c r="J49" s="207" t="s">
        <v>428</v>
      </c>
      <c r="K49" s="214">
        <v>-3</v>
      </c>
    </row>
    <row r="50" spans="1:11" x14ac:dyDescent="0.2">
      <c r="A50" s="34" t="s">
        <v>69</v>
      </c>
      <c r="B50" s="89">
        <v>46076</v>
      </c>
      <c r="C50" s="46" t="s">
        <v>306</v>
      </c>
      <c r="D50" s="46" t="s">
        <v>307</v>
      </c>
      <c r="E50" s="46" t="s">
        <v>267</v>
      </c>
      <c r="F50" s="46" t="s">
        <v>361</v>
      </c>
      <c r="H50" s="218">
        <v>-6</v>
      </c>
      <c r="I50" s="237"/>
      <c r="J50" s="207" t="s">
        <v>428</v>
      </c>
      <c r="K50" s="214">
        <v>-3</v>
      </c>
    </row>
    <row r="51" spans="1:11" x14ac:dyDescent="0.2">
      <c r="A51" s="34" t="s">
        <v>69</v>
      </c>
      <c r="B51" s="89">
        <v>46076</v>
      </c>
      <c r="C51" s="46" t="s">
        <v>306</v>
      </c>
      <c r="D51" s="46" t="s">
        <v>307</v>
      </c>
      <c r="E51" s="46" t="s">
        <v>267</v>
      </c>
      <c r="F51" s="46" t="s">
        <v>362</v>
      </c>
      <c r="H51" s="218">
        <v>-1</v>
      </c>
      <c r="I51" s="237"/>
      <c r="J51" s="207" t="s">
        <v>428</v>
      </c>
      <c r="K51" s="214">
        <v>-3</v>
      </c>
    </row>
    <row r="52" spans="1:11" x14ac:dyDescent="0.2">
      <c r="A52" s="34" t="s">
        <v>69</v>
      </c>
      <c r="B52" s="89">
        <v>46076</v>
      </c>
      <c r="C52" s="46" t="s">
        <v>306</v>
      </c>
      <c r="D52" s="46" t="s">
        <v>307</v>
      </c>
      <c r="E52" s="46" t="s">
        <v>267</v>
      </c>
      <c r="F52" s="46" t="s">
        <v>358</v>
      </c>
      <c r="H52" s="218">
        <v>-8</v>
      </c>
      <c r="I52" s="237"/>
      <c r="J52" s="207" t="s">
        <v>428</v>
      </c>
      <c r="K52" s="214">
        <v>-3</v>
      </c>
    </row>
    <row r="53" spans="1:11" x14ac:dyDescent="0.2">
      <c r="A53" s="34" t="s">
        <v>69</v>
      </c>
      <c r="B53" s="89">
        <v>46079</v>
      </c>
      <c r="C53" s="46" t="s">
        <v>316</v>
      </c>
      <c r="D53" s="46" t="s">
        <v>317</v>
      </c>
      <c r="E53" s="46" t="s">
        <v>253</v>
      </c>
      <c r="F53" s="46" t="s">
        <v>363</v>
      </c>
      <c r="H53" s="218">
        <v>-72.81</v>
      </c>
      <c r="I53" s="222"/>
      <c r="J53" s="207" t="s">
        <v>417</v>
      </c>
      <c r="K53" s="214">
        <v>-3</v>
      </c>
    </row>
    <row r="54" spans="1:11" x14ac:dyDescent="0.2">
      <c r="A54" s="34" t="s">
        <v>69</v>
      </c>
      <c r="B54" s="89">
        <v>46079</v>
      </c>
      <c r="C54" s="46" t="s">
        <v>316</v>
      </c>
      <c r="D54" s="46" t="s">
        <v>317</v>
      </c>
      <c r="E54" s="46" t="s">
        <v>253</v>
      </c>
      <c r="F54" s="46" t="s">
        <v>364</v>
      </c>
      <c r="H54" s="218">
        <v>-201.95</v>
      </c>
      <c r="I54" s="222"/>
      <c r="J54" s="207" t="s">
        <v>417</v>
      </c>
      <c r="K54" s="214">
        <v>-3</v>
      </c>
    </row>
    <row r="55" spans="1:11" x14ac:dyDescent="0.2">
      <c r="A55" s="34" t="s">
        <v>53</v>
      </c>
      <c r="B55" s="89">
        <v>46079</v>
      </c>
      <c r="C55" s="46" t="s">
        <v>318</v>
      </c>
      <c r="D55" s="46" t="s">
        <v>319</v>
      </c>
      <c r="E55" s="46" t="s">
        <v>258</v>
      </c>
      <c r="F55" s="46" t="s">
        <v>365</v>
      </c>
      <c r="H55" s="218">
        <v>-78.23</v>
      </c>
      <c r="I55" s="237"/>
      <c r="J55" s="207" t="s">
        <v>426</v>
      </c>
      <c r="K55" s="214">
        <v>-3</v>
      </c>
    </row>
    <row r="56" spans="1:11" x14ac:dyDescent="0.2">
      <c r="A56" s="34" t="s">
        <v>53</v>
      </c>
      <c r="B56" s="89">
        <v>46079</v>
      </c>
      <c r="C56" s="46" t="s">
        <v>318</v>
      </c>
      <c r="D56" s="46" t="s">
        <v>319</v>
      </c>
      <c r="E56" s="46" t="s">
        <v>258</v>
      </c>
      <c r="F56" s="46" t="s">
        <v>366</v>
      </c>
      <c r="H56" s="218">
        <v>-17.829999999999998</v>
      </c>
      <c r="I56" s="237"/>
      <c r="J56" s="207" t="s">
        <v>426</v>
      </c>
      <c r="K56" s="214">
        <v>-3</v>
      </c>
    </row>
    <row r="57" spans="1:11" x14ac:dyDescent="0.2">
      <c r="A57" s="34" t="s">
        <v>53</v>
      </c>
      <c r="B57" s="89">
        <v>46079</v>
      </c>
      <c r="C57" s="46" t="s">
        <v>318</v>
      </c>
      <c r="D57" s="46" t="s">
        <v>319</v>
      </c>
      <c r="E57" s="46" t="s">
        <v>258</v>
      </c>
      <c r="F57" s="46" t="s">
        <v>367</v>
      </c>
      <c r="H57" s="218">
        <v>-59.75</v>
      </c>
      <c r="I57" s="237"/>
      <c r="J57" s="207" t="s">
        <v>426</v>
      </c>
      <c r="K57" s="214">
        <v>-3</v>
      </c>
    </row>
    <row r="58" spans="1:11" x14ac:dyDescent="0.2">
      <c r="A58" s="34" t="s">
        <v>53</v>
      </c>
      <c r="B58" s="89">
        <v>46079</v>
      </c>
      <c r="C58" s="46" t="s">
        <v>318</v>
      </c>
      <c r="D58" s="46" t="s">
        <v>319</v>
      </c>
      <c r="E58" s="46" t="s">
        <v>258</v>
      </c>
      <c r="F58" s="46" t="s">
        <v>368</v>
      </c>
      <c r="H58" s="218">
        <v>-11.74</v>
      </c>
      <c r="I58" s="237"/>
      <c r="J58" s="207" t="s">
        <v>426</v>
      </c>
      <c r="K58" s="214">
        <v>-3</v>
      </c>
    </row>
    <row r="59" spans="1:11" x14ac:dyDescent="0.2">
      <c r="A59" s="34" t="s">
        <v>53</v>
      </c>
      <c r="B59" s="89">
        <v>46079</v>
      </c>
      <c r="C59" s="46" t="s">
        <v>318</v>
      </c>
      <c r="D59" s="46" t="s">
        <v>319</v>
      </c>
      <c r="E59" s="46" t="s">
        <v>258</v>
      </c>
      <c r="F59" s="46" t="s">
        <v>369</v>
      </c>
      <c r="H59" s="218">
        <v>-64.19</v>
      </c>
      <c r="I59" s="237"/>
      <c r="J59" s="207" t="s">
        <v>426</v>
      </c>
      <c r="K59" s="214">
        <v>-3</v>
      </c>
    </row>
    <row r="60" spans="1:11" x14ac:dyDescent="0.2">
      <c r="A60" s="34" t="s">
        <v>53</v>
      </c>
      <c r="B60" s="89">
        <v>46079</v>
      </c>
      <c r="C60" s="46" t="s">
        <v>318</v>
      </c>
      <c r="D60" s="46" t="s">
        <v>319</v>
      </c>
      <c r="E60" s="46" t="s">
        <v>258</v>
      </c>
      <c r="F60" s="46" t="s">
        <v>370</v>
      </c>
      <c r="H60" s="218">
        <v>-85.12</v>
      </c>
      <c r="I60" s="237"/>
      <c r="J60" s="207" t="s">
        <v>426</v>
      </c>
      <c r="K60" s="214">
        <v>-3</v>
      </c>
    </row>
    <row r="61" spans="1:11" x14ac:dyDescent="0.2">
      <c r="A61" s="34" t="s">
        <v>53</v>
      </c>
      <c r="B61" s="89">
        <v>46079</v>
      </c>
      <c r="C61" s="46" t="s">
        <v>318</v>
      </c>
      <c r="D61" s="46" t="s">
        <v>319</v>
      </c>
      <c r="E61" s="46" t="s">
        <v>258</v>
      </c>
      <c r="F61" s="46" t="s">
        <v>370</v>
      </c>
      <c r="H61" s="218">
        <v>-12.16</v>
      </c>
      <c r="I61" s="237"/>
      <c r="J61" s="207" t="s">
        <v>426</v>
      </c>
      <c r="K61" s="214">
        <v>-3</v>
      </c>
    </row>
    <row r="62" spans="1:11" x14ac:dyDescent="0.2">
      <c r="A62" s="34" t="s">
        <v>53</v>
      </c>
      <c r="B62" s="89">
        <v>46079</v>
      </c>
      <c r="C62" s="46" t="s">
        <v>318</v>
      </c>
      <c r="D62" s="46" t="s">
        <v>319</v>
      </c>
      <c r="E62" s="46" t="s">
        <v>258</v>
      </c>
      <c r="F62" s="46" t="s">
        <v>257</v>
      </c>
      <c r="H62" s="218">
        <v>-24.32</v>
      </c>
      <c r="I62" s="237"/>
      <c r="J62" s="207" t="s">
        <v>426</v>
      </c>
      <c r="K62" s="214">
        <v>-3</v>
      </c>
    </row>
    <row r="63" spans="1:11" x14ac:dyDescent="0.2">
      <c r="A63" s="34" t="s">
        <v>53</v>
      </c>
      <c r="B63" s="89">
        <v>46079</v>
      </c>
      <c r="C63" s="46" t="s">
        <v>318</v>
      </c>
      <c r="D63" s="46" t="s">
        <v>319</v>
      </c>
      <c r="E63" s="46" t="s">
        <v>258</v>
      </c>
      <c r="F63" s="46" t="s">
        <v>239</v>
      </c>
      <c r="H63" s="218">
        <v>-103.36</v>
      </c>
      <c r="I63" s="237"/>
      <c r="J63" s="207" t="s">
        <v>426</v>
      </c>
      <c r="K63" s="214">
        <v>-3</v>
      </c>
    </row>
    <row r="64" spans="1:11" x14ac:dyDescent="0.2">
      <c r="A64" s="34" t="s">
        <v>53</v>
      </c>
      <c r="B64" s="89">
        <v>46079</v>
      </c>
      <c r="C64" s="46" t="s">
        <v>318</v>
      </c>
      <c r="D64" s="46" t="s">
        <v>319</v>
      </c>
      <c r="E64" s="46" t="s">
        <v>258</v>
      </c>
      <c r="F64" s="46" t="s">
        <v>371</v>
      </c>
      <c r="H64" s="218">
        <v>-25.88</v>
      </c>
      <c r="I64" s="237"/>
      <c r="J64" s="207" t="s">
        <v>426</v>
      </c>
      <c r="K64" s="214">
        <v>-3</v>
      </c>
    </row>
    <row r="65" spans="1:11" x14ac:dyDescent="0.2">
      <c r="A65" s="34" t="s">
        <v>53</v>
      </c>
      <c r="B65" s="89">
        <v>46079</v>
      </c>
      <c r="C65" s="46" t="s">
        <v>318</v>
      </c>
      <c r="D65" s="46" t="s">
        <v>319</v>
      </c>
      <c r="E65" s="46" t="s">
        <v>258</v>
      </c>
      <c r="F65" s="46" t="s">
        <v>372</v>
      </c>
      <c r="H65" s="218">
        <v>-45.75</v>
      </c>
      <c r="I65" s="237"/>
      <c r="J65" s="207" t="s">
        <v>426</v>
      </c>
      <c r="K65" s="214">
        <v>-3</v>
      </c>
    </row>
    <row r="66" spans="1:11" x14ac:dyDescent="0.2">
      <c r="A66" s="34" t="s">
        <v>53</v>
      </c>
      <c r="B66" s="89">
        <v>46079</v>
      </c>
      <c r="C66" s="46" t="s">
        <v>318</v>
      </c>
      <c r="D66" s="46" t="s">
        <v>319</v>
      </c>
      <c r="E66" s="46" t="s">
        <v>258</v>
      </c>
      <c r="F66" s="46" t="s">
        <v>373</v>
      </c>
      <c r="H66" s="218">
        <v>-53.7</v>
      </c>
      <c r="I66" s="237"/>
      <c r="J66" s="207" t="s">
        <v>426</v>
      </c>
      <c r="K66" s="214">
        <v>-3</v>
      </c>
    </row>
    <row r="67" spans="1:11" x14ac:dyDescent="0.2">
      <c r="A67" s="34" t="s">
        <v>53</v>
      </c>
      <c r="B67" s="89">
        <v>46079</v>
      </c>
      <c r="C67" s="46" t="s">
        <v>318</v>
      </c>
      <c r="D67" s="46" t="s">
        <v>319</v>
      </c>
      <c r="E67" s="46" t="s">
        <v>258</v>
      </c>
      <c r="F67" s="46" t="s">
        <v>374</v>
      </c>
      <c r="H67" s="218">
        <v>-56.8</v>
      </c>
      <c r="I67" s="237"/>
      <c r="J67" s="207" t="s">
        <v>426</v>
      </c>
      <c r="K67" s="214">
        <v>-3</v>
      </c>
    </row>
    <row r="68" spans="1:11" x14ac:dyDescent="0.2">
      <c r="A68" s="34" t="s">
        <v>53</v>
      </c>
      <c r="B68" s="89">
        <v>46079</v>
      </c>
      <c r="C68" s="46" t="s">
        <v>318</v>
      </c>
      <c r="D68" s="46" t="s">
        <v>319</v>
      </c>
      <c r="E68" s="46" t="s">
        <v>258</v>
      </c>
      <c r="F68" s="46" t="s">
        <v>375</v>
      </c>
      <c r="H68" s="218">
        <v>-50</v>
      </c>
      <c r="I68" s="237"/>
      <c r="J68" s="207" t="s">
        <v>426</v>
      </c>
      <c r="K68" s="214">
        <v>-3</v>
      </c>
    </row>
    <row r="69" spans="1:11" x14ac:dyDescent="0.2">
      <c r="A69" s="34" t="s">
        <v>53</v>
      </c>
      <c r="B69" s="89">
        <v>46079</v>
      </c>
      <c r="C69" s="46" t="s">
        <v>318</v>
      </c>
      <c r="D69" s="46" t="s">
        <v>319</v>
      </c>
      <c r="E69" s="46" t="s">
        <v>258</v>
      </c>
      <c r="F69" s="46" t="s">
        <v>376</v>
      </c>
      <c r="H69" s="218">
        <v>-62.27</v>
      </c>
      <c r="I69" s="237"/>
      <c r="J69" s="207" t="s">
        <v>426</v>
      </c>
      <c r="K69" s="214">
        <v>-3</v>
      </c>
    </row>
    <row r="70" spans="1:11" x14ac:dyDescent="0.2">
      <c r="A70" s="34" t="s">
        <v>53</v>
      </c>
      <c r="B70" s="89">
        <v>46079</v>
      </c>
      <c r="C70" s="46" t="s">
        <v>318</v>
      </c>
      <c r="D70" s="46" t="s">
        <v>319</v>
      </c>
      <c r="E70" s="46" t="s">
        <v>258</v>
      </c>
      <c r="F70" s="46" t="s">
        <v>377</v>
      </c>
      <c r="H70" s="218">
        <v>-7.16</v>
      </c>
      <c r="I70" s="237"/>
      <c r="J70" s="207" t="s">
        <v>426</v>
      </c>
      <c r="K70" s="214">
        <v>-3</v>
      </c>
    </row>
    <row r="71" spans="1:11" x14ac:dyDescent="0.2">
      <c r="A71" s="34" t="s">
        <v>53</v>
      </c>
      <c r="B71" s="89">
        <v>46079</v>
      </c>
      <c r="C71" s="46" t="s">
        <v>318</v>
      </c>
      <c r="D71" s="46" t="s">
        <v>319</v>
      </c>
      <c r="E71" s="46" t="s">
        <v>258</v>
      </c>
      <c r="F71" s="46" t="s">
        <v>378</v>
      </c>
      <c r="H71" s="218">
        <v>-29.81</v>
      </c>
      <c r="I71" s="237"/>
      <c r="J71" s="207" t="s">
        <v>426</v>
      </c>
      <c r="K71" s="214">
        <v>-3</v>
      </c>
    </row>
    <row r="72" spans="1:11" x14ac:dyDescent="0.2">
      <c r="A72" s="34" t="s">
        <v>69</v>
      </c>
      <c r="B72" s="89">
        <v>46079</v>
      </c>
      <c r="C72" s="46" t="s">
        <v>318</v>
      </c>
      <c r="D72" s="46" t="s">
        <v>319</v>
      </c>
      <c r="E72" s="46" t="s">
        <v>258</v>
      </c>
      <c r="F72" s="46" t="s">
        <v>379</v>
      </c>
      <c r="H72" s="218">
        <v>-45</v>
      </c>
      <c r="I72" s="237"/>
      <c r="J72" s="207" t="s">
        <v>426</v>
      </c>
      <c r="K72" s="214">
        <v>-3</v>
      </c>
    </row>
    <row r="73" spans="1:11" x14ac:dyDescent="0.2">
      <c r="A73" s="34" t="s">
        <v>69</v>
      </c>
      <c r="B73" s="89">
        <v>46079</v>
      </c>
      <c r="C73" s="46" t="s">
        <v>318</v>
      </c>
      <c r="D73" s="46" t="s">
        <v>319</v>
      </c>
      <c r="E73" s="46" t="s">
        <v>258</v>
      </c>
      <c r="F73" s="46" t="s">
        <v>365</v>
      </c>
      <c r="H73" s="218">
        <v>-78.23</v>
      </c>
      <c r="I73" s="237"/>
      <c r="J73" s="207" t="s">
        <v>426</v>
      </c>
      <c r="K73" s="214">
        <v>-3</v>
      </c>
    </row>
    <row r="74" spans="1:11" x14ac:dyDescent="0.2">
      <c r="A74" s="34" t="s">
        <v>69</v>
      </c>
      <c r="B74" s="89">
        <v>46079</v>
      </c>
      <c r="C74" s="46" t="s">
        <v>318</v>
      </c>
      <c r="D74" s="46" t="s">
        <v>319</v>
      </c>
      <c r="E74" s="46" t="s">
        <v>258</v>
      </c>
      <c r="F74" s="46" t="s">
        <v>366</v>
      </c>
      <c r="H74" s="218">
        <v>-17.829999999999998</v>
      </c>
      <c r="I74" s="237"/>
      <c r="J74" s="207" t="s">
        <v>426</v>
      </c>
      <c r="K74" s="214">
        <v>-3</v>
      </c>
    </row>
    <row r="75" spans="1:11" x14ac:dyDescent="0.2">
      <c r="A75" s="34" t="s">
        <v>69</v>
      </c>
      <c r="B75" s="89">
        <v>46079</v>
      </c>
      <c r="C75" s="46" t="s">
        <v>318</v>
      </c>
      <c r="D75" s="46" t="s">
        <v>319</v>
      </c>
      <c r="E75" s="46" t="s">
        <v>258</v>
      </c>
      <c r="F75" s="46" t="s">
        <v>367</v>
      </c>
      <c r="H75" s="218">
        <v>-59.75</v>
      </c>
      <c r="I75" s="237"/>
      <c r="J75" s="207" t="s">
        <v>426</v>
      </c>
      <c r="K75" s="214">
        <v>-3</v>
      </c>
    </row>
    <row r="76" spans="1:11" x14ac:dyDescent="0.2">
      <c r="A76" s="34" t="s">
        <v>69</v>
      </c>
      <c r="B76" s="89">
        <v>46079</v>
      </c>
      <c r="C76" s="46" t="s">
        <v>318</v>
      </c>
      <c r="D76" s="46" t="s">
        <v>319</v>
      </c>
      <c r="E76" s="46" t="s">
        <v>258</v>
      </c>
      <c r="F76" s="46" t="s">
        <v>380</v>
      </c>
      <c r="H76" s="218">
        <v>-119.04</v>
      </c>
      <c r="I76" s="237"/>
      <c r="J76" s="207" t="s">
        <v>426</v>
      </c>
      <c r="K76" s="214">
        <v>-3</v>
      </c>
    </row>
    <row r="77" spans="1:11" x14ac:dyDescent="0.2">
      <c r="A77" s="34" t="s">
        <v>53</v>
      </c>
      <c r="B77" s="89">
        <v>46079</v>
      </c>
      <c r="C77" s="46" t="s">
        <v>320</v>
      </c>
      <c r="D77" s="46" t="s">
        <v>321</v>
      </c>
      <c r="E77" s="46" t="s">
        <v>245</v>
      </c>
      <c r="F77" s="46" t="s">
        <v>381</v>
      </c>
      <c r="H77" s="218">
        <v>-2800</v>
      </c>
      <c r="I77" s="36"/>
      <c r="J77" s="207" t="s">
        <v>415</v>
      </c>
      <c r="K77" s="214">
        <v>-3</v>
      </c>
    </row>
    <row r="78" spans="1:11" x14ac:dyDescent="0.2">
      <c r="A78" s="34" t="s">
        <v>69</v>
      </c>
      <c r="B78" s="89">
        <v>46080</v>
      </c>
      <c r="C78" s="46" t="s">
        <v>326</v>
      </c>
      <c r="D78" s="46" t="s">
        <v>327</v>
      </c>
      <c r="E78" s="46" t="s">
        <v>346</v>
      </c>
      <c r="F78" s="46" t="s">
        <v>382</v>
      </c>
      <c r="H78" s="218">
        <v>-374.59</v>
      </c>
      <c r="I78" s="222"/>
      <c r="J78" s="207" t="s">
        <v>422</v>
      </c>
      <c r="K78" s="214">
        <v>-3</v>
      </c>
    </row>
    <row r="79" spans="1:11" x14ac:dyDescent="0.2">
      <c r="A79" s="34" t="s">
        <v>53</v>
      </c>
      <c r="B79" s="89">
        <v>46080</v>
      </c>
      <c r="C79" s="46" t="s">
        <v>328</v>
      </c>
      <c r="D79" s="46" t="s">
        <v>329</v>
      </c>
      <c r="E79" s="46" t="s">
        <v>282</v>
      </c>
      <c r="F79" s="46" t="s">
        <v>383</v>
      </c>
      <c r="H79" s="218">
        <v>-75.12</v>
      </c>
      <c r="I79" s="237"/>
      <c r="J79" s="207" t="s">
        <v>429</v>
      </c>
      <c r="K79" s="214">
        <v>-3</v>
      </c>
    </row>
    <row r="80" spans="1:11" x14ac:dyDescent="0.2">
      <c r="A80" s="34" t="s">
        <v>53</v>
      </c>
      <c r="B80" s="89">
        <v>46080</v>
      </c>
      <c r="C80" s="46" t="s">
        <v>330</v>
      </c>
      <c r="D80" s="46" t="s">
        <v>331</v>
      </c>
      <c r="E80" s="46" t="s">
        <v>282</v>
      </c>
      <c r="F80" s="46" t="s">
        <v>384</v>
      </c>
      <c r="H80" s="218">
        <v>-662.55</v>
      </c>
      <c r="I80" s="237"/>
      <c r="J80" s="207" t="s">
        <v>429</v>
      </c>
      <c r="K80" s="214">
        <v>-3</v>
      </c>
    </row>
    <row r="81" spans="1:11" x14ac:dyDescent="0.2">
      <c r="A81" s="34" t="s">
        <v>53</v>
      </c>
      <c r="B81" s="89">
        <v>46080</v>
      </c>
      <c r="C81" s="46" t="s">
        <v>332</v>
      </c>
      <c r="D81" s="46" t="s">
        <v>333</v>
      </c>
      <c r="E81" s="46" t="s">
        <v>282</v>
      </c>
      <c r="F81" s="46" t="s">
        <v>385</v>
      </c>
      <c r="H81" s="218">
        <v>-134.09</v>
      </c>
      <c r="I81" s="237"/>
      <c r="J81" s="207" t="s">
        <v>429</v>
      </c>
      <c r="K81" s="214">
        <v>-3</v>
      </c>
    </row>
    <row r="82" spans="1:11" x14ac:dyDescent="0.2">
      <c r="A82" s="34" t="s">
        <v>53</v>
      </c>
      <c r="B82" s="89">
        <v>46080</v>
      </c>
      <c r="C82" s="46" t="s">
        <v>334</v>
      </c>
      <c r="D82" s="46" t="s">
        <v>335</v>
      </c>
      <c r="E82" s="46" t="s">
        <v>282</v>
      </c>
      <c r="F82" s="46" t="s">
        <v>386</v>
      </c>
      <c r="H82" s="218">
        <v>-38.47</v>
      </c>
      <c r="I82" s="237"/>
      <c r="J82" s="207" t="s">
        <v>429</v>
      </c>
      <c r="K82" s="214">
        <v>-3</v>
      </c>
    </row>
    <row r="83" spans="1:11" x14ac:dyDescent="0.2">
      <c r="A83" s="34" t="s">
        <v>69</v>
      </c>
      <c r="B83" s="89">
        <v>46080</v>
      </c>
      <c r="C83" s="46" t="s">
        <v>336</v>
      </c>
      <c r="D83" s="46" t="s">
        <v>337</v>
      </c>
      <c r="E83" s="46" t="s">
        <v>191</v>
      </c>
      <c r="F83" s="46" t="s">
        <v>387</v>
      </c>
      <c r="H83" s="218">
        <v>-31.98</v>
      </c>
      <c r="I83" s="237"/>
      <c r="J83" s="207" t="s">
        <v>429</v>
      </c>
      <c r="K83" s="214">
        <v>-3</v>
      </c>
    </row>
    <row r="84" spans="1:11" x14ac:dyDescent="0.2">
      <c r="A84" s="34" t="s">
        <v>53</v>
      </c>
      <c r="B84" s="89">
        <v>46081</v>
      </c>
      <c r="C84" s="46" t="s">
        <v>340</v>
      </c>
      <c r="D84" s="46" t="s">
        <v>341</v>
      </c>
      <c r="E84" s="46" t="s">
        <v>341</v>
      </c>
      <c r="F84" s="46" t="s">
        <v>195</v>
      </c>
      <c r="H84" s="248">
        <v>-27892.73</v>
      </c>
      <c r="I84" s="237"/>
      <c r="J84" s="207" t="s">
        <v>426</v>
      </c>
      <c r="K84" s="214">
        <v>-3</v>
      </c>
    </row>
    <row r="85" spans="1:11" x14ac:dyDescent="0.2">
      <c r="A85" s="34" t="s">
        <v>69</v>
      </c>
      <c r="B85" s="89">
        <v>46081</v>
      </c>
      <c r="C85" s="46" t="s">
        <v>340</v>
      </c>
      <c r="D85" s="46" t="s">
        <v>341</v>
      </c>
      <c r="E85" s="46" t="s">
        <v>341</v>
      </c>
      <c r="F85" s="46" t="s">
        <v>195</v>
      </c>
      <c r="H85" s="248">
        <v>-26798.89</v>
      </c>
      <c r="I85" s="237"/>
      <c r="J85" s="207" t="s">
        <v>426</v>
      </c>
      <c r="K85" s="214">
        <v>-3</v>
      </c>
    </row>
    <row r="86" spans="1:11" x14ac:dyDescent="0.2">
      <c r="A86" s="34" t="s">
        <v>53</v>
      </c>
      <c r="B86" s="89">
        <v>46081</v>
      </c>
      <c r="C86" s="46" t="s">
        <v>343</v>
      </c>
      <c r="D86" s="46" t="s">
        <v>344</v>
      </c>
      <c r="E86" s="46" t="s">
        <v>348</v>
      </c>
      <c r="F86" s="46" t="s">
        <v>348</v>
      </c>
      <c r="H86" s="218">
        <v>-4113.04</v>
      </c>
      <c r="I86" s="36"/>
      <c r="J86" s="228">
        <v>46082</v>
      </c>
      <c r="K86" s="234">
        <v>-4</v>
      </c>
    </row>
    <row r="87" spans="1:11" x14ac:dyDescent="0.2">
      <c r="A87" s="34" t="s">
        <v>69</v>
      </c>
      <c r="B87" s="89">
        <v>46081</v>
      </c>
      <c r="C87" s="46" t="s">
        <v>345</v>
      </c>
      <c r="D87" s="46" t="s">
        <v>344</v>
      </c>
      <c r="E87" s="46" t="s">
        <v>349</v>
      </c>
      <c r="F87" s="46" t="s">
        <v>349</v>
      </c>
      <c r="H87" s="218">
        <v>-3992.24</v>
      </c>
      <c r="I87" s="36"/>
      <c r="J87" s="228">
        <v>46082</v>
      </c>
      <c r="K87" s="234">
        <v>-4</v>
      </c>
    </row>
    <row r="88" spans="1:11" x14ac:dyDescent="0.2">
      <c r="A88" s="34" t="s">
        <v>53</v>
      </c>
      <c r="B88" s="89">
        <v>46081</v>
      </c>
      <c r="C88" s="46" t="s">
        <v>390</v>
      </c>
      <c r="D88" s="46"/>
      <c r="E88" s="46" t="s">
        <v>392</v>
      </c>
      <c r="F88" s="46" t="s">
        <v>394</v>
      </c>
      <c r="H88" s="76">
        <v>-1415</v>
      </c>
      <c r="I88" s="36"/>
      <c r="J88" s="228">
        <v>46082</v>
      </c>
      <c r="K88" s="234">
        <v>-4</v>
      </c>
    </row>
    <row r="89" spans="1:11" x14ac:dyDescent="0.2">
      <c r="A89" s="34" t="s">
        <v>69</v>
      </c>
      <c r="B89" s="89">
        <v>46081</v>
      </c>
      <c r="C89" s="46" t="s">
        <v>391</v>
      </c>
      <c r="D89" s="46"/>
      <c r="E89" s="46" t="s">
        <v>393</v>
      </c>
      <c r="F89" s="46" t="s">
        <v>394</v>
      </c>
      <c r="H89" s="76">
        <v>-1510</v>
      </c>
      <c r="I89" s="36"/>
      <c r="J89" s="228">
        <v>46082</v>
      </c>
      <c r="K89" s="234">
        <v>-4</v>
      </c>
    </row>
    <row r="90" spans="1:11" x14ac:dyDescent="0.2">
      <c r="G90" s="239"/>
    </row>
  </sheetData>
  <sortState ref="A7:K30">
    <sortCondition ref="G7:G30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showGridLines="0" zoomScale="85" zoomScaleNormal="85" workbookViewId="0">
      <pane ySplit="5" topLeftCell="A6" activePane="bottomLeft" state="frozen"/>
      <selection pane="bottomLeft" activeCell="A6" sqref="A6"/>
    </sheetView>
  </sheetViews>
  <sheetFormatPr defaultColWidth="9.33203125" defaultRowHeight="12.75" x14ac:dyDescent="0.2"/>
  <cols>
    <col min="1" max="1" width="4" style="1" customWidth="1"/>
    <col min="2" max="2" width="25.83203125" style="1" customWidth="1"/>
    <col min="3" max="3" width="12.83203125" style="30" customWidth="1"/>
    <col min="4" max="4" width="12.33203125" style="31" customWidth="1"/>
    <col min="5" max="5" width="39.33203125" style="32" customWidth="1"/>
    <col min="6" max="6" width="13.1640625" style="32" customWidth="1"/>
    <col min="7" max="7" width="14.6640625" style="72" bestFit="1" customWidth="1"/>
    <col min="8" max="8" width="13.83203125" style="72" customWidth="1"/>
    <col min="9" max="9" width="57.5" style="70" customWidth="1"/>
    <col min="10" max="10" width="15.83203125" style="60" customWidth="1"/>
    <col min="11" max="16384" width="9.33203125" style="1"/>
  </cols>
  <sheetData>
    <row r="1" spans="2:14" ht="13.5" thickBot="1" x14ac:dyDescent="0.25"/>
    <row r="2" spans="2:14" ht="13.5" thickBot="1" x14ac:dyDescent="0.25">
      <c r="B2" s="264" t="s">
        <v>1</v>
      </c>
      <c r="C2" s="265"/>
      <c r="D2" s="265"/>
      <c r="E2" s="265"/>
      <c r="F2" s="265"/>
      <c r="G2" s="265"/>
      <c r="H2" s="266"/>
    </row>
    <row r="3" spans="2:14" ht="13.5" thickBot="1" x14ac:dyDescent="0.25">
      <c r="B3" s="261" t="s">
        <v>2</v>
      </c>
      <c r="C3" s="262"/>
      <c r="D3" s="262"/>
      <c r="E3" s="262"/>
      <c r="F3" s="262"/>
      <c r="G3" s="262"/>
      <c r="H3" s="263"/>
    </row>
    <row r="4" spans="2:14" ht="13.5" thickBot="1" x14ac:dyDescent="0.25">
      <c r="B4" s="267">
        <v>44317</v>
      </c>
      <c r="C4" s="268"/>
      <c r="D4" s="268"/>
      <c r="E4" s="268"/>
      <c r="F4" s="268"/>
      <c r="G4" s="268"/>
      <c r="H4" s="269"/>
    </row>
    <row r="5" spans="2:14" ht="13.5" thickBot="1" x14ac:dyDescent="0.25">
      <c r="B5" s="107" t="s">
        <v>3</v>
      </c>
      <c r="C5" s="5"/>
      <c r="D5" s="12"/>
      <c r="E5" s="17"/>
      <c r="F5" s="17"/>
      <c r="G5" s="71"/>
      <c r="H5" s="108"/>
    </row>
    <row r="6" spans="2:14" x14ac:dyDescent="0.2">
      <c r="B6" s="109"/>
      <c r="C6" s="6"/>
      <c r="D6" s="13"/>
      <c r="E6" s="18"/>
      <c r="F6" s="18"/>
      <c r="G6" s="84"/>
      <c r="H6" s="110"/>
    </row>
    <row r="7" spans="2:14" x14ac:dyDescent="0.2">
      <c r="B7" s="111"/>
      <c r="C7" s="7"/>
      <c r="D7" s="14"/>
      <c r="F7" s="40" t="s">
        <v>4</v>
      </c>
      <c r="G7" s="79"/>
      <c r="H7" s="112">
        <v>169893.52</v>
      </c>
    </row>
    <row r="8" spans="2:14" x14ac:dyDescent="0.2">
      <c r="B8" s="111"/>
      <c r="C8" s="7"/>
      <c r="D8" s="14"/>
      <c r="E8" s="19"/>
      <c r="F8" s="19"/>
      <c r="G8" s="80"/>
      <c r="H8" s="113"/>
    </row>
    <row r="9" spans="2:14" x14ac:dyDescent="0.2">
      <c r="B9" s="114" t="s">
        <v>5</v>
      </c>
      <c r="C9" s="11"/>
      <c r="D9" s="15"/>
      <c r="E9" s="19"/>
      <c r="F9" s="19"/>
      <c r="G9" s="80"/>
      <c r="H9" s="113"/>
    </row>
    <row r="10" spans="2:14" x14ac:dyDescent="0.2">
      <c r="B10" s="114"/>
      <c r="C10" s="11"/>
      <c r="D10" s="15"/>
      <c r="E10" s="19"/>
      <c r="F10" s="19"/>
      <c r="G10" s="80"/>
      <c r="H10" s="113"/>
    </row>
    <row r="11" spans="2:14" ht="13.5" thickBot="1" x14ac:dyDescent="0.25">
      <c r="B11" s="143" t="s">
        <v>204</v>
      </c>
      <c r="C11" s="144" t="s">
        <v>15</v>
      </c>
      <c r="D11" s="145"/>
      <c r="E11" s="146" t="s">
        <v>205</v>
      </c>
      <c r="F11" s="147"/>
      <c r="G11" s="148">
        <v>450</v>
      </c>
      <c r="H11" s="149"/>
      <c r="I11" s="142" t="s">
        <v>206</v>
      </c>
      <c r="J11" s="150"/>
      <c r="K11" s="151"/>
      <c r="L11" s="151"/>
      <c r="M11" s="151"/>
      <c r="N11" s="151"/>
    </row>
    <row r="12" spans="2:14" ht="26.25" thickBot="1" x14ac:dyDescent="0.25">
      <c r="B12" s="152" t="s">
        <v>207</v>
      </c>
      <c r="C12" s="153" t="s">
        <v>15</v>
      </c>
      <c r="D12" s="154"/>
      <c r="E12" s="155" t="s">
        <v>208</v>
      </c>
      <c r="F12" s="156"/>
      <c r="G12" s="157">
        <v>1232.47</v>
      </c>
      <c r="H12" s="158"/>
      <c r="I12" s="159" t="s">
        <v>209</v>
      </c>
      <c r="J12" s="150"/>
      <c r="K12" s="151"/>
      <c r="L12" s="151"/>
      <c r="M12" s="151"/>
      <c r="N12" s="151"/>
    </row>
    <row r="13" spans="2:14" ht="39" thickBot="1" x14ac:dyDescent="0.25">
      <c r="B13" s="160" t="s">
        <v>210</v>
      </c>
      <c r="C13" s="161" t="s">
        <v>15</v>
      </c>
      <c r="D13" s="162"/>
      <c r="E13" s="163" t="s">
        <v>211</v>
      </c>
      <c r="F13" s="164"/>
      <c r="G13" s="165">
        <v>1322.39</v>
      </c>
      <c r="H13" s="166"/>
      <c r="I13" s="167" t="s">
        <v>212</v>
      </c>
      <c r="J13" s="150"/>
      <c r="K13" s="151"/>
      <c r="L13" s="151"/>
      <c r="M13" s="151"/>
      <c r="N13" s="151"/>
    </row>
    <row r="14" spans="2:14" ht="51" x14ac:dyDescent="0.2">
      <c r="B14" s="168" t="s">
        <v>213</v>
      </c>
      <c r="C14" s="169" t="s">
        <v>15</v>
      </c>
      <c r="D14" s="170"/>
      <c r="E14" s="171" t="s">
        <v>214</v>
      </c>
      <c r="F14" s="172"/>
      <c r="G14" s="173">
        <v>2330</v>
      </c>
      <c r="H14" s="174"/>
      <c r="I14" s="175" t="s">
        <v>215</v>
      </c>
      <c r="J14" s="176"/>
      <c r="K14" s="151"/>
      <c r="L14" s="151"/>
      <c r="M14" s="151"/>
      <c r="N14" s="151"/>
    </row>
    <row r="15" spans="2:14" x14ac:dyDescent="0.2">
      <c r="B15" s="115"/>
      <c r="C15" s="3"/>
      <c r="D15" s="15"/>
      <c r="E15" s="41"/>
      <c r="F15" s="20"/>
      <c r="G15" s="81"/>
      <c r="H15" s="116"/>
    </row>
    <row r="16" spans="2:14" x14ac:dyDescent="0.2">
      <c r="B16" s="117" t="s">
        <v>6</v>
      </c>
      <c r="C16" s="3"/>
      <c r="D16" s="16"/>
      <c r="E16" s="21"/>
      <c r="F16" s="21"/>
      <c r="G16" s="78"/>
      <c r="H16" s="118"/>
    </row>
    <row r="17" spans="2:13" x14ac:dyDescent="0.2">
      <c r="B17" s="117"/>
      <c r="C17" s="3"/>
      <c r="D17" s="16"/>
      <c r="E17" s="21"/>
      <c r="F17" s="21"/>
      <c r="G17" s="78"/>
      <c r="H17" s="118"/>
    </row>
    <row r="18" spans="2:13" x14ac:dyDescent="0.2">
      <c r="B18" s="119"/>
      <c r="C18" s="3"/>
      <c r="D18" s="16"/>
      <c r="E18" s="59"/>
      <c r="F18" s="21"/>
      <c r="G18" s="78"/>
      <c r="H18" s="118"/>
    </row>
    <row r="19" spans="2:13" x14ac:dyDescent="0.2">
      <c r="B19" s="120"/>
      <c r="C19" s="3"/>
      <c r="D19" s="16"/>
      <c r="F19" s="24" t="s">
        <v>9</v>
      </c>
      <c r="G19" s="79"/>
      <c r="H19" s="118">
        <f>SUM(G9:G18)</f>
        <v>5334.8600000000006</v>
      </c>
    </row>
    <row r="20" spans="2:13" x14ac:dyDescent="0.2">
      <c r="B20" s="120"/>
      <c r="C20" s="3"/>
      <c r="D20" s="16"/>
      <c r="F20" s="23"/>
      <c r="G20" s="79"/>
      <c r="H20" s="121"/>
    </row>
    <row r="21" spans="2:13" ht="13.5" thickBot="1" x14ac:dyDescent="0.25">
      <c r="B21" s="111"/>
      <c r="C21" s="7"/>
      <c r="D21" s="14"/>
      <c r="F21" s="19" t="s">
        <v>10</v>
      </c>
      <c r="G21" s="79"/>
      <c r="H21" s="122">
        <f>+H7-H19</f>
        <v>164558.65999999997</v>
      </c>
    </row>
    <row r="22" spans="2:13" ht="14.25" thickTop="1" thickBot="1" x14ac:dyDescent="0.25">
      <c r="B22" s="111"/>
      <c r="C22" s="3"/>
      <c r="D22" s="16"/>
      <c r="E22" s="25"/>
      <c r="F22" s="25"/>
      <c r="G22" s="82"/>
      <c r="H22" s="123"/>
    </row>
    <row r="23" spans="2:13" ht="13.5" thickBot="1" x14ac:dyDescent="0.25">
      <c r="B23" s="177" t="s">
        <v>11</v>
      </c>
      <c r="C23" s="178"/>
      <c r="D23" s="179"/>
      <c r="E23" s="180"/>
      <c r="F23" s="180"/>
      <c r="G23" s="181"/>
      <c r="H23" s="182"/>
    </row>
    <row r="24" spans="2:13" x14ac:dyDescent="0.2">
      <c r="B24" s="126"/>
      <c r="C24" s="6"/>
      <c r="D24" s="13"/>
      <c r="E24" s="18"/>
      <c r="F24" s="18"/>
      <c r="G24" s="84"/>
      <c r="H24" s="110"/>
    </row>
    <row r="25" spans="2:13" x14ac:dyDescent="0.2">
      <c r="B25" s="111"/>
      <c r="C25" s="7"/>
      <c r="D25" s="14"/>
      <c r="E25" s="1"/>
      <c r="F25" s="40" t="s">
        <v>12</v>
      </c>
      <c r="G25" s="79"/>
      <c r="H25" s="127">
        <f>+[1]GL!I201</f>
        <v>131447</v>
      </c>
      <c r="I25" s="73"/>
    </row>
    <row r="26" spans="2:13" x14ac:dyDescent="0.2">
      <c r="B26" s="120"/>
      <c r="C26" s="3"/>
      <c r="D26" s="16"/>
      <c r="E26" s="26"/>
      <c r="F26" s="26"/>
      <c r="G26" s="85"/>
      <c r="H26" s="123"/>
    </row>
    <row r="27" spans="2:13" x14ac:dyDescent="0.2">
      <c r="B27" s="128" t="s">
        <v>13</v>
      </c>
      <c r="C27" s="37"/>
      <c r="D27" s="30"/>
      <c r="E27" s="22"/>
      <c r="F27" s="22"/>
      <c r="G27" s="82"/>
      <c r="H27" s="123"/>
    </row>
    <row r="28" spans="2:13" x14ac:dyDescent="0.2">
      <c r="B28" s="128"/>
      <c r="C28" s="37"/>
      <c r="D28" s="30"/>
      <c r="E28" s="22"/>
      <c r="F28" s="22"/>
      <c r="G28" s="82"/>
      <c r="H28" s="123"/>
    </row>
    <row r="29" spans="2:13" x14ac:dyDescent="0.2">
      <c r="B29" s="140">
        <v>44200</v>
      </c>
      <c r="C29" s="3" t="s">
        <v>15</v>
      </c>
      <c r="D29" s="11" t="s">
        <v>216</v>
      </c>
      <c r="E29" s="183" t="s">
        <v>217</v>
      </c>
      <c r="F29" s="141"/>
      <c r="G29" s="90">
        <v>782.79</v>
      </c>
      <c r="H29" s="116"/>
      <c r="I29" s="275" t="s">
        <v>218</v>
      </c>
      <c r="J29" s="276"/>
      <c r="K29" s="276"/>
      <c r="L29" s="276"/>
      <c r="M29" s="277"/>
    </row>
    <row r="30" spans="2:13" x14ac:dyDescent="0.2">
      <c r="B30" s="140">
        <v>44201</v>
      </c>
      <c r="C30" s="3" t="s">
        <v>15</v>
      </c>
      <c r="D30" s="11" t="s">
        <v>219</v>
      </c>
      <c r="E30" s="183" t="s">
        <v>220</v>
      </c>
      <c r="F30" s="141"/>
      <c r="G30" s="90">
        <v>1882.47</v>
      </c>
      <c r="H30" s="116"/>
      <c r="I30" s="184" t="s">
        <v>221</v>
      </c>
    </row>
    <row r="31" spans="2:13" x14ac:dyDescent="0.2">
      <c r="B31" s="140">
        <v>44231</v>
      </c>
      <c r="C31" s="3" t="s">
        <v>15</v>
      </c>
      <c r="D31" s="11" t="s">
        <v>222</v>
      </c>
      <c r="E31" s="183" t="s">
        <v>223</v>
      </c>
      <c r="F31" s="141"/>
      <c r="G31" s="90">
        <v>782.47</v>
      </c>
      <c r="H31" s="185"/>
      <c r="I31" s="184" t="s">
        <v>224</v>
      </c>
    </row>
    <row r="32" spans="2:13" x14ac:dyDescent="0.2">
      <c r="B32" s="140">
        <v>44259</v>
      </c>
      <c r="C32" s="3" t="s">
        <v>15</v>
      </c>
      <c r="D32" s="11" t="s">
        <v>225</v>
      </c>
      <c r="E32" s="183" t="s">
        <v>226</v>
      </c>
      <c r="F32" s="141"/>
      <c r="G32" s="90">
        <v>782.39</v>
      </c>
      <c r="H32" s="185"/>
      <c r="I32" s="184" t="s">
        <v>227</v>
      </c>
    </row>
    <row r="33" spans="1:9" x14ac:dyDescent="0.2">
      <c r="B33" s="140">
        <v>44288</v>
      </c>
      <c r="C33" s="3" t="s">
        <v>15</v>
      </c>
      <c r="D33" s="11" t="s">
        <v>228</v>
      </c>
      <c r="E33" s="183" t="s">
        <v>229</v>
      </c>
      <c r="F33" s="141"/>
      <c r="G33" s="90">
        <v>780</v>
      </c>
      <c r="H33" s="185"/>
      <c r="I33" s="184" t="s">
        <v>230</v>
      </c>
    </row>
    <row r="34" spans="1:9" x14ac:dyDescent="0.2">
      <c r="B34" s="140">
        <v>44289</v>
      </c>
      <c r="C34" s="3" t="s">
        <v>15</v>
      </c>
      <c r="D34" s="11" t="s">
        <v>231</v>
      </c>
      <c r="E34" s="183" t="s">
        <v>232</v>
      </c>
      <c r="F34" s="141"/>
      <c r="G34" s="90">
        <v>1100</v>
      </c>
      <c r="H34" s="185"/>
      <c r="I34" s="184" t="s">
        <v>230</v>
      </c>
    </row>
    <row r="35" spans="1:9" x14ac:dyDescent="0.2">
      <c r="B35" s="128"/>
      <c r="C35" s="37"/>
      <c r="D35" s="30"/>
      <c r="E35" s="22"/>
      <c r="F35" s="22"/>
      <c r="G35" s="82"/>
      <c r="H35" s="123"/>
    </row>
    <row r="36" spans="1:9" x14ac:dyDescent="0.2">
      <c r="B36" s="129" t="s">
        <v>14</v>
      </c>
      <c r="D36" s="139" t="s">
        <v>233</v>
      </c>
      <c r="E36" s="22"/>
      <c r="F36" s="22"/>
      <c r="G36" s="82">
        <f>+[1]GL!G204</f>
        <v>600</v>
      </c>
      <c r="H36" s="123"/>
    </row>
    <row r="37" spans="1:9" x14ac:dyDescent="0.2">
      <c r="B37" s="129"/>
      <c r="D37" s="139"/>
      <c r="E37" s="22"/>
      <c r="F37" s="22"/>
      <c r="G37" s="87"/>
      <c r="H37" s="123"/>
    </row>
    <row r="38" spans="1:9" x14ac:dyDescent="0.2">
      <c r="B38" s="129"/>
      <c r="C38" s="10"/>
      <c r="D38" s="30"/>
      <c r="E38" s="22"/>
      <c r="F38" s="103" t="s">
        <v>23</v>
      </c>
      <c r="G38" s="82">
        <f>SUM(G28:G37)</f>
        <v>6710.1200000000008</v>
      </c>
      <c r="H38" s="123"/>
    </row>
    <row r="39" spans="1:9" x14ac:dyDescent="0.2">
      <c r="B39" s="129"/>
      <c r="C39" s="10"/>
      <c r="D39" s="30"/>
      <c r="E39" s="22"/>
      <c r="F39" s="16"/>
      <c r="G39" s="82"/>
      <c r="H39" s="123"/>
    </row>
    <row r="40" spans="1:9" x14ac:dyDescent="0.2">
      <c r="A40" s="1" t="s">
        <v>24</v>
      </c>
      <c r="B40" s="114" t="s">
        <v>25</v>
      </c>
      <c r="C40" s="3"/>
      <c r="D40" s="30"/>
      <c r="E40" s="16"/>
      <c r="F40" s="16"/>
      <c r="G40" s="85"/>
      <c r="H40" s="123"/>
    </row>
    <row r="41" spans="1:9" x14ac:dyDescent="0.2">
      <c r="B41" s="114"/>
      <c r="C41" s="3"/>
      <c r="D41" s="30"/>
      <c r="E41" s="16"/>
      <c r="F41" s="16"/>
      <c r="G41" s="85"/>
      <c r="H41" s="123"/>
    </row>
    <row r="42" spans="1:9" x14ac:dyDescent="0.2">
      <c r="B42" s="114"/>
      <c r="C42" s="3"/>
      <c r="D42" s="30"/>
      <c r="E42" s="16"/>
      <c r="F42" s="16"/>
      <c r="G42" s="85"/>
      <c r="H42" s="123"/>
    </row>
    <row r="43" spans="1:9" x14ac:dyDescent="0.2">
      <c r="B43" s="129" t="s">
        <v>26</v>
      </c>
      <c r="D43" s="139" t="s">
        <v>233</v>
      </c>
      <c r="E43" s="22"/>
      <c r="F43" s="22"/>
      <c r="G43" s="82">
        <f>+[1]GL!G206</f>
        <v>-39821.78</v>
      </c>
      <c r="H43" s="123"/>
    </row>
    <row r="44" spans="1:9" x14ac:dyDescent="0.2">
      <c r="B44" s="114"/>
      <c r="D44" s="139"/>
      <c r="E44" s="16"/>
      <c r="F44" s="16"/>
      <c r="G44" s="86"/>
      <c r="H44" s="123"/>
    </row>
    <row r="45" spans="1:9" x14ac:dyDescent="0.2">
      <c r="B45" s="114"/>
      <c r="D45" s="139"/>
      <c r="E45" s="16"/>
      <c r="F45" s="103" t="s">
        <v>23</v>
      </c>
      <c r="G45" s="85">
        <f>SUM(G42:G44)</f>
        <v>-39821.78</v>
      </c>
      <c r="H45" s="123"/>
    </row>
    <row r="46" spans="1:9" x14ac:dyDescent="0.2">
      <c r="B46" s="120"/>
      <c r="C46" s="4"/>
      <c r="D46" s="30"/>
      <c r="E46" s="29"/>
      <c r="F46" s="29"/>
      <c r="G46" s="88"/>
      <c r="H46" s="118"/>
    </row>
    <row r="47" spans="1:9" x14ac:dyDescent="0.2">
      <c r="B47" s="130"/>
      <c r="C47" s="1"/>
      <c r="D47" s="30"/>
      <c r="F47" s="61" t="s">
        <v>28</v>
      </c>
      <c r="G47" s="138">
        <f>+G45+G38</f>
        <v>-33111.659999999996</v>
      </c>
      <c r="H47" s="118"/>
    </row>
    <row r="48" spans="1:9" x14ac:dyDescent="0.2">
      <c r="B48" s="111"/>
      <c r="C48" s="8"/>
      <c r="D48" s="14"/>
      <c r="E48" s="27"/>
      <c r="F48" s="27"/>
      <c r="G48" s="82"/>
      <c r="H48" s="123"/>
    </row>
    <row r="49" spans="2:8" x14ac:dyDescent="0.2">
      <c r="B49" s="111"/>
      <c r="C49" s="9"/>
      <c r="D49" s="16"/>
      <c r="F49" s="28" t="s">
        <v>29</v>
      </c>
      <c r="G49" s="79"/>
      <c r="H49" s="118">
        <f>+H25-G47</f>
        <v>164558.66</v>
      </c>
    </row>
    <row r="50" spans="2:8" x14ac:dyDescent="0.2">
      <c r="B50" s="111"/>
      <c r="C50" s="9"/>
      <c r="D50" s="16"/>
      <c r="F50" s="28"/>
      <c r="G50" s="79"/>
      <c r="H50" s="121"/>
    </row>
    <row r="51" spans="2:8" ht="13.5" thickBot="1" x14ac:dyDescent="0.25">
      <c r="B51" s="111"/>
      <c r="C51" s="9"/>
      <c r="D51" s="16"/>
      <c r="F51" s="28" t="s">
        <v>30</v>
      </c>
      <c r="G51" s="79"/>
      <c r="H51" s="131">
        <f>+H21-H49</f>
        <v>0</v>
      </c>
    </row>
    <row r="52" spans="2:8" ht="14.25" thickTop="1" thickBot="1" x14ac:dyDescent="0.25">
      <c r="B52" s="132"/>
      <c r="C52" s="133"/>
      <c r="D52" s="134"/>
      <c r="E52" s="135"/>
      <c r="F52" s="135"/>
      <c r="G52" s="136"/>
      <c r="H52" s="137"/>
    </row>
  </sheetData>
  <mergeCells count="4">
    <mergeCell ref="B2:H2"/>
    <mergeCell ref="B3:H3"/>
    <mergeCell ref="B4:H4"/>
    <mergeCell ref="I29:M29"/>
  </mergeCells>
  <printOptions horizontalCentered="1"/>
  <pageMargins left="0.5" right="0.5" top="0.75" bottom="0.75" header="0.3" footer="0.3"/>
  <pageSetup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bf3f30-e0e7-4d78-975b-e26688708161" xsi:nil="true"/>
    <lcf76f155ced4ddcb4097134ff3c332f xmlns="a5a00226-42df-4cdf-abf3-70d11146383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BD2A4E9190F478000D3BF7430858F" ma:contentTypeVersion="19" ma:contentTypeDescription="Create a new document." ma:contentTypeScope="" ma:versionID="bade4da8854789b6c51ada15fb217850">
  <xsd:schema xmlns:xsd="http://www.w3.org/2001/XMLSchema" xmlns:xs="http://www.w3.org/2001/XMLSchema" xmlns:p="http://schemas.microsoft.com/office/2006/metadata/properties" xmlns:ns2="a5a00226-42df-4cdf-abf3-70d111463837" xmlns:ns3="19bf3f30-e0e7-4d78-975b-e26688708161" targetNamespace="http://schemas.microsoft.com/office/2006/metadata/properties" ma:root="true" ma:fieldsID="406878da5add308e2b53f50d70b43558" ns2:_="" ns3:_="">
    <xsd:import namespace="a5a00226-42df-4cdf-abf3-70d111463837"/>
    <xsd:import namespace="19bf3f30-e0e7-4d78-975b-e26688708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00226-42df-4cdf-abf3-70d111463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889991-f470-4d41-bb07-f8464fff8a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f3f30-e0e7-4d78-975b-e2668870816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f1dde8-6a4e-4d16-886e-a95b15f7e7b8}" ma:internalName="TaxCatchAll" ma:showField="CatchAllData" ma:web="19bf3f30-e0e7-4d78-975b-e26688708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EEC01D-A71F-4975-B8B0-2C02D6ABEAAE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a5a00226-42df-4cdf-abf3-70d111463837"/>
    <ds:schemaRef ds:uri="http://schemas.openxmlformats.org/package/2006/metadata/core-properties"/>
    <ds:schemaRef ds:uri="19bf3f30-e0e7-4d78-975b-e26688708161"/>
  </ds:schemaRefs>
</ds:datastoreItem>
</file>

<file path=customXml/itemProps2.xml><?xml version="1.0" encoding="utf-8"?>
<ds:datastoreItem xmlns:ds="http://schemas.openxmlformats.org/officeDocument/2006/customXml" ds:itemID="{BCEC9A67-A1AF-40A6-A8D2-49BDAD3C5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00226-42df-4cdf-abf3-70d111463837"/>
    <ds:schemaRef ds:uri="19bf3f30-e0e7-4d78-975b-e26688708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D89E58-A9B2-4EE7-BEC1-0D34BC315F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Bank Statement</vt:lpstr>
      <vt:lpstr>GL</vt:lpstr>
      <vt:lpstr>Un-Reconcile transactions</vt:lpstr>
      <vt:lpstr>Old Reconciled</vt:lpstr>
      <vt:lpstr>AR Summary</vt:lpstr>
      <vt:lpstr>Summary!Print_Area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Aditaya Kapoor</dc:creator>
  <cp:lastModifiedBy>Himanshu Bisht</cp:lastModifiedBy>
  <cp:revision/>
  <cp:lastPrinted>2025-04-15T10:46:09Z</cp:lastPrinted>
  <dcterms:created xsi:type="dcterms:W3CDTF">2017-06-27T06:43:45Z</dcterms:created>
  <dcterms:modified xsi:type="dcterms:W3CDTF">2026-04-17T10:24:06Z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0x010100ABCBD2A4E9190F478000D3BF7430858F</vt:lpwstr>
  </property>
  <property fmtid="{D5CDD505-2E9C-101B-9397-08002B2CF9AE}" pid="3" name="MediaServiceImageTags">
    <vt:lpwstr/>
  </property>
</Properties>
</file>