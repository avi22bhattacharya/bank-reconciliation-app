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keshoremhc.sharepoint.com/Accounting/Accounting/Bank Reconciliation/PH DAVIE/2026 Bank Recs/04 Apr 2026/"/>
    </mc:Choice>
  </mc:AlternateContent>
  <xr:revisionPtr revIDLastSave="0" documentId="11_5375AD10A07F9FA4B90724E91F76EF484686FB7F" xr6:coauthVersionLast="47" xr6:coauthVersionMax="47" xr10:uidLastSave="{00000000-0000-0000-0000-000000000000}"/>
  <bookViews>
    <workbookView xWindow="19090" yWindow="-110" windowWidth="19420" windowHeight="11500" tabRatio="857" xr2:uid="{00000000-000D-0000-FFFF-FFFF00000000}"/>
  </bookViews>
  <sheets>
    <sheet name="Summary" sheetId="7" r:id="rId1"/>
    <sheet name="Bank Statement" sheetId="9" r:id="rId2"/>
    <sheet name="GL" sheetId="10" r:id="rId3"/>
    <sheet name="Un-Reconcile transactions" sheetId="11" r:id="rId4"/>
    <sheet name="Old Reconciled" sheetId="12" state="hidden" r:id="rId5"/>
    <sheet name="AR Summary" sheetId="14" state="hidden" r:id="rId6"/>
  </sheets>
  <externalReferences>
    <externalReference r:id="rId7"/>
  </externalReferences>
  <definedNames>
    <definedName name="_xlnm._FilterDatabase" localSheetId="1" hidden="1">'Bank Statement'!$A$1:$E$122</definedName>
    <definedName name="_xlnm._FilterDatabase" localSheetId="2" hidden="1">GL!$A$5:$K$670</definedName>
    <definedName name="_xlnm._FilterDatabase" localSheetId="4" hidden="1">'Old Reconciled'!$A$6:$K$6</definedName>
    <definedName name="_xlnm._FilterDatabase" localSheetId="3" hidden="1">'Un-Reconcile transactions'!$A$7:$K$7</definedName>
    <definedName name="_xlnm.Print_Area" localSheetId="0">Summary!$A$1:$K$78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7" l="1"/>
  <c r="G80" i="11"/>
  <c r="G675" i="10"/>
  <c r="G673" i="10"/>
  <c r="G4" i="11" l="1"/>
  <c r="H16" i="7" l="1"/>
  <c r="G40" i="7" l="1"/>
  <c r="G26" i="11"/>
  <c r="H22" i="7" l="1"/>
  <c r="B125" i="9" l="1"/>
  <c r="B127" i="9"/>
  <c r="H18" i="7" l="1"/>
  <c r="G43" i="14" l="1"/>
  <c r="G45" i="14" s="1"/>
  <c r="G36" i="14"/>
  <c r="G38" i="14" s="1"/>
  <c r="H25" i="14"/>
  <c r="H19" i="14"/>
  <c r="H21" i="14" s="1"/>
  <c r="G47" i="14" l="1"/>
  <c r="H49" i="14" s="1"/>
  <c r="H51" i="14" s="1"/>
  <c r="G72" i="7" l="1"/>
  <c r="H74" i="7" s="1"/>
  <c r="H76" i="7" s="1"/>
</calcChain>
</file>

<file path=xl/sharedStrings.xml><?xml version="1.0" encoding="utf-8"?>
<sst xmlns="http://schemas.openxmlformats.org/spreadsheetml/2006/main" count="5106" uniqueCount="1041">
  <si>
    <t>`</t>
  </si>
  <si>
    <t>Bank Reconciliation - PH Davie</t>
  </si>
  <si>
    <t>WFB Account number 4573468451</t>
  </si>
  <si>
    <t>Bank Information</t>
  </si>
  <si>
    <t>Balance per bank at the month end</t>
  </si>
  <si>
    <t>Outstanding Bank Deposits:</t>
  </si>
  <si>
    <t>Outstanding Bank Disbursement:</t>
  </si>
  <si>
    <t>AP</t>
  </si>
  <si>
    <t>STAGECOACH SWEEP DEBIT</t>
  </si>
  <si>
    <t>Outstanding items total</t>
  </si>
  <si>
    <t>Adjusted bank balance</t>
  </si>
  <si>
    <t>General Ledger Information - 11100113 PH Davie</t>
  </si>
  <si>
    <t xml:space="preserve"> Balance per TB at the month end</t>
  </si>
  <si>
    <t>Un-reconcile Outstanding Deposits:</t>
  </si>
  <si>
    <t>Un-reconcile Deposits:</t>
  </si>
  <si>
    <t>AR</t>
  </si>
  <si>
    <t>Credit Card On-Line Payment ; Web - Resident Services</t>
  </si>
  <si>
    <t>Debit Card On-Line Payment ; Mobile Web - Resident Services</t>
  </si>
  <si>
    <t>Debit Card On-Line Payment ; Web - Resident Services</t>
  </si>
  <si>
    <t>Online Payment - EFT Payment. Mobile Web - Resident Services</t>
  </si>
  <si>
    <t>:CHECKscan Payment</t>
  </si>
  <si>
    <t>Credit Card On-Line Payment ; Mobile Web - Resident Services</t>
  </si>
  <si>
    <t>Online Payment - EFT Payment. Web - Resident Services</t>
  </si>
  <si>
    <t>Total</t>
  </si>
  <si>
    <t xml:space="preserve"> </t>
  </si>
  <si>
    <t>Un-reconciled Outstanding Disbursement:</t>
  </si>
  <si>
    <t>Un-reconciled  Disbursement:</t>
  </si>
  <si>
    <t>KINGS III of America LLC (v0000598)</t>
  </si>
  <si>
    <t>Sub Total</t>
  </si>
  <si>
    <t>Adjusted book balance</t>
  </si>
  <si>
    <t>Variance (s/b zero)</t>
  </si>
  <si>
    <t>Date</t>
  </si>
  <si>
    <t>Amount</t>
  </si>
  <si>
    <t>Check</t>
  </si>
  <si>
    <t>Code</t>
  </si>
  <si>
    <t>Description</t>
  </si>
  <si>
    <t/>
  </si>
  <si>
    <t>CHECK</t>
  </si>
  <si>
    <t>STAGECOACH SWEEP INTEREST PAYMENT</t>
  </si>
  <si>
    <t>STAGECOACH SWEEP CREDIT</t>
  </si>
  <si>
    <t>Un-Reconciled Deposits</t>
  </si>
  <si>
    <t>Un-Reconciled Withdrawals</t>
  </si>
  <si>
    <t>General Ledger</t>
  </si>
  <si>
    <t>Property: East Pine Ridge(114epr), Palm Haven (113phv)</t>
  </si>
  <si>
    <t>11100113 PH Davie - Ops - WFB   (Bank Account)</t>
  </si>
  <si>
    <t>Property Name</t>
  </si>
  <si>
    <t>Control</t>
  </si>
  <si>
    <t>Reference</t>
  </si>
  <si>
    <t>Remarks</t>
  </si>
  <si>
    <t>Debit</t>
  </si>
  <si>
    <t>Credit</t>
  </si>
  <si>
    <t>Balance</t>
  </si>
  <si>
    <t xml:space="preserve">Reconcile Date </t>
  </si>
  <si>
    <t>Palm Haven</t>
  </si>
  <si>
    <t>Valiente Rodriguez (t0000813)</t>
  </si>
  <si>
    <t>:ACH-WEB</t>
  </si>
  <si>
    <t>Ortiz (t0000848)</t>
  </si>
  <si>
    <t>Online Payment - EFT Payment. Mobile App - Resident Services</t>
  </si>
  <si>
    <t>:prepay</t>
  </si>
  <si>
    <t>:Prog Gen prepayment transfer</t>
  </si>
  <si>
    <t>Tabali (t0000786)</t>
  </si>
  <si>
    <t>McKeehen (t0000788)</t>
  </si>
  <si>
    <t>Ho (t0000797)</t>
  </si>
  <si>
    <t>Ramos (t0000800)</t>
  </si>
  <si>
    <t>Albin (t0000805)</t>
  </si>
  <si>
    <t>Rosales (t0000807)</t>
  </si>
  <si>
    <t>Truong (t0000821)</t>
  </si>
  <si>
    <t>Pietrzik (t0000840)</t>
  </si>
  <si>
    <t>East Pine Ridge</t>
  </si>
  <si>
    <t>Lopez (t0001169)</t>
  </si>
  <si>
    <t>Holmes (t0001180)</t>
  </si>
  <si>
    <t>Corea (t0001184)</t>
  </si>
  <si>
    <t>Radford (t0001230)</t>
  </si>
  <si>
    <t>Cannon (t0000814)</t>
  </si>
  <si>
    <t>Delson (t0000824)</t>
  </si>
  <si>
    <t>Dupuy (t0001220)</t>
  </si>
  <si>
    <t>Vo (t0001205)</t>
  </si>
  <si>
    <t>Wells (t0000842)</t>
  </si>
  <si>
    <t>Humberto (t0000831)</t>
  </si>
  <si>
    <t>Thiele (t0001204)</t>
  </si>
  <si>
    <t>Coughlin (t0001223)</t>
  </si>
  <si>
    <t>Nguyen (t0000819)</t>
  </si>
  <si>
    <t>Bobbit (t0000832)</t>
  </si>
  <si>
    <t>Nguyen (t0000781)</t>
  </si>
  <si>
    <t>Pre-Authorized Payment</t>
  </si>
  <si>
    <t>Phan (t0000785)</t>
  </si>
  <si>
    <t>Rodriguez (t0000829)</t>
  </si>
  <si>
    <t>Nguyen (t0000775)</t>
  </si>
  <si>
    <t>Steele (t0000837)</t>
  </si>
  <si>
    <t>Le (t0000776)</t>
  </si>
  <si>
    <t>Recurring Debit Card Payment ;</t>
  </si>
  <si>
    <t>Luong (t0001211)</t>
  </si>
  <si>
    <t>Aguilar (t0001216)</t>
  </si>
  <si>
    <t>Reynaga (t0001214)</t>
  </si>
  <si>
    <t>Quintana (t0001233)</t>
  </si>
  <si>
    <t>Montano (t0001210)</t>
  </si>
  <si>
    <t>Mora (t0001213)</t>
  </si>
  <si>
    <t>Pham (t0000820)</t>
  </si>
  <si>
    <t>Egidi (t0001188)</t>
  </si>
  <si>
    <t>Pagillo (t0001219)</t>
  </si>
  <si>
    <t>Katzenstein (t0000833)</t>
  </si>
  <si>
    <t>Kizeridis (t0001174)</t>
  </si>
  <si>
    <t>Bolanos (t0000796)</t>
  </si>
  <si>
    <t>Cava (t0001186)</t>
  </si>
  <si>
    <t>Yes Energy Management, Inc. (v0002908)</t>
  </si>
  <si>
    <t>Dahlin (t0000779)</t>
  </si>
  <si>
    <t>Biffi Diko (t0001225)</t>
  </si>
  <si>
    <t>De Armas (t0000783)</t>
  </si>
  <si>
    <t>Nguyen (t0001199)</t>
  </si>
  <si>
    <t>Malmierca (t0000827)</t>
  </si>
  <si>
    <t>Castellon (t0000839)</t>
  </si>
  <si>
    <t>Parker (t0000830)</t>
  </si>
  <si>
    <t>Coradin (t0000816)</t>
  </si>
  <si>
    <t>Anguiano (t0001183)</t>
  </si>
  <si>
    <t>Ribeiro (t0001168)</t>
  </si>
  <si>
    <t>Cubias (t0001198)</t>
  </si>
  <si>
    <t>Falcon (t0001173)</t>
  </si>
  <si>
    <t>Fadraga (t0000823)</t>
  </si>
  <si>
    <t>Management Fees</t>
  </si>
  <si>
    <t>Swier Jr. (t0000849)</t>
  </si>
  <si>
    <t>Gonzalez (t0001201)</t>
  </si>
  <si>
    <t>Luong (t0001202)</t>
  </si>
  <si>
    <t>Le (t0000782)</t>
  </si>
  <si>
    <t>Popascu (t0000818)</t>
  </si>
  <si>
    <t>Nguyen (t0001212)</t>
  </si>
  <si>
    <t>Diage (t0000825)</t>
  </si>
  <si>
    <t>Carsto (t0000835)</t>
  </si>
  <si>
    <t>Nguyen (t0001171)</t>
  </si>
  <si>
    <t>Duran (t0000803)</t>
  </si>
  <si>
    <t>Debit Card On-Line Payment ; Mobile App - Resident Services</t>
  </si>
  <si>
    <t>Marie West (t0001197)</t>
  </si>
  <si>
    <t>Dozois (t0001207)</t>
  </si>
  <si>
    <t>Garcia (t0000847)</t>
  </si>
  <si>
    <t>:WIPS</t>
  </si>
  <si>
    <t>Cruz (t0001163)</t>
  </si>
  <si>
    <t>Correa (t0000815)</t>
  </si>
  <si>
    <t>Olaya (t0000798)</t>
  </si>
  <si>
    <t>Cantergiani (t0001222)</t>
  </si>
  <si>
    <t>Zapata (t0000838)</t>
  </si>
  <si>
    <t>Velez (t0000787)</t>
  </si>
  <si>
    <t>Folk (t0000789)</t>
  </si>
  <si>
    <t>Celis (t0000822)</t>
  </si>
  <si>
    <t>Smith (t0000778)</t>
  </si>
  <si>
    <t>Rubino (t0001164)</t>
  </si>
  <si>
    <t>Andres (t0001185)</t>
  </si>
  <si>
    <t>Tran (t0001226)</t>
  </si>
  <si>
    <t>Ethridge (t0001170)</t>
  </si>
  <si>
    <t>King (t0001187)</t>
  </si>
  <si>
    <t>Kern (t0001194)</t>
  </si>
  <si>
    <t>West (t0001224)</t>
  </si>
  <si>
    <t>Gallegos (t0001234)</t>
  </si>
  <si>
    <t>Perrine (t0001236)</t>
  </si>
  <si>
    <t>Tran (t0001190)</t>
  </si>
  <si>
    <t>Santana (t0000774)</t>
  </si>
  <si>
    <t>Argentino (t0000826)</t>
  </si>
  <si>
    <t>Pham (t0001191)</t>
  </si>
  <si>
    <t>Oval (t0000791)</t>
  </si>
  <si>
    <t>Navarro Navarro (t0000810)</t>
  </si>
  <si>
    <t>Skiles (t0000777)</t>
  </si>
  <si>
    <t>Barra (t0000808)</t>
  </si>
  <si>
    <t>Hoyt (t0000834)</t>
  </si>
  <si>
    <t>Rimler (t0000843)</t>
  </si>
  <si>
    <t>Polites (t0001193)</t>
  </si>
  <si>
    <t>Phan (t0001208)</t>
  </si>
  <si>
    <t>Darville (t0001189)</t>
  </si>
  <si>
    <t>Cannon (t0000784)</t>
  </si>
  <si>
    <t>Lopez (t0001196)</t>
  </si>
  <si>
    <t>Ocampo Rodriguez (t0000771)</t>
  </si>
  <si>
    <t>Corea (t0001176)</t>
  </si>
  <si>
    <t>Martinez (t0001227)</t>
  </si>
  <si>
    <t>Gray (t0000836)</t>
  </si>
  <si>
    <t>Clelmente (t0001166)</t>
  </si>
  <si>
    <t>Perez Alvarado (t0000804)</t>
  </si>
  <si>
    <t>Gomez (t0000841)</t>
  </si>
  <si>
    <t>Miller (t0000845)</t>
  </si>
  <si>
    <t>Fallica (t0000846)</t>
  </si>
  <si>
    <t>Bryan Angulo Alarcon (t0001229)</t>
  </si>
  <si>
    <t>Truong (t0001221)</t>
  </si>
  <si>
    <t>Duong (t0001195)</t>
  </si>
  <si>
    <t>Doan (t0001238)</t>
  </si>
  <si>
    <t>Hernandez Cruz (t0001177)</t>
  </si>
  <si>
    <t>Satey (t0000799)</t>
  </si>
  <si>
    <t>Montante (t0001192)</t>
  </si>
  <si>
    <t>Medina (t0001231)</t>
  </si>
  <si>
    <t>Clark (t0000811)</t>
  </si>
  <si>
    <t>Amieba (t0000773)</t>
  </si>
  <si>
    <t>Steriti (t0001181)</t>
  </si>
  <si>
    <t>LSE (v0000665)</t>
  </si>
  <si>
    <t>Gentner (t0001232)</t>
  </si>
  <si>
    <t>FPL*** (v0000453)</t>
  </si>
  <si>
    <t>Convenient Payments</t>
  </si>
  <si>
    <t>Casa Verde MHC LLC (v0000180)</t>
  </si>
  <si>
    <t>AMX-PB LAKESHORE MANAGEMENT INC. (v0001555)</t>
  </si>
  <si>
    <t>PH Davie mtg pymt</t>
  </si>
  <si>
    <t>Total:</t>
  </si>
  <si>
    <t>Un- Reconciled Deposits</t>
  </si>
  <si>
    <t>Bank</t>
  </si>
  <si>
    <t>Comment</t>
  </si>
  <si>
    <t>Palm Haven^East Pine Ridge</t>
  </si>
  <si>
    <t>GL</t>
  </si>
  <si>
    <t>Check Number</t>
  </si>
  <si>
    <t>Reconcile Date</t>
  </si>
  <si>
    <t>01/12/2021</t>
  </si>
  <si>
    <t>PAYLEASE.COM CREDIT XXXXX2531 Lakeshore Management, 1273639005 192512531 R00000091004331490901</t>
  </si>
  <si>
    <t>Richmar Slip PayLease 01/08/21</t>
  </si>
  <si>
    <t>02/08/2021</t>
  </si>
  <si>
    <t>PAYLEASE.COM CREDIT XXXXX3524 Lakeshore Management, 1273639005 195803524 R00000091004239368670</t>
  </si>
  <si>
    <t>$450 Richmar Slip PayLease 02/04/21 $782.47 BUSH PALM HAVEN Slip PayLease 02/04/21</t>
  </si>
  <si>
    <t>03/08/2021</t>
  </si>
  <si>
    <t>PAYLEASE.COM CREDIT XXXXX6020 Lakeshore Management, 1273639005 199476020 R00000091003953926522</t>
  </si>
  <si>
    <t>$540 Richmar Slip PayLease 03/04/21 $782.39 RADSFORD 54E EAST PINE RIDGE  Slip PayLease 03/04/21</t>
  </si>
  <si>
    <t>04/06/2021</t>
  </si>
  <si>
    <t>PAYLEASE.COM CREDIT XXXXX2381 Lakeshore Management, 1273639005 203192381 R00000091004035635173</t>
  </si>
  <si>
    <t xml:space="preserve">$450 Richmar Slip PayLease 04/04/21 $1,100 LOPEZ 34E EAST PINE RIDGE Slip PayLease 04/03/21  &amp; $780 RAMOS 31P (PALM HAVEN) Slip PayLease 04/03/21 </t>
  </si>
  <si>
    <t>J-108739</t>
  </si>
  <si>
    <t>PayLease : Cash Deposit 01/04/2021</t>
  </si>
  <si>
    <t>Included in $782.79 WFB RICHMAR 01/06/21 WFB - WT Requested 06/23/21</t>
  </si>
  <si>
    <t>J-108870</t>
  </si>
  <si>
    <t>PayLease : Cash Deposit 01/05/2021</t>
  </si>
  <si>
    <t>Included in $1882.47 WFB RICHMAR 01/07/21 WFB - WT Requested 06/23/21</t>
  </si>
  <si>
    <t>J-110828</t>
  </si>
  <si>
    <t>PayLease : Cash Deposit 02/04/2021</t>
  </si>
  <si>
    <t>Included in $1232.47 WFB 02/08/21</t>
  </si>
  <si>
    <t>J-112331</t>
  </si>
  <si>
    <t>PayLease : Cash Deposit 03/04/2021</t>
  </si>
  <si>
    <t>Included in $1322.39 WFB 03/08/21</t>
  </si>
  <si>
    <t>J-113501</t>
  </si>
  <si>
    <t>PayLease : Cash Deposit 04/02/2021</t>
  </si>
  <si>
    <t>Included in $2330 WFB 04/06/21</t>
  </si>
  <si>
    <t>J-113502</t>
  </si>
  <si>
    <t>PayLease : Cash Deposit 04/03/2021</t>
  </si>
  <si>
    <t>May '21</t>
  </si>
  <si>
    <t>Diaz (t0001172)</t>
  </si>
  <si>
    <t>Moreno (t0001175)</t>
  </si>
  <si>
    <t>Suarez (t0001452)</t>
  </si>
  <si>
    <t>DESKTOP CHECK DEPOSIT</t>
  </si>
  <si>
    <t>Dozois (t0001167)</t>
  </si>
  <si>
    <t>Demand notice</t>
  </si>
  <si>
    <t>Invty loan Int payment</t>
  </si>
  <si>
    <t>Alvarado (t0001460)</t>
  </si>
  <si>
    <t>Hartman (t0001206)</t>
  </si>
  <si>
    <t>Pham (t0001438)</t>
  </si>
  <si>
    <t>Automatically generated apply prepay receipt.</t>
  </si>
  <si>
    <t>Tropical Landscaping (v0004361)</t>
  </si>
  <si>
    <t>Hayes (t0000790)</t>
  </si>
  <si>
    <t>Tran (t0001448)</t>
  </si>
  <si>
    <t>Jimenez (t0001250)</t>
  </si>
  <si>
    <t>Moody (t0001355)</t>
  </si>
  <si>
    <t>Van (t0001500)</t>
  </si>
  <si>
    <t>Credit Card On-Line Payment ; Mobile App - Resident Services</t>
  </si>
  <si>
    <t>TOWN OF DAVIE UTILITY PAYMENTS (v0001096)</t>
  </si>
  <si>
    <t>Yep (t0001449)</t>
  </si>
  <si>
    <t>Osorio (t0001494)</t>
  </si>
  <si>
    <t>Dessalines (t0001441)</t>
  </si>
  <si>
    <t>Lakeshore Management Inc (v0000666)</t>
  </si>
  <si>
    <t>Briggs (t0000792)</t>
  </si>
  <si>
    <t>Hoang (t0001459)</t>
  </si>
  <si>
    <t>Jimenez Delgado (t0001527)</t>
  </si>
  <si>
    <t>Gayed (t0001516)</t>
  </si>
  <si>
    <t>none</t>
  </si>
  <si>
    <t>Lugo Garcia (t0001178)</t>
  </si>
  <si>
    <t>LAKESHORE MANAGEMENT (v0004320)</t>
  </si>
  <si>
    <t>Westberry (t0000794)</t>
  </si>
  <si>
    <t>K-509322</t>
  </si>
  <si>
    <t>1852</t>
  </si>
  <si>
    <t>Beck (t0001575)</t>
  </si>
  <si>
    <t>Sublime Pools &amp; Spa Service &amp; Repair, Inc. (v0005483)</t>
  </si>
  <si>
    <t>WC 11-2025 to 11-2026</t>
  </si>
  <si>
    <t>PROPERTY ID# 504128-01-0310 FOLIO# 471554 2025 RE TAX</t>
  </si>
  <si>
    <t>Refunding Q-67096</t>
  </si>
  <si>
    <t>Showing outstanding status in bank</t>
  </si>
  <si>
    <t>Fitzpatrick (t0000812)</t>
  </si>
  <si>
    <t>Sarver (t0001165)</t>
  </si>
  <si>
    <t>Bardash Jr. (t0001215)</t>
  </si>
  <si>
    <t>Mugica (t0001553)</t>
  </si>
  <si>
    <t>FLORIDA POWER AND LIGHT- (v0000445)</t>
  </si>
  <si>
    <t>:Prog Gen credit application</t>
  </si>
  <si>
    <t>K-520886</t>
  </si>
  <si>
    <t>1883</t>
  </si>
  <si>
    <t>Navas (t0001237)</t>
  </si>
  <si>
    <t>Lisowsky (t0000844)</t>
  </si>
  <si>
    <t>BROWARD COUNTY TAX COLLECTOR (v0000147)</t>
  </si>
  <si>
    <t>Estrada (t0001620)</t>
  </si>
  <si>
    <t>Debit Card On-Line Payment ; Roommate James Lisowsky (r0000608) ; Mobile Web - Resident Services</t>
  </si>
  <si>
    <t>Debit Card On-Line Payment ; Web - Online Leasing</t>
  </si>
  <si>
    <t>Not found in bank</t>
  </si>
  <si>
    <t>K-527700</t>
  </si>
  <si>
    <t>1245</t>
  </si>
  <si>
    <t>0154</t>
  </si>
  <si>
    <t>:credit</t>
  </si>
  <si>
    <t>COMCAST 71211 (v0000284)</t>
  </si>
  <si>
    <t>03/31/2026</t>
  </si>
  <si>
    <t>0155</t>
  </si>
  <si>
    <t>K-540633</t>
  </si>
  <si>
    <t>1922</t>
  </si>
  <si>
    <t>K-543355</t>
  </si>
  <si>
    <t>1925</t>
  </si>
  <si>
    <t>K-543422</t>
  </si>
  <si>
    <t>1926</t>
  </si>
  <si>
    <t>R-43170</t>
  </si>
  <si>
    <t>R-43289</t>
  </si>
  <si>
    <t>336082478</t>
  </si>
  <si>
    <t>K-544813</t>
  </si>
  <si>
    <t>1289</t>
  </si>
  <si>
    <t>K-544986</t>
  </si>
  <si>
    <t>1290</t>
  </si>
  <si>
    <t>R-43366</t>
  </si>
  <si>
    <t>0153</t>
  </si>
  <si>
    <t>R-43367</t>
  </si>
  <si>
    <t>J-359030</t>
  </si>
  <si>
    <t>03/2026 Mortgages 97-119</t>
  </si>
  <si>
    <t>J-359040</t>
  </si>
  <si>
    <t>J-359274</t>
  </si>
  <si>
    <t>Mar 2026 paybacks</t>
  </si>
  <si>
    <t>J-360670</t>
  </si>
  <si>
    <t>Park Mgmt Fees Mar 2026</t>
  </si>
  <si>
    <t>J-360671</t>
  </si>
  <si>
    <t>Beacon Protection Group LLC (v0011552)</t>
  </si>
  <si>
    <t>DronePhd LLC (v0011976)</t>
  </si>
  <si>
    <t>Accrue Casa Verde MAR 2026 swap PB :Reversed by J-359045</t>
  </si>
  <si>
    <t>Park Mgmt Fees Mar 2026 :Reversed by J-360817</t>
  </si>
  <si>
    <t>Park Mgmt Fees Mar 2026 :Reversed by J-360818</t>
  </si>
  <si>
    <t>Drone Footage</t>
  </si>
  <si>
    <t>Monthly Landscaping Maintenance for the month of the bill date.</t>
  </si>
  <si>
    <t>8495 75 262 1962118-03/16/2026</t>
  </si>
  <si>
    <t>WIPS Receipt Reference Number: 934042487935</t>
  </si>
  <si>
    <t>Nextiva VoIP Feb</t>
  </si>
  <si>
    <t>AMBS Call Center Feb</t>
  </si>
  <si>
    <t>Expo dry erase markers Cashier also rang up personal drinks Items were returned</t>
  </si>
  <si>
    <t>Return of drinks From accidentall scan</t>
  </si>
  <si>
    <t>Acrylic sign holder for window Acrylic brochure holder X 2</t>
  </si>
  <si>
    <t>Replace ring doorbell at palm have</t>
  </si>
  <si>
    <t>Welcome flag for community event</t>
  </si>
  <si>
    <t>Dawn dish soap for lift stations</t>
  </si>
  <si>
    <t>4 tires for the golf cart</t>
  </si>
  <si>
    <t>Items for the saftey corner</t>
  </si>
  <si>
    <t>Yellow street paint paint trays rollers to paint speed bumps</t>
  </si>
  <si>
    <t>Black trash bags white foam flat brushes painters tape roller sleves for repairs and maintenance</t>
  </si>
  <si>
    <t>4th quarter QBR 2025</t>
  </si>
  <si>
    <t>Accrue (113) Casa Verde MAR 2026 swap PB</t>
  </si>
  <si>
    <t>Accrue (114) Casa Verde MAR 2026 swap PB</t>
  </si>
  <si>
    <t>PB from Palm Haven SP for multiple BWalter Center Card charges</t>
  </si>
  <si>
    <t>J-364633</t>
  </si>
  <si>
    <t>J-364634</t>
  </si>
  <si>
    <t>MA March Cash Pk to Hm Pk :Reversed by J-364722</t>
  </si>
  <si>
    <t>MA March Cash Pk to Hm Pk :Reversed by J-364723</t>
  </si>
  <si>
    <t>MA March Cash Pk to Hm Pk</t>
  </si>
  <si>
    <t>04/30/2026</t>
  </si>
  <si>
    <t>04/29/2026</t>
  </si>
  <si>
    <t>1936</t>
  </si>
  <si>
    <t>04/28/2026</t>
  </si>
  <si>
    <t>1935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</si>
  <si>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</si>
  <si>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</si>
  <si>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</si>
  <si>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</si>
  <si>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</si>
  <si>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</si>
  <si>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</si>
  <si>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</si>
  <si>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</si>
  <si>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1933</t>
  </si>
  <si>
    <t>04/14/2026</t>
  </si>
  <si>
    <t>1931</t>
  </si>
  <si>
    <t>04/13/2026</t>
  </si>
  <si>
    <t>1932</t>
  </si>
  <si>
    <t>04/10/2026</t>
  </si>
  <si>
    <t>1927</t>
  </si>
  <si>
    <t>1929</t>
  </si>
  <si>
    <t>1930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</si>
  <si>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</si>
  <si>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</si>
  <si>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</si>
  <si>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</si>
  <si>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</si>
  <si>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</si>
  <si>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</si>
  <si>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LAKESHOREMANAGEM Settlement 043026 000026901169042 Yardi Process Master 1 9000326709 000026901169042 R00000091005866065877N</t>
  </si>
  <si>
    <t>YARDI CARD DEP PHDVOCTran 043026 XXXXX0545 PHDVOC-Lakeshore Manag 9000566345 130010545 R00000091005865983060N</t>
  </si>
  <si>
    <t>WT SEQ454421 LAKESHORE EMPLOYMENT, I /BNF=LAKESHORE EMPLOYMENT, INC. SRF# PPE042526 TRN#260429454421 RFB# 15781</t>
  </si>
  <si>
    <t>INTELLIPAY BILLING 260427 A24916927 Lakeshore - Palm Haven 27-3685152 A24916927 0R00000091004334495719N</t>
  </si>
  <si>
    <t>INTELLIPAY BILLING 260427 A24916928 Lakeshore - East Pine 27-3685152 A24916928 0R00000091004334499710N</t>
  </si>
  <si>
    <t>ACH ORIGINATION - Palm Haven - FILE EDIMN00004 COID LAK3642458 LAK3642458 FILE EDIMN00004 0S00000091004538058711N</t>
  </si>
  <si>
    <t>YARDI CARD DEP PHDVOCTran 042826 XXXXX1569 PHDVOC-Lakeshore Manag 9000566345 129841569 R00000091004433931625N</t>
  </si>
  <si>
    <t>LAKESHOREMANAGEM Settlement 042726 000026867140582 Yardi Process Master 1 9000326709 000026867140582 R00000091003639094699N</t>
  </si>
  <si>
    <t>LAKESHOREMANAGEM Settlement 042426 000026858421170 Yardi Process Master 1 9000326709 000026858421170 R00000091004356841544N</t>
  </si>
  <si>
    <t>YARDI CARD DEP PHDVOCTran 042426 XXXXX1799 PHDVOC-Lakeshore Manag 9000566345 129751799 R00000091004356836320N</t>
  </si>
  <si>
    <t>ACH ORIGINATION - Palm Haven - FILE EDIMN00004 COID LAK3642458 LAK3642458 FILE EDIMN00004 0S00000091004059042069N</t>
  </si>
  <si>
    <t>YARDI CARD DEP PHDVOCTran 042326 XXXXX1127 PHDVOC-Lakeshore Manag 9000566345 129701127 R00000091003957941071N</t>
  </si>
  <si>
    <t>ACH ORIGINATION - Palm Haven - FILE EDIMN00004 COID LAK3642458 LAK3642458 FILE EDIMN00004 0S00000091003652826986N</t>
  </si>
  <si>
    <t>PHDVOC BILL PAY 042126 4RZGQL 0000Lakeshore Manage 9000820926 4RZGQL 0R00000091006170108822N</t>
  </si>
  <si>
    <t>ACH ORIGINATION - Palm Haven - FILE EDIMN00004 COID LAK3642458 LAK3642458 FILE EDIMN00004 0S00000091006061347197N</t>
  </si>
  <si>
    <t>ACH ORIGINATION - Palm Haven - FILE EDIMN00004 COID LAK3642458 LAK3642458 FILE EDIMN00004 0S00000091005670339273N</t>
  </si>
  <si>
    <t>LAKESHOREMANAGEM Settlement 041726 000026812960386 Yardi Process Master 1 9000326709 000026812960386 R00000091005573287255N</t>
  </si>
  <si>
    <t>YARDI CARD DEP PHDVOCTran 041726 XXXXX3151 PHDVOC-Lakeshore Manag 9000566345 129453151 R00000091005573298655N</t>
  </si>
  <si>
    <t>LAKESHOREMANAGEM Settlement 041626 000026805350690 Yardi Process Master 1 9000326709 000026805350690 R00000091004438126136N</t>
  </si>
  <si>
    <t>YARDI CARD DEP PHDVOCTran 041626 XXXXX7419 PHDVOC-Lakeshore Manag 9000566345 129397419 R00000091004438096657N</t>
  </si>
  <si>
    <t>WT FED#03R00 THE NORTHERN TRUST /FTR/BNF=DH RIVIERA LLC SRF# GW00000083783611 TRN#260415071836 RFB# 15469</t>
  </si>
  <si>
    <t>WT SEQ453857 LAKESHORE EMPLOYMENT, I /BNF=LAKESHORE EMPLOYMENT, INC. SRF# PPE041126 TRN#260415453857 RFB# 15586</t>
  </si>
  <si>
    <t>ACH ORIGINATION - Palm Haven - FILE EDIMN00004 COID LAK3642458 LAK3642458 FILE EDIMN00004 0S00000091004037029558N</t>
  </si>
  <si>
    <t>LAKESHOREMANAGEM Settlement 041526 000026796669766 Yardi Process Master 1 9000326709 000026796669766 R00000091003933877674N</t>
  </si>
  <si>
    <t>LSM Field EDI PYMNTS XXXXX0276 Palm Haven LAK3642496 200550276 O00000091004036965903N</t>
  </si>
  <si>
    <t>LSM Field EDI PYMNTS XXXXX0201 EAST PINE RIDGE MHC LAK3642496 200550201 O00000091004036965781N</t>
  </si>
  <si>
    <t>ACH ORIGINATION - Palm Haven - FILE EDIMN00004 COID LAK3642458 LAK3642458 FILE EDIMN00004 0S00000091003634079357N</t>
  </si>
  <si>
    <t>WT SEQ452349 LS LEND B LLC /BNF=LS LEND B LLC SRF# WF LN Int 326 TRN#260413452349 RFB# 15361</t>
  </si>
  <si>
    <t>YARDI CARD DEP PHDVOCTran 041326 XXXXX2453 PHDVOC-Lakeshore Manag 9000566345 129142453 R00000091003658787418N</t>
  </si>
  <si>
    <t>ACH ORIGINATION - Palm Haven - FILE EDIMN00004 COID LAK3642458 LAK3642458 FILE EDIMN00004 0S00000091006366510488N</t>
  </si>
  <si>
    <t>YARDI CARD DEP PHDVOCTran 041026 XXXXX6172 PHDVOC-Lakeshore Manag 9000566345 129086172 R00000091006271472948N</t>
  </si>
  <si>
    <t>LAKESHOREMANAGEM Settlement 041026 000026762828110 Yardi Process Master 1 9000326709 000026762828110 R00000091006271656937N</t>
  </si>
  <si>
    <t>YARDI CARD DEP PHDVOCTran 041026 XXXXX6646 PHDVOC-Lakeshore Manag 9000566345 129086646 R00000091006271489954N</t>
  </si>
  <si>
    <t>ACH ORIGINATION - Palm Haven - FILE EDIMN00004 COID LAK3642458 LAK3642458 FILE EDIMN00004 0S00000091006163294929N</t>
  </si>
  <si>
    <t>YARDI CARD DEP PHDVOCTran 040926 XXXXX9768 PHDVOC-Lakeshore Manag 9000566345 128979768 R00000091006076603261N</t>
  </si>
  <si>
    <t>YARDI CARD DEP PHDVOCTran 040926 XXXXX0886 PHDVOC-Lakeshore Manag 9000566345 128980886 R00000091006076619571N</t>
  </si>
  <si>
    <t>YARDI CARD DEP PHDVOCTran 040826 XXXXX9806 PHDVOC-Lakeshore Manag 9000566345 128769806 R00000091005861290336N</t>
  </si>
  <si>
    <t>YARDI CARD DEP PHDVOCTran 040826 XXXXX9722 PHDVOC-Lakeshore Manag 9000566345 128769722 R00000091005861643029N</t>
  </si>
  <si>
    <t>YARDI CARD DEP PHDVOCTran 040826 XXXXX1558 PHDVOC-Lakeshore Manag 9000566345 128771558 R00000091005861255056N</t>
  </si>
  <si>
    <t>YARDI CARD DEP PHDVOCTran 040826 XXXXX9718 PHDVOC-Lakeshore Manag 9000566345 128769718 R00000091005861528799N</t>
  </si>
  <si>
    <t>LAKESHOREMANAGEM Settlement 040826 000026746878274 Yardi Process Master 1 9000326709 000026746878274 R00000091005861657066N</t>
  </si>
  <si>
    <t>ACH ORIGINATION - Palm Haven - FILE EDIMN00004 COID LAK3642458 LAK3642458 FILE EDIMN00004 0S00000091005671103164N</t>
  </si>
  <si>
    <t>ACH ORIGINATION - Palm Haven - FILE EDIMN00004 COID LAK3642458 LAK3642458 FILE EDIMN00004 0S00000091005470401340N</t>
  </si>
  <si>
    <t>YARDI CARD DEP PHDVOCTran 040726 XXXXX1221 PHDVOC-Lakeshore Manag 9000566345 128571221 R00000091005660467220N</t>
  </si>
  <si>
    <t>YARDI CARD DEP PHDVOCTran 040726 XXXXX0451 PHDVOC-Lakeshore Manag 9000566345 128570451 R00000091005660417787N</t>
  </si>
  <si>
    <t>LAKESHOREMANAGEM Settlement 040726 000026734942222 Yardi Process Master 1 9000326709 000026734942222 R00000091005660418818N</t>
  </si>
  <si>
    <t>LAKESHOREMANAGEM Settlement 040726 000026734959698 Yardi Process Master 1 9000326709 000026734959698 R00000091005660247573N</t>
  </si>
  <si>
    <t>WT SEQ#17306 WELLS FARGO CRE LENDING /BNF=CASA VERDE MHC LLC SRF# LIQD000000183233 TRN#260406017306 RFB# LIQD000000183233</t>
  </si>
  <si>
    <t>WT SEQ#17504 WELLS FARGO CRE LENDING /BNF=CASA VERDE MHC LLC SRF# LIQD000000183361 TRN#260406017504 RFB# LIQD000000183361</t>
  </si>
  <si>
    <t>WT SEQ#17080 WELLS FARGO CRE LENDING /BNF=CASA VERDE MHC LLC SRF# LIQD000000183157 TRN#260406017080 RFB# LIQD000000183157</t>
  </si>
  <si>
    <t>ACH ORIGINATION - Palm Haven - FILE EDIMN00004 COID LAK3642458 LAK3642458 FILE EDIMN00004 0S00000091005470400357N</t>
  </si>
  <si>
    <t>LAKESHOREMANAGEM Settlement 040626 000026722739626 Yardi Process Master 1 9000326709 000026722739626 R00000091004435097014N</t>
  </si>
  <si>
    <t>LAKESHOREMANAGEM Settlement 040626 000026710908238 Yardi Process Master 1 9000326709 000026710908238 R00000091004330404183N</t>
  </si>
  <si>
    <t>LAKESHOREMANAGEM Settlement 040626 000026710888894 Yardi Process Master 1 9000326709 000026710888894 R00000091004330490085N</t>
  </si>
  <si>
    <t>YARDI CARD DEP PHDVOCTran 040626 XXXXX4563 PHDVOC-Lakeshore Manag 9000566345 128414563 R00000091004330373458N</t>
  </si>
  <si>
    <t>ACH ORIGINATION - Palm Haven - FILE EDIMN00004 COID LAK3642458 LAK3642458 FILE EDIMN00004 0S00000091003934071666N</t>
  </si>
  <si>
    <t>LAKESHOREMANAGEM Settlement 040326 000026695028186 Yardi Process Master 1 9000326709 000026695028186 R00000091003837676477N</t>
  </si>
  <si>
    <t>LAKESHOREMANAGEM Settlement 040226 000026677570558 Yardi Process Master 1 9000326709 000026677570558 R00000091004358029383N</t>
  </si>
  <si>
    <t>LAKESHOREMANAGEM Settlement 040226 000026678299614 Yardi Process Master 1 9000326709 000026678299614 R00000091004358068716N</t>
  </si>
  <si>
    <t>ACH ORIGINATION - Palm Haven - FILE EDIMN00004 COID LAK3642458 LAK3642458 FILE EDIMN00004 0S00000091003852826809N</t>
  </si>
  <si>
    <t>WT SEQ453191 LAKESHORE EMPLOYMENT, I /BNF=LAKESHORE EMPLOYMENT, INC. SRF# PPE032826 TRN#260401453191 RFB# 15181</t>
  </si>
  <si>
    <t>WT SEQ451682 LAKESHORE MANAGEMENT, I /BNF=LAKESHORE MANAGEMENT, INC. SRF# AM Audit 2025 TRN#260401451682 RFB# 14650</t>
  </si>
  <si>
    <t>WT SEQ451820 LAKESHORE MANAGEMENT, I /BNF=LAKESHORE MANAGEMENT, INC. SRF# AM Audit 2025 TRN#260401451820 RFB# 14779</t>
  </si>
  <si>
    <t>LAKESHOREMANAGEM Settlement 040126 000026655235910 Yardi Process Master 1 9000326709 000026655235910 R00000091003657449941N</t>
  </si>
  <si>
    <t>Palm Haven SP EDI PYMNTS XXXXX5081 Palm Haven LAK3642489 200545081 O00000091003852777283N</t>
  </si>
  <si>
    <t>R-43418</t>
  </si>
  <si>
    <t>336313621</t>
  </si>
  <si>
    <t>K-545362</t>
  </si>
  <si>
    <t>K-545529</t>
  </si>
  <si>
    <t>1291</t>
  </si>
  <si>
    <t>K-545655</t>
  </si>
  <si>
    <t>1292</t>
  </si>
  <si>
    <t>K-545798</t>
  </si>
  <si>
    <t>1928</t>
  </si>
  <si>
    <t>R-42168</t>
  </si>
  <si>
    <t>R-42169</t>
  </si>
  <si>
    <t>R-42170</t>
  </si>
  <si>
    <t>R-42171</t>
  </si>
  <si>
    <t>R-42172</t>
  </si>
  <si>
    <t>R-42173</t>
  </si>
  <si>
    <t>R-42174</t>
  </si>
  <si>
    <t>R-42175</t>
  </si>
  <si>
    <t>R-42176</t>
  </si>
  <si>
    <t>R-42177</t>
  </si>
  <si>
    <t>R-42178</t>
  </si>
  <si>
    <t>R-42179</t>
  </si>
  <si>
    <t>R-42198</t>
  </si>
  <si>
    <t>R-42199</t>
  </si>
  <si>
    <t>R-42200</t>
  </si>
  <si>
    <t>R-42201</t>
  </si>
  <si>
    <t>R-42202</t>
  </si>
  <si>
    <t>R-42203</t>
  </si>
  <si>
    <t>R-42204</t>
  </si>
  <si>
    <t>R-42225</t>
  </si>
  <si>
    <t>R-42226</t>
  </si>
  <si>
    <t>R-42227</t>
  </si>
  <si>
    <t>R-42598</t>
  </si>
  <si>
    <t>R-43431</t>
  </si>
  <si>
    <t>R-43434</t>
  </si>
  <si>
    <t>336447162</t>
  </si>
  <si>
    <t>R-43453</t>
  </si>
  <si>
    <t>R-43515</t>
  </si>
  <si>
    <t>R-43540</t>
  </si>
  <si>
    <t>R-43549</t>
  </si>
  <si>
    <t>R-43550</t>
  </si>
  <si>
    <t>R-43568</t>
  </si>
  <si>
    <t>R-43758</t>
  </si>
  <si>
    <t>R-43759</t>
  </si>
  <si>
    <t>R-43829</t>
  </si>
  <si>
    <t>:ACH-422179</t>
  </si>
  <si>
    <t>R-43830</t>
  </si>
  <si>
    <t>:ACH-422180</t>
  </si>
  <si>
    <t>R-43831</t>
  </si>
  <si>
    <t>:ACH-422181</t>
  </si>
  <si>
    <t>R-43832</t>
  </si>
  <si>
    <t>:ACH-422182</t>
  </si>
  <si>
    <t>R-43833</t>
  </si>
  <si>
    <t>:ACH-422183</t>
  </si>
  <si>
    <t>R-43834</t>
  </si>
  <si>
    <t>:ACH-422184</t>
  </si>
  <si>
    <t>R-43835</t>
  </si>
  <si>
    <t>:ACH-422185</t>
  </si>
  <si>
    <t>R-43836</t>
  </si>
  <si>
    <t>:ACH-422186</t>
  </si>
  <si>
    <t>R-43837</t>
  </si>
  <si>
    <t>336478561</t>
  </si>
  <si>
    <t>R-43838</t>
  </si>
  <si>
    <t>336478629</t>
  </si>
  <si>
    <t>R-43839</t>
  </si>
  <si>
    <t>:ACH-422187</t>
  </si>
  <si>
    <t>R-43840</t>
  </si>
  <si>
    <t>:ACH-422188</t>
  </si>
  <si>
    <t>R-43841</t>
  </si>
  <si>
    <t>:ACH-422189</t>
  </si>
  <si>
    <t>R-43842</t>
  </si>
  <si>
    <t>:ACH-422190</t>
  </si>
  <si>
    <t>R-43843</t>
  </si>
  <si>
    <t>336478722</t>
  </si>
  <si>
    <t>R-44033</t>
  </si>
  <si>
    <t>R-44063</t>
  </si>
  <si>
    <t>336588580</t>
  </si>
  <si>
    <t>R-44080</t>
  </si>
  <si>
    <t>336627701</t>
  </si>
  <si>
    <t>R-44087</t>
  </si>
  <si>
    <t>R-44091</t>
  </si>
  <si>
    <t>336637567</t>
  </si>
  <si>
    <t>R-44101</t>
  </si>
  <si>
    <t>R-44118</t>
  </si>
  <si>
    <t>R-44123</t>
  </si>
  <si>
    <t>336677495</t>
  </si>
  <si>
    <t>R-44138</t>
  </si>
  <si>
    <t>R-44141</t>
  </si>
  <si>
    <t>336703266</t>
  </si>
  <si>
    <t>R-44154</t>
  </si>
  <si>
    <t>336722007</t>
  </si>
  <si>
    <t>R-44157</t>
  </si>
  <si>
    <t>R-44182</t>
  </si>
  <si>
    <t>R-44222</t>
  </si>
  <si>
    <t>R-44233</t>
  </si>
  <si>
    <t>R-44265</t>
  </si>
  <si>
    <t>336885517</t>
  </si>
  <si>
    <t>R-44270</t>
  </si>
  <si>
    <t>R-44275</t>
  </si>
  <si>
    <t>R-44284</t>
  </si>
  <si>
    <t>336942096</t>
  </si>
  <si>
    <t>R-44326</t>
  </si>
  <si>
    <t>337020461</t>
  </si>
  <si>
    <t>R-44327</t>
  </si>
  <si>
    <t>R-44363</t>
  </si>
  <si>
    <t>337121208</t>
  </si>
  <si>
    <t>R-44366</t>
  </si>
  <si>
    <t>337124085</t>
  </si>
  <si>
    <t>R-44380</t>
  </si>
  <si>
    <t>R-44401</t>
  </si>
  <si>
    <t>R-44403</t>
  </si>
  <si>
    <t>R-44408</t>
  </si>
  <si>
    <t>337191983</t>
  </si>
  <si>
    <t>J-359045</t>
  </si>
  <si>
    <t>:Reversal of J-359040</t>
  </si>
  <si>
    <t>J-360817</t>
  </si>
  <si>
    <t>:Reversal of J-360670</t>
  </si>
  <si>
    <t>J-360818</t>
  </si>
  <si>
    <t>:Reversal of J-360671</t>
  </si>
  <si>
    <t>J-364412</t>
  </si>
  <si>
    <t>Sweep Interest Payment - April'26</t>
  </si>
  <si>
    <t>J-364722</t>
  </si>
  <si>
    <t>:Reversal of J-364633</t>
  </si>
  <si>
    <t>J-364723</t>
  </si>
  <si>
    <t>:Reversal of J-364634</t>
  </si>
  <si>
    <t>K-546056</t>
  </si>
  <si>
    <t>K-546200</t>
  </si>
  <si>
    <t>1293</t>
  </si>
  <si>
    <t>K-546394</t>
  </si>
  <si>
    <t>K-546559</t>
  </si>
  <si>
    <t>1294</t>
  </si>
  <si>
    <t>R-44453</t>
  </si>
  <si>
    <t>:ACH-422919</t>
  </si>
  <si>
    <t>R-44454</t>
  </si>
  <si>
    <t>:ACH-422920</t>
  </si>
  <si>
    <t>R-44455</t>
  </si>
  <si>
    <t>337320534</t>
  </si>
  <si>
    <t>R-44477</t>
  </si>
  <si>
    <t>337320877</t>
  </si>
  <si>
    <t>R-44478</t>
  </si>
  <si>
    <t>337320889</t>
  </si>
  <si>
    <t>R-44479</t>
  </si>
  <si>
    <t>337320903</t>
  </si>
  <si>
    <t>R-44501</t>
  </si>
  <si>
    <t>R-44519</t>
  </si>
  <si>
    <t>R-44528</t>
  </si>
  <si>
    <t>R-44541</t>
  </si>
  <si>
    <t>R-44598</t>
  </si>
  <si>
    <t>R-44636</t>
  </si>
  <si>
    <t>337582262</t>
  </si>
  <si>
    <t>R-44637</t>
  </si>
  <si>
    <t>0156</t>
  </si>
  <si>
    <t>R-44640</t>
  </si>
  <si>
    <t>40198257385574</t>
  </si>
  <si>
    <t>R-44641</t>
  </si>
  <si>
    <t>40198257385565</t>
  </si>
  <si>
    <t>R-44642</t>
  </si>
  <si>
    <t>40198257385583</t>
  </si>
  <si>
    <t>R-44643</t>
  </si>
  <si>
    <t>02562</t>
  </si>
  <si>
    <t>R-44645</t>
  </si>
  <si>
    <t>337594203</t>
  </si>
  <si>
    <t>R-44661</t>
  </si>
  <si>
    <t>R-44667</t>
  </si>
  <si>
    <t>337616323</t>
  </si>
  <si>
    <t>R-44683</t>
  </si>
  <si>
    <t>337626620</t>
  </si>
  <si>
    <t>R-44689</t>
  </si>
  <si>
    <t>337641556</t>
  </si>
  <si>
    <t>R-44696</t>
  </si>
  <si>
    <t>R-44720</t>
  </si>
  <si>
    <t>337664334</t>
  </si>
  <si>
    <t>R-44740</t>
  </si>
  <si>
    <t>337700180</t>
  </si>
  <si>
    <t>J-359373</t>
  </si>
  <si>
    <t>Record 04.02.26 Deposit Casa Verde SWAP PB- 075</t>
  </si>
  <si>
    <t>K-546725</t>
  </si>
  <si>
    <t>1295</t>
  </si>
  <si>
    <t>K-546855</t>
  </si>
  <si>
    <t>1296</t>
  </si>
  <si>
    <t>R-44771</t>
  </si>
  <si>
    <t>:ACH-423373</t>
  </si>
  <si>
    <t>R-44796</t>
  </si>
  <si>
    <t>337759111</t>
  </si>
  <si>
    <t>R-44800</t>
  </si>
  <si>
    <t>337759230</t>
  </si>
  <si>
    <t>R-44801</t>
  </si>
  <si>
    <t>337759275</t>
  </si>
  <si>
    <t>R-44802</t>
  </si>
  <si>
    <t>337759288</t>
  </si>
  <si>
    <t>R-44834</t>
  </si>
  <si>
    <t>R-44842</t>
  </si>
  <si>
    <t>337821613</t>
  </si>
  <si>
    <t>R-44856</t>
  </si>
  <si>
    <t>R-44862</t>
  </si>
  <si>
    <t>337845778</t>
  </si>
  <si>
    <t>R-44864</t>
  </si>
  <si>
    <t>337847425</t>
  </si>
  <si>
    <t>R-44870</t>
  </si>
  <si>
    <t>337854820</t>
  </si>
  <si>
    <t>R-44912</t>
  </si>
  <si>
    <t>337879424</t>
  </si>
  <si>
    <t>R-45006</t>
  </si>
  <si>
    <t>337921951</t>
  </si>
  <si>
    <t>R-45041</t>
  </si>
  <si>
    <t>R-45072</t>
  </si>
  <si>
    <t>5306253680</t>
  </si>
  <si>
    <t>R-45091</t>
  </si>
  <si>
    <t>337995588</t>
  </si>
  <si>
    <t>R-45101</t>
  </si>
  <si>
    <t>338012853</t>
  </si>
  <si>
    <t>R-45122</t>
  </si>
  <si>
    <t>R-45126</t>
  </si>
  <si>
    <t>338048032</t>
  </si>
  <si>
    <t>R-45128</t>
  </si>
  <si>
    <t>R-45144</t>
  </si>
  <si>
    <t>R-45213</t>
  </si>
  <si>
    <t>R-45214</t>
  </si>
  <si>
    <t>R-45223</t>
  </si>
  <si>
    <t>:ACH-423688</t>
  </si>
  <si>
    <t>R-45225</t>
  </si>
  <si>
    <t>:ACH-423690</t>
  </si>
  <si>
    <t>R-45263</t>
  </si>
  <si>
    <t>R-45275</t>
  </si>
  <si>
    <t>R-45380</t>
  </si>
  <si>
    <t>338328908</t>
  </si>
  <si>
    <t>R-45476</t>
  </si>
  <si>
    <t>:ACH-423824</t>
  </si>
  <si>
    <t>R-45477</t>
  </si>
  <si>
    <t>:ACH-423825</t>
  </si>
  <si>
    <t>R-45478</t>
  </si>
  <si>
    <t>:ACH-423826</t>
  </si>
  <si>
    <t>R-45510</t>
  </si>
  <si>
    <t>:ACH-423856</t>
  </si>
  <si>
    <t>R-45511</t>
  </si>
  <si>
    <t>:ACH-423857</t>
  </si>
  <si>
    <t>R-45512</t>
  </si>
  <si>
    <t>:ACH-423858</t>
  </si>
  <si>
    <t>R-45513</t>
  </si>
  <si>
    <t>:ACH-423859</t>
  </si>
  <si>
    <t>R-45514</t>
  </si>
  <si>
    <t>:ACH-423860</t>
  </si>
  <si>
    <t>R-45515</t>
  </si>
  <si>
    <t>:ACH-423861</t>
  </si>
  <si>
    <t>R-45516</t>
  </si>
  <si>
    <t>:ACH-423862</t>
  </si>
  <si>
    <t>R-45517</t>
  </si>
  <si>
    <t>:ACH-423863</t>
  </si>
  <si>
    <t>R-45518</t>
  </si>
  <si>
    <t>:ACH-423864</t>
  </si>
  <si>
    <t>R-45519</t>
  </si>
  <si>
    <t>:ACH-423865</t>
  </si>
  <si>
    <t>R-45520</t>
  </si>
  <si>
    <t>:ACH-423866</t>
  </si>
  <si>
    <t>R-45521</t>
  </si>
  <si>
    <t>338366489</t>
  </si>
  <si>
    <t>R-45842</t>
  </si>
  <si>
    <t>338372685</t>
  </si>
  <si>
    <t>R-45851</t>
  </si>
  <si>
    <t>R-45868</t>
  </si>
  <si>
    <t>338402236</t>
  </si>
  <si>
    <t>R-45871</t>
  </si>
  <si>
    <t>R-45880</t>
  </si>
  <si>
    <t>R-45900</t>
  </si>
  <si>
    <t>338433159</t>
  </si>
  <si>
    <t>R-45901</t>
  </si>
  <si>
    <t>338433492</t>
  </si>
  <si>
    <t>R-45950</t>
  </si>
  <si>
    <t>R-45964</t>
  </si>
  <si>
    <t>R-45966</t>
  </si>
  <si>
    <t>00907</t>
  </si>
  <si>
    <t>R-45967</t>
  </si>
  <si>
    <t>0132</t>
  </si>
  <si>
    <t>R-45968</t>
  </si>
  <si>
    <t>338477963</t>
  </si>
  <si>
    <t>R-45970</t>
  </si>
  <si>
    <t>0239</t>
  </si>
  <si>
    <t>R-45971</t>
  </si>
  <si>
    <t>40198257386465</t>
  </si>
  <si>
    <t>R-45972</t>
  </si>
  <si>
    <t>40198257386456</t>
  </si>
  <si>
    <t>R-45973</t>
  </si>
  <si>
    <t>40198257386447</t>
  </si>
  <si>
    <t>R-45974</t>
  </si>
  <si>
    <t>40198257386483</t>
  </si>
  <si>
    <t>R-45975</t>
  </si>
  <si>
    <t>40198257386492</t>
  </si>
  <si>
    <t>R-45976</t>
  </si>
  <si>
    <t>40198257386474</t>
  </si>
  <si>
    <t>R-45977</t>
  </si>
  <si>
    <t>40198134203573</t>
  </si>
  <si>
    <t>R-45978</t>
  </si>
  <si>
    <t>40198134203582</t>
  </si>
  <si>
    <t>R-45979</t>
  </si>
  <si>
    <t>40198134203591</t>
  </si>
  <si>
    <t>R-45988</t>
  </si>
  <si>
    <t>338485152</t>
  </si>
  <si>
    <t>R-45998</t>
  </si>
  <si>
    <t>338492080</t>
  </si>
  <si>
    <t>K-547250</t>
  </si>
  <si>
    <t>1297</t>
  </si>
  <si>
    <t>K-547483</t>
  </si>
  <si>
    <t>1298</t>
  </si>
  <si>
    <t>K-547499</t>
  </si>
  <si>
    <t>1299</t>
  </si>
  <si>
    <t>K-547591</t>
  </si>
  <si>
    <t>R-46020</t>
  </si>
  <si>
    <t>338516374</t>
  </si>
  <si>
    <t>R-46023</t>
  </si>
  <si>
    <t>338517855</t>
  </si>
  <si>
    <t>R-46043</t>
  </si>
  <si>
    <t>338530152</t>
  </si>
  <si>
    <t>R-46044</t>
  </si>
  <si>
    <t>R-46088</t>
  </si>
  <si>
    <t>338544885</t>
  </si>
  <si>
    <t>R-46509</t>
  </si>
  <si>
    <t>338710034</t>
  </si>
  <si>
    <t>K-547856</t>
  </si>
  <si>
    <t>K-547951</t>
  </si>
  <si>
    <t>1300</t>
  </si>
  <si>
    <t>K-548291</t>
  </si>
  <si>
    <t>1301</t>
  </si>
  <si>
    <t>K-548442</t>
  </si>
  <si>
    <t>1302</t>
  </si>
  <si>
    <t>R-46746</t>
  </si>
  <si>
    <t>R-46747</t>
  </si>
  <si>
    <t>K-548744</t>
  </si>
  <si>
    <t>1303</t>
  </si>
  <si>
    <t>K-548888</t>
  </si>
  <si>
    <t>1304</t>
  </si>
  <si>
    <t>K-548889</t>
  </si>
  <si>
    <t>1305</t>
  </si>
  <si>
    <t>K-548907</t>
  </si>
  <si>
    <t>R-46985</t>
  </si>
  <si>
    <t>339090673</t>
  </si>
  <si>
    <t>K-549208</t>
  </si>
  <si>
    <t>K-549219</t>
  </si>
  <si>
    <t>K-549599</t>
  </si>
  <si>
    <t>1306</t>
  </si>
  <si>
    <t>K-549787</t>
  </si>
  <si>
    <t>1307</t>
  </si>
  <si>
    <t>R-47187</t>
  </si>
  <si>
    <t>R-47190</t>
  </si>
  <si>
    <t>40198209570356</t>
  </si>
  <si>
    <t>R-47191</t>
  </si>
  <si>
    <t>40198209570365</t>
  </si>
  <si>
    <t>R-47192</t>
  </si>
  <si>
    <t>40198134203411</t>
  </si>
  <si>
    <t>R-47193</t>
  </si>
  <si>
    <t>40198134203420</t>
  </si>
  <si>
    <t>R-47194</t>
  </si>
  <si>
    <t>40198134203438</t>
  </si>
  <si>
    <t>R-47195</t>
  </si>
  <si>
    <t>339294427</t>
  </si>
  <si>
    <t>J-364949</t>
  </si>
  <si>
    <t>K-550109</t>
  </si>
  <si>
    <t>1308</t>
  </si>
  <si>
    <t>J-364975</t>
  </si>
  <si>
    <t>PB from LSM refund B&amp;B</t>
  </si>
  <si>
    <t>K-550468</t>
  </si>
  <si>
    <t>1934</t>
  </si>
  <si>
    <t>R-47335</t>
  </si>
  <si>
    <t>J-365088</t>
  </si>
  <si>
    <t>Q1 2026 Distributions</t>
  </si>
  <si>
    <t>K-550955</t>
  </si>
  <si>
    <t>1309</t>
  </si>
  <si>
    <t>K-551109</t>
  </si>
  <si>
    <t>1310</t>
  </si>
  <si>
    <t>R-47407</t>
  </si>
  <si>
    <t>0118</t>
  </si>
  <si>
    <t>R-47408</t>
  </si>
  <si>
    <t>001014</t>
  </si>
  <si>
    <t>K-551457</t>
  </si>
  <si>
    <t>1311</t>
  </si>
  <si>
    <t>R-47461</t>
  </si>
  <si>
    <t>339646751</t>
  </si>
  <si>
    <t>R-47462</t>
  </si>
  <si>
    <t>339648137</t>
  </si>
  <si>
    <t>K-551851</t>
  </si>
  <si>
    <t>1312</t>
  </si>
  <si>
    <t>K-551852</t>
  </si>
  <si>
    <t>1313</t>
  </si>
  <si>
    <t>K-551853</t>
  </si>
  <si>
    <t>1314</t>
  </si>
  <si>
    <t>K-551854</t>
  </si>
  <si>
    <t>1315</t>
  </si>
  <si>
    <t>K-551893</t>
  </si>
  <si>
    <t>R-47503</t>
  </si>
  <si>
    <t>339779393</t>
  </si>
  <si>
    <t>K-552088</t>
  </si>
  <si>
    <t>1316</t>
  </si>
  <si>
    <t>K-552147</t>
  </si>
  <si>
    <t>K-552366</t>
  </si>
  <si>
    <t>1937</t>
  </si>
  <si>
    <t>K-552595</t>
  </si>
  <si>
    <t>1317</t>
  </si>
  <si>
    <t>R-47632</t>
  </si>
  <si>
    <t>339936049</t>
  </si>
  <si>
    <t>R-47649</t>
  </si>
  <si>
    <t>R-47650</t>
  </si>
  <si>
    <t>R-47651</t>
  </si>
  <si>
    <t>R-47655</t>
  </si>
  <si>
    <t>R-47675</t>
  </si>
  <si>
    <t>40221195744167</t>
  </si>
  <si>
    <t>R-47676</t>
  </si>
  <si>
    <t>40221195744176</t>
  </si>
  <si>
    <t>R-47731</t>
  </si>
  <si>
    <t>R-48712</t>
  </si>
  <si>
    <t>340302702</t>
  </si>
  <si>
    <t>K-553389</t>
  </si>
  <si>
    <t>1318</t>
  </si>
  <si>
    <t>K-553513</t>
  </si>
  <si>
    <t>1319</t>
  </si>
  <si>
    <t>K-553560</t>
  </si>
  <si>
    <t>1938</t>
  </si>
  <si>
    <t>K-553678</t>
  </si>
  <si>
    <t>1939</t>
  </si>
  <si>
    <t>K-553837</t>
  </si>
  <si>
    <t>1940</t>
  </si>
  <si>
    <t>R-48813</t>
  </si>
  <si>
    <t>9646514769</t>
  </si>
  <si>
    <t>K-554009</t>
  </si>
  <si>
    <t>1941</t>
  </si>
  <si>
    <t>K-554061</t>
  </si>
  <si>
    <t>1942</t>
  </si>
  <si>
    <t>R-48823</t>
  </si>
  <si>
    <t>R-48824</t>
  </si>
  <si>
    <t>R-48825</t>
  </si>
  <si>
    <t>R-48826</t>
  </si>
  <si>
    <t>R-48827</t>
  </si>
  <si>
    <t>R-48842</t>
  </si>
  <si>
    <t>340580652</t>
  </si>
  <si>
    <t>R-48886</t>
  </si>
  <si>
    <t>340715137</t>
  </si>
  <si>
    <t>K-554363</t>
  </si>
  <si>
    <t>1320</t>
  </si>
  <si>
    <t>K-554440</t>
  </si>
  <si>
    <t>1943</t>
  </si>
  <si>
    <t>K-554576</t>
  </si>
  <si>
    <t>1321</t>
  </si>
  <si>
    <t>K-554577</t>
  </si>
  <si>
    <t>1322</t>
  </si>
  <si>
    <t>K-554578</t>
  </si>
  <si>
    <t>1323</t>
  </si>
  <si>
    <t>K-554579</t>
  </si>
  <si>
    <t>1324</t>
  </si>
  <si>
    <t>K-554725</t>
  </si>
  <si>
    <t>1944</t>
  </si>
  <si>
    <t>K-554871</t>
  </si>
  <si>
    <t>1325</t>
  </si>
  <si>
    <t>R-48969</t>
  </si>
  <si>
    <t>40198275129380</t>
  </si>
  <si>
    <t>R-48970</t>
  </si>
  <si>
    <t>40198275129398</t>
  </si>
  <si>
    <t>R-48971</t>
  </si>
  <si>
    <t>40198275129407</t>
  </si>
  <si>
    <t>R-48977</t>
  </si>
  <si>
    <t>R-48985</t>
  </si>
  <si>
    <t>340877288</t>
  </si>
  <si>
    <t>J-365370</t>
  </si>
  <si>
    <t>J-365386</t>
  </si>
  <si>
    <t>04/2026 Mortgages 97-119</t>
  </si>
  <si>
    <t>J-365440</t>
  </si>
  <si>
    <t>J-365451</t>
  </si>
  <si>
    <t>Apr 2026 paybacks</t>
  </si>
  <si>
    <t>J-367863</t>
  </si>
  <si>
    <t>Park Mgmt Fees Apr 2026</t>
  </si>
  <si>
    <t>J-367864</t>
  </si>
  <si>
    <t>Pleffner (t0000828)</t>
  </si>
  <si>
    <t>GOING GOING GONE HELLO JUNK REMOV (v0001321)</t>
  </si>
  <si>
    <t>Tran (t0004189)</t>
  </si>
  <si>
    <t>03-26 SWAP/PB Casa Verde -Deposit</t>
  </si>
  <si>
    <t>LAMEY (t0001373)</t>
  </si>
  <si>
    <t>Coronil (t0002558)</t>
  </si>
  <si>
    <t>Active Security and Lock Inc (v0012265)</t>
  </si>
  <si>
    <t>LSC Mobile Sales - Tranche B (v0007541)</t>
  </si>
  <si>
    <t>EAST PINE RIDGE MHC (v0000376)</t>
  </si>
  <si>
    <t>Palm Haven (v0001994)</t>
  </si>
  <si>
    <t>Caro (t0001440)</t>
  </si>
  <si>
    <t>T/F from PARKS to LS Lend B to LSM to pay WF inventory loan interest-03/31/26</t>
  </si>
  <si>
    <t>LAKESHORE MANAGEMENT - WFB (v0000616)</t>
  </si>
  <si>
    <t>Cazares (t0004241)</t>
  </si>
  <si>
    <t>Nguyen (t0004242)</t>
  </si>
  <si>
    <t>South Florida Utilities, Inc. (v0001354)</t>
  </si>
  <si>
    <t>Staples Bus (v0001011)</t>
  </si>
  <si>
    <t>Raider Rooter  (v0001425)</t>
  </si>
  <si>
    <t>Ramirez (t0004266)</t>
  </si>
  <si>
    <t>Accrue Casa Verde APR 2026 swap PB :Reversed by J-365376</t>
  </si>
  <si>
    <t>Convenient Payments Apr'26</t>
  </si>
  <si>
    <t>:Reversed by J-368010</t>
  </si>
  <si>
    <t>:Reversed by J-368011</t>
  </si>
  <si>
    <t>FULL LOAD JUNK REMOVAL.</t>
  </si>
  <si>
    <t>WC 11-2024 Audit</t>
  </si>
  <si>
    <t>DEPT 15130 ppe 03/28/26</t>
  </si>
  <si>
    <t>DEPT 35200 ppe 03/28/26</t>
  </si>
  <si>
    <t>POOL PHONE(S) - SKYLINE 04/01/2026 - 04/30/2026</t>
  </si>
  <si>
    <t>MOBILE MEDICAL DEVICES 2026</t>
  </si>
  <si>
    <t>Utility Invoice Processing (UEM) 02/01/2026 - 02/28/2026 Inv# 1394704</t>
  </si>
  <si>
    <t>Record 04.02.26 Deposit Casa Verde  SWAP PB-113</t>
  </si>
  <si>
    <t>Record 04.02.26 Deposit Casa Verde  SWAP PB-114</t>
  </si>
  <si>
    <t>Monitoring Intercom 03/2026</t>
  </si>
  <si>
    <t>PB FOR RESULT TECH INV # 2507</t>
  </si>
  <si>
    <t>Recurring Debit Card Payment ; Roommate Tham Nguyen (r0000558) ;</t>
  </si>
  <si>
    <t>Pre-Authorized Payment.  Roommate Malli Gordon (r0000234)</t>
  </si>
  <si>
    <t>WIPS Receipt Reference Number: 912213825262</t>
  </si>
  <si>
    <t>T-Mobile Invoices Through 3.31.26</t>
  </si>
  <si>
    <t>PB YARDI INVOICE # 5208130 MAY 2026</t>
  </si>
  <si>
    <t>Resident Screening - MH Manager</t>
  </si>
  <si>
    <t>APRIL 2026 COMMERCIAL POOL SERVICE AND LATE FEE</t>
  </si>
  <si>
    <t>Access Control - Estimate for electric release lock installation only. LOCATION OF SERVICES : LAUNDRY- X2 65U electric striker With storeroom lever sets* Doors are existing. If there are alignment</t>
  </si>
  <si>
    <t>Access Control - Estimate for electric release lock installation only. LOCATION OF SERVICES : POOL / CLUBHOUSE / LAUNDRY- x2 GL1 with FMK-SW for pool lock- X1 Retraction kits (TBD) clubhouse push</t>
  </si>
  <si>
    <t>FEB 2026 PARK TO HOME TRANSFER</t>
  </si>
  <si>
    <t>PR Alloc PB Q1 2026</t>
  </si>
  <si>
    <t>PB YARDI INVOICE #5219680 MARCH 2026</t>
  </si>
  <si>
    <t>PB FOR PAINT THE WEB INV # 1423</t>
  </si>
  <si>
    <t>PB PARKS FOR REFUND OF BROWN &amp; BROWN 2025 PREMIUM</t>
  </si>
  <si>
    <t>ACCT#8495 75 500 0001135 4/5-5/4</t>
  </si>
  <si>
    <t>MARCH 2026 PARK TO HOME TRANSFER</t>
  </si>
  <si>
    <t>PB FOR APRIL 26?ADT</t>
  </si>
  <si>
    <t>PB FOR LEADCROSSING INV-000607 FINAL</t>
  </si>
  <si>
    <t>PB from LSM for refund of Brown &amp; Brown 2025 premium</t>
  </si>
  <si>
    <t>DEPT 35200 ppe 04/11/26</t>
  </si>
  <si>
    <t>DEPT 15130 ppe 04/11/26</t>
  </si>
  <si>
    <t>06-60-1945846</t>
  </si>
  <si>
    <t>QUARTERLY BANK CHARGES JAN FEB MAR  2026</t>
  </si>
  <si>
    <t>PB YARDI INVOICE # 5234519 MARCH 2026</t>
  </si>
  <si>
    <t>Credit Card On-Line Payment ; Web - Online Leasing</t>
  </si>
  <si>
    <t>Debit Card On-Line Payment ; Mobile Web - Online Leasing</t>
  </si>
  <si>
    <t>02/12/2026-03/12/2026-Electric-14461-21137-Electric 2-4800 S PINE ISLAND RD # SL</t>
  </si>
  <si>
    <t>03/19/2026-04/16/2026-Electric-75476-11512-ACD7885-4800 S Pine Island Rd # PMP</t>
  </si>
  <si>
    <t>03/19/2026-04/16/2026-Electric-79566-33163-Electric 1-4800 S PINE ISLAND RD # OL</t>
  </si>
  <si>
    <t>03/13/2026-04/10/2026-Electric-14461-21137-Electric 2-4800 S PINE ISLAND RD # SL</t>
  </si>
  <si>
    <t>02/24/2026-03/30/2026-Sewer-49986-002-25159806-4800 S Pine Island RD REC</t>
  </si>
  <si>
    <t>02/24/2026-03/30/2026-Water-49986-002-25159806-4800 S Pine Island RD REC</t>
  </si>
  <si>
    <t>Debit Card On-Line Payment ; Roommate Xuan Le (r0002877) ; Mobile Web - Online Leasing</t>
  </si>
  <si>
    <t>PB -067 Apr 2026 MTG Tax Escrow</t>
  </si>
  <si>
    <t>02/24/2026-03/30/2026-Sewer-51222-002-25136827-4791 SW 82 AVE 4/Office</t>
  </si>
  <si>
    <t>02/24/2026-03/30/2026-Water-51222-002-25136827-4791 SW 82 AVE 4/Office</t>
  </si>
  <si>
    <t>Monthly Lift Station Maintenance</t>
  </si>
  <si>
    <t>PB FOR STATE LISTING INV # 20202903</t>
  </si>
  <si>
    <t>:Prog Gen Move-Out transfer</t>
  </si>
  <si>
    <t>Enterprises Batch#81764 04/26</t>
  </si>
  <si>
    <t>Amex PB MSFT ATP P1-637 W2165242 Feb 2026</t>
  </si>
  <si>
    <t>Amex PB Business Essentials-254 W2165242 Feb 2026</t>
  </si>
  <si>
    <t>mh village ads 02.07.26</t>
  </si>
  <si>
    <t>ACCT#8495 75 500 0001135 03/05/26-04/04/26</t>
  </si>
  <si>
    <t>ACCT#8495 75 262 1962118 4/20-5/19</t>
  </si>
  <si>
    <t>ORDER# 7914646333-000-001 BY CHRISTINA COFFIN</t>
  </si>
  <si>
    <t>APRIL 2026 MONTHLY LANDSCAPING MAINTENANCE SERVICE</t>
  </si>
  <si>
    <t>DEPT 35200 ppe 04/25/26</t>
  </si>
  <si>
    <t>DEPT 15130 ppe 04/25/26</t>
  </si>
  <si>
    <t>BACKFLOW TEST - CERTIFICATION</t>
  </si>
  <si>
    <t>mh village ads 03.07.26</t>
  </si>
  <si>
    <t>Amex MSFT ATP P1-640 W2171775 Mar 2026</t>
  </si>
  <si>
    <t>Business Essentials-255 W2171775 Mar 2026</t>
  </si>
  <si>
    <t>POOL / CLUBHOUSE / LAUNDRY - GATE LOCK, FLEX-MOUNT BRACKET KIT AND ZINC PLATED</t>
  </si>
  <si>
    <t>03/19/2026-04/16/2026-Electric-20632-67310-ACD7393-4759 SW 82ND AVE</t>
  </si>
  <si>
    <t>03/19/2026-04/16/2026-Electric-34381-77317-ACD4199-4791 SW 82ND AVE LOT 4 OFF&amp;LAWN</t>
  </si>
  <si>
    <t>03/19/2026-04/16/2026-Electric-48180-57319-ACD9130-4791 SW 82ND AVE</t>
  </si>
  <si>
    <t>03/19/2026-04/16/2026-Electric-54555-21517-KCJ3648-4800 S Pine Island Rd # Rec</t>
  </si>
  <si>
    <t>Utility Invoice Processing (UEM) 03/01/2026 - 03/31/2026 Inv# 1413826</t>
  </si>
  <si>
    <t>Nextiva VoIP Mar</t>
  </si>
  <si>
    <t>AMBS Call Center Mar</t>
  </si>
  <si>
    <t>lunch for employee appreciation month</t>
  </si>
  <si>
    <t>Credit for food</t>
  </si>
  <si>
    <t>Water gatorade snacks for resident event</t>
  </si>
  <si>
    <t>50 Home Depot gift cards one for palm have one for east pine ridge for the yard of the month</t>
  </si>
  <si>
    <t>Spring decorations for community room</t>
  </si>
  <si>
    <t>4x4 wood posts concrete plywood</t>
  </si>
  <si>
    <t>Paint for the community</t>
  </si>
  <si>
    <t>Privacy screen for fence</t>
  </si>
  <si>
    <t>Rope for saftey corner</t>
  </si>
  <si>
    <t>Property visit Safety and Maintenance</t>
  </si>
  <si>
    <t>Degreaser for Lift station</t>
  </si>
  <si>
    <t>HR Training</t>
  </si>
  <si>
    <t>Life ring for the pool</t>
  </si>
  <si>
    <t>Online Payment - EFT Payment Paid by Roommate Pablo Castiblanco(r0000242).Mobile App - Resident Services</t>
  </si>
  <si>
    <t>Accrue (113) Casa Verde APR 2026 swap PB</t>
  </si>
  <si>
    <t>Accrue (114) Casa Verde APR 2026 swap PB</t>
  </si>
  <si>
    <t>PB from Palm Haven SP for 2026 June DE LLCLPGP Renewals</t>
  </si>
  <si>
    <t>Detail Date Range: 04/01/26 - 04/30/26  (accrual basis)</t>
  </si>
  <si>
    <t>Apr '26</t>
  </si>
  <si>
    <t>Will be cleared on 05/01/2026 with bank transaction</t>
  </si>
  <si>
    <t>Will be reversed on 05/01/2026 with J-365376</t>
  </si>
  <si>
    <t>Will be reversed on 05/01/2026</t>
  </si>
  <si>
    <t>Will be cleared on 05/04/2026 with bank transaction</t>
  </si>
  <si>
    <t>Will be reversed on 05/01/2026 with J-368010</t>
  </si>
  <si>
    <t>Will be reversed on 05/01/2026 with J-368011</t>
  </si>
  <si>
    <t>J-369099</t>
  </si>
  <si>
    <t>J-369100</t>
  </si>
  <si>
    <t>MA April Cash Pk to Hm Park :Reversed by J-369187</t>
  </si>
  <si>
    <t>MA April Cash Pk to Hm Park :Reversed by J-369188</t>
  </si>
  <si>
    <t>MA April Cash Pk to Hm Park</t>
  </si>
  <si>
    <t>Will be cleared on 05/05/2026 with bank transaction</t>
  </si>
  <si>
    <t>Will be cleared on 05/06/2026 with bank transaction</t>
  </si>
  <si>
    <t>Will be cleared on 05/08/2026 with bank transaction</t>
  </si>
  <si>
    <t>Will be cleared on 05/11/2026 with bank transaction</t>
  </si>
  <si>
    <t>Will be reversed on 05/01/2026 with J-369187</t>
  </si>
  <si>
    <t>Will be reversed on 05/01/2026 with J-369188</t>
  </si>
  <si>
    <t>Will be voided on 05/05/2026 with K-556605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</si>
</sst>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/dd/yy"/>
    <numFmt numFmtId="166" formatCode="&quot;$&quot;#,##0.00"/>
    <numFmt numFmtId="167" formatCode="mm/dd/yyyy"/>
  </numFmts>
  <fonts count="1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2" fillId="0" borderId="0"/>
    <xf numFmtId="0" fontId="13" fillId="0" borderId="0"/>
    <xf numFmtId="0" fontId="2" fillId="0" borderId="0"/>
    <xf numFmtId="9" fontId="14" fillId="0" borderId="0" applyFont="0" applyFill="0" applyBorder="0" applyAlignment="0" applyProtection="0"/>
  </cellStyleXfs>
  <cellXfs count="240">
    <xf numFmtId="0" fontId="0" fillId="0" borderId="0" xfId="0" applyAlignment="1">
      <alignment horizontal="left" vertical="top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2" fillId="0" borderId="0" xfId="2" applyAlignment="1">
      <alignment horizontal="center"/>
    </xf>
    <xf numFmtId="40" fontId="2" fillId="0" borderId="0" xfId="6" applyNumberFormat="1" applyFont="1" applyFill="1" applyBorder="1" applyAlignment="1">
      <alignment horizontal="center"/>
    </xf>
    <xf numFmtId="0" fontId="8" fillId="3" borderId="2" xfId="2" applyFont="1" applyFill="1" applyBorder="1" applyAlignment="1">
      <alignment horizontal="center"/>
    </xf>
    <xf numFmtId="0" fontId="2" fillId="0" borderId="3" xfId="2" applyBorder="1" applyAlignment="1">
      <alignment horizontal="center"/>
    </xf>
    <xf numFmtId="0" fontId="3" fillId="0" borderId="0" xfId="4" applyFont="1" applyAlignment="1">
      <alignment horizontal="center"/>
    </xf>
    <xf numFmtId="8" fontId="3" fillId="0" borderId="0" xfId="4" applyNumberFormat="1" applyFont="1" applyAlignment="1">
      <alignment horizontal="center"/>
    </xf>
    <xf numFmtId="39" fontId="2" fillId="0" borderId="0" xfId="2" applyNumberFormat="1" applyAlignment="1">
      <alignment horizontal="center"/>
    </xf>
    <xf numFmtId="40" fontId="2" fillId="0" borderId="0" xfId="2" applyNumberFormat="1" applyAlignment="1">
      <alignment horizontal="center"/>
    </xf>
    <xf numFmtId="0" fontId="2" fillId="0" borderId="0" xfId="4" applyFont="1" applyAlignment="1">
      <alignment horizontal="center"/>
    </xf>
    <xf numFmtId="164" fontId="8" fillId="3" borderId="2" xfId="2" applyNumberFormat="1" applyFont="1" applyFill="1" applyBorder="1" applyAlignment="1">
      <alignment horizontal="center"/>
    </xf>
    <xf numFmtId="164" fontId="2" fillId="0" borderId="3" xfId="2" applyNumberFormat="1" applyBorder="1" applyAlignment="1">
      <alignment horizontal="center"/>
    </xf>
    <xf numFmtId="164" fontId="3" fillId="0" borderId="0" xfId="4" applyNumberFormat="1" applyFont="1" applyAlignment="1">
      <alignment horizontal="center"/>
    </xf>
    <xf numFmtId="164" fontId="2" fillId="0" borderId="0" xfId="4" applyNumberFormat="1" applyFont="1" applyAlignment="1">
      <alignment horizontal="center"/>
    </xf>
    <xf numFmtId="164" fontId="2" fillId="0" borderId="0" xfId="2" applyNumberFormat="1" applyAlignment="1">
      <alignment horizontal="center"/>
    </xf>
    <xf numFmtId="40" fontId="8" fillId="3" borderId="2" xfId="2" applyNumberFormat="1" applyFont="1" applyFill="1" applyBorder="1" applyAlignment="1">
      <alignment horizontal="right"/>
    </xf>
    <xf numFmtId="40" fontId="2" fillId="0" borderId="3" xfId="2" applyNumberFormat="1" applyBorder="1" applyAlignment="1">
      <alignment horizontal="right"/>
    </xf>
    <xf numFmtId="0" fontId="3" fillId="0" borderId="0" xfId="4" applyFont="1" applyAlignment="1">
      <alignment horizontal="right"/>
    </xf>
    <xf numFmtId="40" fontId="2" fillId="0" borderId="0" xfId="6" applyNumberFormat="1" applyFont="1" applyFill="1" applyBorder="1" applyAlignment="1" applyProtection="1">
      <alignment horizontal="right"/>
    </xf>
    <xf numFmtId="40" fontId="2" fillId="0" borderId="0" xfId="6" applyNumberFormat="1" applyFont="1" applyFill="1" applyBorder="1" applyAlignment="1">
      <alignment horizontal="right"/>
    </xf>
    <xf numFmtId="164" fontId="2" fillId="0" borderId="0" xfId="2" applyNumberFormat="1" applyAlignment="1">
      <alignment horizontal="right"/>
    </xf>
    <xf numFmtId="8" fontId="2" fillId="0" borderId="0" xfId="6" applyNumberFormat="1" applyFont="1" applyFill="1" applyBorder="1" applyAlignment="1">
      <alignment horizontal="right"/>
    </xf>
    <xf numFmtId="39" fontId="3" fillId="0" borderId="0" xfId="6" applyNumberFormat="1" applyFont="1" applyFill="1" applyBorder="1" applyAlignment="1" applyProtection="1">
      <alignment horizontal="right"/>
    </xf>
    <xf numFmtId="40" fontId="2" fillId="0" borderId="0" xfId="2" applyNumberFormat="1" applyAlignment="1">
      <alignment horizontal="right"/>
    </xf>
    <xf numFmtId="40" fontId="2" fillId="0" borderId="0" xfId="8" applyNumberFormat="1" applyFont="1" applyFill="1" applyBorder="1" applyAlignment="1" applyProtection="1">
      <alignment horizontal="right"/>
    </xf>
    <xf numFmtId="8" fontId="2" fillId="0" borderId="0" xfId="2" applyNumberFormat="1" applyAlignment="1">
      <alignment horizontal="right"/>
    </xf>
    <xf numFmtId="39" fontId="3" fillId="0" borderId="0" xfId="4" applyNumberFormat="1" applyFont="1" applyAlignment="1">
      <alignment horizontal="right"/>
    </xf>
    <xf numFmtId="164" fontId="2" fillId="0" borderId="0" xfId="6" applyNumberFormat="1" applyFont="1" applyFill="1" applyBorder="1" applyAlignment="1">
      <alignment horizontal="center"/>
    </xf>
    <xf numFmtId="0" fontId="9" fillId="0" borderId="0" xfId="3" applyFont="1" applyAlignment="1">
      <alignment horizontal="center" vertical="top"/>
    </xf>
    <xf numFmtId="164" fontId="9" fillId="0" borderId="0" xfId="3" applyNumberFormat="1" applyFont="1" applyAlignment="1">
      <alignment horizontal="center" vertical="top"/>
    </xf>
    <xf numFmtId="0" fontId="9" fillId="0" borderId="0" xfId="3" applyFont="1" applyAlignment="1">
      <alignment horizontal="right" vertical="top"/>
    </xf>
    <xf numFmtId="0" fontId="3" fillId="0" borderId="0" xfId="9" applyFont="1"/>
    <xf numFmtId="0" fontId="2" fillId="0" borderId="0" xfId="9" applyFont="1"/>
    <xf numFmtId="164" fontId="2" fillId="0" borderId="0" xfId="0" applyNumberFormat="1" applyFont="1" applyAlignment="1">
      <alignment horizontal="right" vertical="top"/>
    </xf>
    <xf numFmtId="40" fontId="9" fillId="0" borderId="0" xfId="0" applyNumberFormat="1" applyFont="1" applyAlignment="1">
      <alignment vertical="top"/>
    </xf>
    <xf numFmtId="40" fontId="3" fillId="0" borderId="0" xfId="2" applyNumberFormat="1" applyFont="1" applyAlignment="1">
      <alignment horizontal="center"/>
    </xf>
    <xf numFmtId="8" fontId="6" fillId="0" borderId="0" xfId="0" applyNumberFormat="1" applyFont="1"/>
    <xf numFmtId="8" fontId="6" fillId="0" borderId="1" xfId="0" applyNumberFormat="1" applyFont="1" applyBorder="1"/>
    <xf numFmtId="8" fontId="3" fillId="0" borderId="0" xfId="4" applyNumberFormat="1" applyFont="1" applyAlignment="1">
      <alignment horizontal="right"/>
    </xf>
    <xf numFmtId="0" fontId="9" fillId="0" borderId="0" xfId="0" applyFont="1"/>
    <xf numFmtId="14" fontId="9" fillId="0" borderId="0" xfId="0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40" fontId="9" fillId="0" borderId="0" xfId="0" applyNumberFormat="1" applyFont="1" applyAlignment="1">
      <alignment horizontal="center" vertical="top"/>
    </xf>
    <xf numFmtId="14" fontId="9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8" fontId="2" fillId="0" borderId="0" xfId="0" applyNumberFormat="1" applyFont="1" applyAlignment="1">
      <alignment horizontal="right" vertical="top"/>
    </xf>
    <xf numFmtId="164" fontId="2" fillId="0" borderId="0" xfId="9" applyNumberFormat="1" applyFont="1"/>
    <xf numFmtId="1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14" fontId="9" fillId="0" borderId="0" xfId="0" applyNumberFormat="1" applyFont="1"/>
    <xf numFmtId="0" fontId="9" fillId="0" borderId="0" xfId="0" applyFont="1" applyAlignment="1">
      <alignment horizontal="right"/>
    </xf>
    <xf numFmtId="8" fontId="9" fillId="0" borderId="0" xfId="0" applyNumberFormat="1" applyFont="1" applyAlignment="1">
      <alignment horizontal="right"/>
    </xf>
    <xf numFmtId="8" fontId="6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vertical="top"/>
    </xf>
    <xf numFmtId="40" fontId="2" fillId="0" borderId="0" xfId="6" applyNumberFormat="1" applyFont="1" applyFill="1" applyBorder="1" applyAlignment="1">
      <alignment horizontal="left"/>
    </xf>
    <xf numFmtId="43" fontId="9" fillId="0" borderId="0" xfId="1" applyFont="1" applyFill="1" applyBorder="1" applyAlignment="1">
      <alignment horizontal="left" vertical="top"/>
    </xf>
    <xf numFmtId="40" fontId="3" fillId="0" borderId="0" xfId="6" applyNumberFormat="1" applyFont="1" applyFill="1" applyBorder="1" applyAlignment="1">
      <alignment horizontal="right"/>
    </xf>
    <xf numFmtId="0" fontId="2" fillId="0" borderId="0" xfId="0" applyFont="1" applyAlignment="1">
      <alignment horizontal="right" vertical="top"/>
    </xf>
    <xf numFmtId="0" fontId="6" fillId="4" borderId="0" xfId="0" applyFont="1" applyFill="1" applyAlignment="1">
      <alignment vertical="top"/>
    </xf>
    <xf numFmtId="14" fontId="3" fillId="4" borderId="0" xfId="9" applyNumberFormat="1" applyFont="1" applyFill="1"/>
    <xf numFmtId="0" fontId="3" fillId="4" borderId="0" xfId="9" applyFont="1" applyFill="1"/>
    <xf numFmtId="8" fontId="3" fillId="4" borderId="0" xfId="9" applyNumberFormat="1" applyFont="1" applyFill="1"/>
    <xf numFmtId="8" fontId="3" fillId="0" borderId="5" xfId="0" applyNumberFormat="1" applyFont="1" applyBorder="1" applyAlignment="1">
      <alignment horizontal="right" vertical="top"/>
    </xf>
    <xf numFmtId="14" fontId="6" fillId="4" borderId="0" xfId="0" applyNumberFormat="1" applyFont="1" applyFill="1" applyAlignment="1">
      <alignment vertical="top"/>
    </xf>
    <xf numFmtId="40" fontId="3" fillId="4" borderId="0" xfId="9" applyNumberFormat="1" applyFont="1" applyFill="1" applyAlignment="1">
      <alignment horizontal="center"/>
    </xf>
    <xf numFmtId="8" fontId="9" fillId="0" borderId="0" xfId="3" applyNumberFormat="1" applyFont="1" applyAlignment="1">
      <alignment horizontal="left" vertical="top"/>
    </xf>
    <xf numFmtId="8" fontId="8" fillId="3" borderId="2" xfId="2" applyNumberFormat="1" applyFont="1" applyFill="1" applyBorder="1" applyAlignment="1">
      <alignment horizontal="right"/>
    </xf>
    <xf numFmtId="8" fontId="9" fillId="0" borderId="0" xfId="3" applyNumberFormat="1" applyFont="1" applyAlignment="1">
      <alignment horizontal="right" vertical="top"/>
    </xf>
    <xf numFmtId="8" fontId="3" fillId="0" borderId="0" xfId="0" applyNumberFormat="1" applyFont="1" applyAlignment="1">
      <alignment vertical="top"/>
    </xf>
    <xf numFmtId="164" fontId="2" fillId="0" borderId="0" xfId="9" applyNumberFormat="1" applyFont="1" applyAlignment="1">
      <alignment horizontal="right"/>
    </xf>
    <xf numFmtId="8" fontId="9" fillId="0" borderId="0" xfId="0" applyNumberFormat="1" applyFont="1" applyAlignment="1">
      <alignment horizontal="right" vertical="top"/>
    </xf>
    <xf numFmtId="8" fontId="2" fillId="0" borderId="0" xfId="9" applyNumberFormat="1" applyFont="1"/>
    <xf numFmtId="8" fontId="9" fillId="0" borderId="1" xfId="0" applyNumberFormat="1" applyFont="1" applyBorder="1" applyAlignment="1">
      <alignment horizontal="right" vertical="top"/>
    </xf>
    <xf numFmtId="8" fontId="2" fillId="0" borderId="0" xfId="6" applyNumberFormat="1" applyFont="1" applyFill="1" applyBorder="1" applyAlignment="1"/>
    <xf numFmtId="8" fontId="9" fillId="0" borderId="0" xfId="3" applyNumberFormat="1" applyFont="1" applyAlignment="1">
      <alignment vertical="top"/>
    </xf>
    <xf numFmtId="8" fontId="3" fillId="0" borderId="0" xfId="4" applyNumberFormat="1" applyFont="1"/>
    <xf numFmtId="8" fontId="9" fillId="0" borderId="0" xfId="0" applyNumberFormat="1" applyFont="1"/>
    <xf numFmtId="8" fontId="2" fillId="0" borderId="0" xfId="2" applyNumberFormat="1"/>
    <xf numFmtId="8" fontId="8" fillId="3" borderId="2" xfId="2" applyNumberFormat="1" applyFont="1" applyFill="1" applyBorder="1"/>
    <xf numFmtId="8" fontId="2" fillId="0" borderId="3" xfId="2" applyNumberFormat="1" applyBorder="1"/>
    <xf numFmtId="8" fontId="2" fillId="0" borderId="0" xfId="8" applyNumberFormat="1" applyFont="1" applyFill="1" applyBorder="1" applyAlignment="1" applyProtection="1"/>
    <xf numFmtId="8" fontId="2" fillId="0" borderId="4" xfId="8" applyNumberFormat="1" applyFont="1" applyFill="1" applyBorder="1" applyAlignment="1" applyProtection="1"/>
    <xf numFmtId="8" fontId="12" fillId="0" borderId="4" xfId="2" applyNumberFormat="1" applyFont="1" applyBorder="1"/>
    <xf numFmtId="8" fontId="2" fillId="0" borderId="0" xfId="6" applyNumberFormat="1" applyFont="1" applyFill="1" applyBorder="1" applyAlignment="1" applyProtection="1"/>
    <xf numFmtId="167" fontId="2" fillId="0" borderId="0" xfId="0" applyNumberFormat="1" applyFont="1" applyAlignment="1">
      <alignment vertical="top"/>
    </xf>
    <xf numFmtId="8" fontId="6" fillId="0" borderId="0" xfId="0" applyNumberFormat="1" applyFont="1" applyAlignment="1">
      <alignment horizontal="right" vertical="top"/>
    </xf>
    <xf numFmtId="8" fontId="6" fillId="0" borderId="5" xfId="0" applyNumberFormat="1" applyFont="1" applyBorder="1" applyAlignment="1">
      <alignment horizontal="right" vertical="top"/>
    </xf>
    <xf numFmtId="8" fontId="3" fillId="4" borderId="0" xfId="9" applyNumberFormat="1" applyFont="1" applyFill="1" applyAlignment="1">
      <alignment horizontal="left"/>
    </xf>
    <xf numFmtId="49" fontId="7" fillId="5" borderId="0" xfId="9" applyNumberFormat="1" applyFont="1" applyFill="1"/>
    <xf numFmtId="0" fontId="7" fillId="5" borderId="0" xfId="9" applyFont="1" applyFill="1"/>
    <xf numFmtId="164" fontId="7" fillId="5" borderId="0" xfId="9" applyNumberFormat="1" applyFont="1" applyFill="1"/>
    <xf numFmtId="0" fontId="7" fillId="5" borderId="0" xfId="0" applyFont="1" applyFill="1" applyAlignment="1">
      <alignment vertical="top"/>
    </xf>
    <xf numFmtId="14" fontId="6" fillId="0" borderId="0" xfId="0" applyNumberFormat="1" applyFont="1" applyAlignment="1">
      <alignment horizontal="left" vertical="top"/>
    </xf>
    <xf numFmtId="0" fontId="7" fillId="5" borderId="0" xfId="12" applyFont="1" applyFill="1"/>
    <xf numFmtId="49" fontId="7" fillId="5" borderId="0" xfId="9" applyNumberFormat="1" applyFont="1" applyFill="1" applyAlignment="1">
      <alignment horizontal="center"/>
    </xf>
    <xf numFmtId="164" fontId="7" fillId="5" borderId="0" xfId="9" applyNumberFormat="1" applyFont="1" applyFill="1" applyAlignment="1">
      <alignment horizontal="left"/>
    </xf>
    <xf numFmtId="49" fontId="3" fillId="0" borderId="0" xfId="0" applyNumberFormat="1" applyFont="1" applyAlignment="1">
      <alignment vertical="top"/>
    </xf>
    <xf numFmtId="8" fontId="3" fillId="0" borderId="0" xfId="0" applyNumberFormat="1" applyFont="1" applyAlignment="1">
      <alignment horizontal="right" vertical="top"/>
    </xf>
    <xf numFmtId="164" fontId="3" fillId="0" borderId="0" xfId="2" applyNumberFormat="1" applyFont="1" applyAlignment="1">
      <alignment horizontal="center"/>
    </xf>
    <xf numFmtId="9" fontId="6" fillId="0" borderId="0" xfId="13" applyFont="1" applyFill="1" applyBorder="1" applyAlignment="1">
      <alignment horizontal="left" vertical="top"/>
    </xf>
    <xf numFmtId="8" fontId="7" fillId="5" borderId="0" xfId="9" applyNumberFormat="1" applyFont="1" applyFill="1" applyAlignment="1">
      <alignment horizontal="center"/>
    </xf>
    <xf numFmtId="8" fontId="3" fillId="0" borderId="0" xfId="9" applyNumberFormat="1" applyFont="1" applyAlignment="1">
      <alignment vertical="top"/>
    </xf>
    <xf numFmtId="165" fontId="7" fillId="3" borderId="6" xfId="2" applyNumberFormat="1" applyFont="1" applyFill="1" applyBorder="1" applyAlignment="1">
      <alignment horizontal="left"/>
    </xf>
    <xf numFmtId="8" fontId="8" fillId="3" borderId="7" xfId="2" applyNumberFormat="1" applyFont="1" applyFill="1" applyBorder="1" applyAlignment="1">
      <alignment horizontal="right"/>
    </xf>
    <xf numFmtId="165" fontId="3" fillId="0" borderId="8" xfId="2" applyNumberFormat="1" applyFont="1" applyBorder="1" applyAlignment="1">
      <alignment horizontal="left"/>
    </xf>
    <xf numFmtId="8" fontId="2" fillId="0" borderId="9" xfId="2" applyNumberFormat="1" applyBorder="1"/>
    <xf numFmtId="0" fontId="2" fillId="0" borderId="10" xfId="2" applyBorder="1" applyAlignment="1">
      <alignment horizontal="left"/>
    </xf>
    <xf numFmtId="8" fontId="6" fillId="0" borderId="11" xfId="0" applyNumberFormat="1" applyFont="1" applyBorder="1" applyAlignment="1">
      <alignment vertical="top"/>
    </xf>
    <xf numFmtId="8" fontId="2" fillId="0" borderId="11" xfId="5" applyNumberFormat="1" applyFont="1" applyFill="1" applyBorder="1" applyAlignment="1" applyProtection="1"/>
    <xf numFmtId="0" fontId="5" fillId="0" borderId="10" xfId="4" applyFont="1" applyBorder="1" applyAlignment="1">
      <alignment horizontal="left"/>
    </xf>
    <xf numFmtId="0" fontId="9" fillId="0" borderId="10" xfId="0" applyFont="1" applyBorder="1" applyAlignment="1">
      <alignment horizontal="right"/>
    </xf>
    <xf numFmtId="8" fontId="2" fillId="0" borderId="11" xfId="6" applyNumberFormat="1" applyFont="1" applyFill="1" applyBorder="1" applyAlignment="1" applyProtection="1"/>
    <xf numFmtId="166" fontId="5" fillId="0" borderId="10" xfId="4" applyNumberFormat="1" applyFont="1" applyBorder="1" applyAlignment="1">
      <alignment horizontal="left"/>
    </xf>
    <xf numFmtId="8" fontId="2" fillId="0" borderId="11" xfId="6" applyNumberFormat="1" applyFont="1" applyFill="1" applyBorder="1" applyAlignment="1"/>
    <xf numFmtId="166" fontId="2" fillId="0" borderId="10" xfId="4" applyNumberFormat="1" applyFont="1" applyBorder="1" applyAlignment="1">
      <alignment horizontal="right"/>
    </xf>
    <xf numFmtId="0" fontId="2" fillId="0" borderId="10" xfId="4" applyFont="1" applyBorder="1" applyAlignment="1">
      <alignment horizontal="left"/>
    </xf>
    <xf numFmtId="8" fontId="2" fillId="0" borderId="12" xfId="6" applyNumberFormat="1" applyFont="1" applyFill="1" applyBorder="1" applyAlignment="1"/>
    <xf numFmtId="8" fontId="2" fillId="0" borderId="13" xfId="6" applyNumberFormat="1" applyFont="1" applyFill="1" applyBorder="1" applyAlignment="1"/>
    <xf numFmtId="8" fontId="2" fillId="0" borderId="11" xfId="2" applyNumberFormat="1" applyBorder="1"/>
    <xf numFmtId="0" fontId="7" fillId="3" borderId="6" xfId="2" applyFont="1" applyFill="1" applyBorder="1" applyAlignment="1">
      <alignment horizontal="left"/>
    </xf>
    <xf numFmtId="8" fontId="8" fillId="3" borderId="7" xfId="2" applyNumberFormat="1" applyFont="1" applyFill="1" applyBorder="1"/>
    <xf numFmtId="0" fontId="3" fillId="0" borderId="8" xfId="2" applyFont="1" applyBorder="1" applyAlignment="1">
      <alignment horizontal="left"/>
    </xf>
    <xf numFmtId="8" fontId="3" fillId="0" borderId="11" xfId="2" applyNumberFormat="1" applyFont="1" applyBorder="1"/>
    <xf numFmtId="0" fontId="5" fillId="0" borderId="10" xfId="4" quotePrefix="1" applyFont="1" applyBorder="1" applyAlignment="1">
      <alignment horizontal="left"/>
    </xf>
    <xf numFmtId="166" fontId="5" fillId="0" borderId="10" xfId="4" quotePrefix="1" applyNumberFormat="1" applyFont="1" applyBorder="1" applyAlignment="1">
      <alignment horizontal="left"/>
    </xf>
    <xf numFmtId="0" fontId="3" fillId="0" borderId="10" xfId="2" applyFont="1" applyBorder="1" applyAlignment="1">
      <alignment horizontal="right"/>
    </xf>
    <xf numFmtId="8" fontId="3" fillId="2" borderId="13" xfId="6" applyNumberFormat="1" applyFont="1" applyFill="1" applyBorder="1" applyAlignment="1"/>
    <xf numFmtId="0" fontId="2" fillId="0" borderId="14" xfId="2" applyBorder="1" applyAlignment="1">
      <alignment horizontal="left"/>
    </xf>
    <xf numFmtId="39" fontId="2" fillId="0" borderId="15" xfId="2" applyNumberFormat="1" applyBorder="1" applyAlignment="1">
      <alignment horizontal="center"/>
    </xf>
    <xf numFmtId="164" fontId="2" fillId="0" borderId="15" xfId="2" applyNumberFormat="1" applyBorder="1" applyAlignment="1">
      <alignment horizontal="center"/>
    </xf>
    <xf numFmtId="39" fontId="2" fillId="0" borderId="15" xfId="2" applyNumberFormat="1" applyBorder="1" applyAlignment="1">
      <alignment horizontal="right"/>
    </xf>
    <xf numFmtId="8" fontId="2" fillId="0" borderId="15" xfId="2" applyNumberFormat="1" applyBorder="1"/>
    <xf numFmtId="8" fontId="2" fillId="0" borderId="16" xfId="2" applyNumberFormat="1" applyBorder="1"/>
    <xf numFmtId="8" fontId="2" fillId="0" borderId="5" xfId="6" applyNumberFormat="1" applyFont="1" applyFill="1" applyBorder="1" applyAlignment="1"/>
    <xf numFmtId="0" fontId="5" fillId="0" borderId="0" xfId="4" applyFont="1" applyAlignment="1">
      <alignment horizontal="center"/>
    </xf>
    <xf numFmtId="167" fontId="9" fillId="0" borderId="10" xfId="0" applyNumberFormat="1" applyFont="1" applyBorder="1" applyAlignment="1">
      <alignment horizontal="right"/>
    </xf>
    <xf numFmtId="0" fontId="2" fillId="0" borderId="0" xfId="6" applyNumberFormat="1" applyFont="1" applyFill="1" applyBorder="1" applyAlignment="1" applyProtection="1">
      <alignment horizontal="right"/>
    </xf>
    <xf numFmtId="8" fontId="6" fillId="0" borderId="15" xfId="3" applyNumberFormat="1" applyFont="1" applyBorder="1" applyAlignment="1">
      <alignment horizontal="left" vertical="top"/>
    </xf>
    <xf numFmtId="167" fontId="9" fillId="0" borderId="14" xfId="0" applyNumberFormat="1" applyFont="1" applyBorder="1" applyAlignment="1">
      <alignment horizontal="right"/>
    </xf>
    <xf numFmtId="0" fontId="2" fillId="0" borderId="15" xfId="2" applyBorder="1" applyAlignment="1">
      <alignment horizontal="center"/>
    </xf>
    <xf numFmtId="0" fontId="2" fillId="0" borderId="15" xfId="4" applyFont="1" applyBorder="1" applyAlignment="1">
      <alignment horizontal="center"/>
    </xf>
    <xf numFmtId="0" fontId="2" fillId="0" borderId="15" xfId="2" applyBorder="1"/>
    <xf numFmtId="0" fontId="2" fillId="0" borderId="15" xfId="6" applyNumberFormat="1" applyFont="1" applyFill="1" applyBorder="1" applyAlignment="1" applyProtection="1">
      <alignment horizontal="right"/>
    </xf>
    <xf numFmtId="8" fontId="6" fillId="0" borderId="15" xfId="0" applyNumberFormat="1" applyFont="1" applyBorder="1" applyAlignment="1">
      <alignment horizontal="right" vertical="top"/>
    </xf>
    <xf numFmtId="8" fontId="2" fillId="0" borderId="16" xfId="6" applyNumberFormat="1" applyFont="1" applyFill="1" applyBorder="1" applyAlignment="1" applyProtection="1"/>
    <xf numFmtId="43" fontId="9" fillId="0" borderId="0" xfId="1" applyFont="1" applyFill="1" applyBorder="1" applyAlignment="1">
      <alignment horizontal="left" vertical="top" wrapText="1"/>
    </xf>
    <xf numFmtId="0" fontId="9" fillId="0" borderId="0" xfId="3" applyFont="1" applyAlignment="1">
      <alignment horizontal="left" vertical="top" wrapText="1"/>
    </xf>
    <xf numFmtId="167" fontId="9" fillId="0" borderId="14" xfId="0" applyNumberFormat="1" applyFont="1" applyBorder="1" applyAlignment="1">
      <alignment horizontal="right" vertical="center"/>
    </xf>
    <xf numFmtId="0" fontId="2" fillId="0" borderId="15" xfId="2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5" xfId="2" applyBorder="1" applyAlignment="1">
      <alignment vertical="center"/>
    </xf>
    <xf numFmtId="0" fontId="2" fillId="0" borderId="15" xfId="6" applyNumberFormat="1" applyFont="1" applyFill="1" applyBorder="1" applyAlignment="1" applyProtection="1">
      <alignment horizontal="right" vertical="center"/>
    </xf>
    <xf numFmtId="8" fontId="6" fillId="0" borderId="15" xfId="0" applyNumberFormat="1" applyFont="1" applyBorder="1" applyAlignment="1">
      <alignment horizontal="right" vertical="center"/>
    </xf>
    <xf numFmtId="8" fontId="2" fillId="0" borderId="16" xfId="6" applyNumberFormat="1" applyFont="1" applyFill="1" applyBorder="1" applyAlignment="1" applyProtection="1">
      <alignment vertical="center"/>
    </xf>
    <xf numFmtId="8" fontId="6" fillId="0" borderId="15" xfId="3" applyNumberFormat="1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right" vertical="center"/>
    </xf>
    <xf numFmtId="0" fontId="2" fillId="0" borderId="2" xfId="2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2" xfId="2" applyBorder="1" applyAlignment="1">
      <alignment vertical="center"/>
    </xf>
    <xf numFmtId="0" fontId="2" fillId="0" borderId="2" xfId="6" applyNumberFormat="1" applyFont="1" applyFill="1" applyBorder="1" applyAlignment="1" applyProtection="1">
      <alignment horizontal="right" vertical="center"/>
    </xf>
    <xf numFmtId="8" fontId="6" fillId="0" borderId="2" xfId="0" applyNumberFormat="1" applyFont="1" applyBorder="1" applyAlignment="1">
      <alignment horizontal="right" vertical="center"/>
    </xf>
    <xf numFmtId="8" fontId="2" fillId="0" borderId="7" xfId="6" applyNumberFormat="1" applyFont="1" applyFill="1" applyBorder="1" applyAlignment="1" applyProtection="1">
      <alignment vertical="center"/>
    </xf>
    <xf numFmtId="8" fontId="6" fillId="0" borderId="2" xfId="3" applyNumberFormat="1" applyFont="1" applyBorder="1" applyAlignment="1">
      <alignment horizontal="left" vertical="center" wrapText="1"/>
    </xf>
    <xf numFmtId="167" fontId="9" fillId="0" borderId="17" xfId="0" applyNumberFormat="1" applyFont="1" applyBorder="1" applyAlignment="1">
      <alignment horizontal="right" vertical="center"/>
    </xf>
    <xf numFmtId="0" fontId="2" fillId="0" borderId="4" xfId="2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4" xfId="2" applyBorder="1" applyAlignment="1">
      <alignment vertical="center"/>
    </xf>
    <xf numFmtId="0" fontId="2" fillId="0" borderId="4" xfId="6" applyNumberFormat="1" applyFont="1" applyFill="1" applyBorder="1" applyAlignment="1" applyProtection="1">
      <alignment horizontal="right" vertical="center"/>
    </xf>
    <xf numFmtId="8" fontId="6" fillId="0" borderId="4" xfId="0" applyNumberFormat="1" applyFont="1" applyBorder="1" applyAlignment="1">
      <alignment horizontal="right" vertical="center"/>
    </xf>
    <xf numFmtId="8" fontId="2" fillId="0" borderId="18" xfId="6" applyNumberFormat="1" applyFont="1" applyFill="1" applyBorder="1" applyAlignment="1" applyProtection="1">
      <alignment vertical="center"/>
    </xf>
    <xf numFmtId="8" fontId="6" fillId="0" borderId="4" xfId="3" applyNumberFormat="1" applyFont="1" applyBorder="1" applyAlignment="1">
      <alignment horizontal="left" vertical="center" wrapText="1"/>
    </xf>
    <xf numFmtId="43" fontId="9" fillId="0" borderId="4" xfId="1" applyFont="1" applyFill="1" applyBorder="1" applyAlignment="1">
      <alignment horizontal="left" vertical="top" wrapText="1"/>
    </xf>
    <xf numFmtId="0" fontId="7" fillId="0" borderId="6" xfId="2" applyFont="1" applyBorder="1" applyAlignment="1">
      <alignment horizontal="left"/>
    </xf>
    <xf numFmtId="0" fontId="8" fillId="0" borderId="2" xfId="2" applyFont="1" applyBorder="1" applyAlignment="1">
      <alignment horizontal="center"/>
    </xf>
    <xf numFmtId="164" fontId="8" fillId="0" borderId="2" xfId="2" applyNumberFormat="1" applyFont="1" applyBorder="1" applyAlignment="1">
      <alignment horizontal="center"/>
    </xf>
    <xf numFmtId="40" fontId="8" fillId="0" borderId="2" xfId="2" applyNumberFormat="1" applyFont="1" applyBorder="1" applyAlignment="1">
      <alignment horizontal="right"/>
    </xf>
    <xf numFmtId="8" fontId="8" fillId="0" borderId="2" xfId="2" applyNumberFormat="1" applyFont="1" applyBorder="1"/>
    <xf numFmtId="8" fontId="8" fillId="0" borderId="7" xfId="2" applyNumberFormat="1" applyFont="1" applyBorder="1"/>
    <xf numFmtId="0" fontId="2" fillId="0" borderId="0" xfId="2"/>
    <xf numFmtId="8" fontId="6" fillId="0" borderId="0" xfId="3" applyNumberFormat="1" applyFont="1" applyAlignment="1">
      <alignment horizontal="left" vertical="top"/>
    </xf>
    <xf numFmtId="8" fontId="3" fillId="0" borderId="11" xfId="6" applyNumberFormat="1" applyFont="1" applyFill="1" applyBorder="1" applyAlignment="1" applyProtection="1"/>
    <xf numFmtId="40" fontId="3" fillId="0" borderId="0" xfId="9" applyNumberFormat="1" applyFont="1"/>
    <xf numFmtId="8" fontId="2" fillId="0" borderId="5" xfId="8" applyNumberFormat="1" applyFont="1" applyFill="1" applyBorder="1" applyAlignment="1" applyProtection="1"/>
    <xf numFmtId="49" fontId="3" fillId="0" borderId="0" xfId="9" applyNumberFormat="1" applyFont="1" applyAlignment="1">
      <alignment horizontal="right" vertical="center"/>
    </xf>
    <xf numFmtId="49" fontId="2" fillId="0" borderId="0" xfId="9" applyNumberFormat="1" applyFont="1" applyAlignment="1">
      <alignment horizontal="right" vertical="center"/>
    </xf>
    <xf numFmtId="49" fontId="11" fillId="0" borderId="0" xfId="9" applyNumberFormat="1" applyFont="1" applyAlignment="1">
      <alignment horizontal="right" vertical="center"/>
    </xf>
    <xf numFmtId="8" fontId="3" fillId="0" borderId="0" xfId="0" applyNumberFormat="1" applyFont="1" applyAlignment="1">
      <alignment horizontal="right" vertical="center"/>
    </xf>
    <xf numFmtId="8" fontId="6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2" fillId="0" borderId="0" xfId="9" applyNumberFormat="1" applyFont="1" applyAlignment="1">
      <alignment horizontal="right" vertical="center"/>
    </xf>
    <xf numFmtId="164" fontId="7" fillId="5" borderId="0" xfId="9" applyNumberFormat="1" applyFont="1" applyFill="1" applyAlignment="1">
      <alignment vertical="center"/>
    </xf>
    <xf numFmtId="0" fontId="3" fillId="0" borderId="0" xfId="9" applyFont="1" applyAlignment="1">
      <alignment horizontal="right" vertical="top"/>
    </xf>
    <xf numFmtId="0" fontId="2" fillId="0" borderId="0" xfId="9" applyFont="1" applyAlignment="1">
      <alignment horizontal="right" vertical="top"/>
    </xf>
    <xf numFmtId="8" fontId="11" fillId="0" borderId="0" xfId="9" applyNumberFormat="1" applyFont="1" applyAlignment="1">
      <alignment horizontal="right" vertical="top"/>
    </xf>
    <xf numFmtId="0" fontId="3" fillId="0" borderId="0" xfId="9" applyFont="1" applyAlignment="1">
      <alignment horizontal="right"/>
    </xf>
    <xf numFmtId="0" fontId="7" fillId="5" borderId="0" xfId="9" applyFont="1" applyFill="1" applyAlignment="1">
      <alignment horizontal="right"/>
    </xf>
    <xf numFmtId="0" fontId="2" fillId="0" borderId="0" xfId="9" applyFont="1" applyAlignment="1">
      <alignment horizontal="right"/>
    </xf>
    <xf numFmtId="0" fontId="5" fillId="0" borderId="0" xfId="4" applyFont="1" applyAlignment="1">
      <alignment horizontal="left"/>
    </xf>
    <xf numFmtId="0" fontId="9" fillId="0" borderId="11" xfId="3" applyFont="1" applyBorder="1" applyAlignment="1">
      <alignment horizontal="left" vertical="top"/>
    </xf>
    <xf numFmtId="0" fontId="2" fillId="0" borderId="0" xfId="9" applyFont="1" applyAlignment="1">
      <alignment horizontal="center"/>
    </xf>
    <xf numFmtId="8" fontId="2" fillId="0" borderId="5" xfId="2" applyNumberFormat="1" applyBorder="1"/>
    <xf numFmtId="8" fontId="2" fillId="0" borderId="0" xfId="12" applyNumberFormat="1"/>
    <xf numFmtId="0" fontId="9" fillId="0" borderId="0" xfId="0" applyFont="1" applyAlignment="1">
      <alignment horizontal="right" vertical="top"/>
    </xf>
    <xf numFmtId="4" fontId="9" fillId="0" borderId="0" xfId="0" applyNumberFormat="1" applyFont="1" applyAlignment="1">
      <alignment horizontal="right" vertical="top"/>
    </xf>
    <xf numFmtId="166" fontId="5" fillId="0" borderId="0" xfId="4" quotePrefix="1" applyNumberFormat="1" applyFont="1" applyAlignment="1">
      <alignment horizontal="left"/>
    </xf>
    <xf numFmtId="166" fontId="5" fillId="0" borderId="0" xfId="4" applyNumberFormat="1" applyFont="1" applyAlignment="1">
      <alignment horizontal="left"/>
    </xf>
    <xf numFmtId="166" fontId="2" fillId="0" borderId="0" xfId="4" applyNumberFormat="1" applyFont="1" applyAlignment="1">
      <alignment horizontal="right"/>
    </xf>
    <xf numFmtId="0" fontId="2" fillId="0" borderId="0" xfId="4" applyFont="1" applyAlignment="1">
      <alignment horizontal="left"/>
    </xf>
    <xf numFmtId="0" fontId="2" fillId="0" borderId="0" xfId="2" applyAlignment="1">
      <alignment horizontal="left" vertical="top"/>
    </xf>
    <xf numFmtId="0" fontId="2" fillId="0" borderId="0" xfId="0" applyFont="1" applyAlignment="1">
      <alignment horizontal="right"/>
    </xf>
    <xf numFmtId="8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right" vertical="top"/>
    </xf>
    <xf numFmtId="8" fontId="2" fillId="0" borderId="0" xfId="0" applyNumberFormat="1" applyFont="1" applyAlignment="1">
      <alignment horizontal="right"/>
    </xf>
    <xf numFmtId="8" fontId="2" fillId="0" borderId="0" xfId="9" applyNumberFormat="1" applyFont="1" applyAlignment="1">
      <alignment horizontal="center"/>
    </xf>
    <xf numFmtId="8" fontId="2" fillId="0" borderId="0" xfId="0" applyNumberFormat="1" applyFont="1" applyAlignment="1">
      <alignment vertical="top"/>
    </xf>
    <xf numFmtId="40" fontId="9" fillId="0" borderId="0" xfId="0" applyNumberFormat="1" applyFont="1" applyAlignment="1">
      <alignment vertical="center"/>
    </xf>
    <xf numFmtId="0" fontId="3" fillId="0" borderId="6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17" fontId="3" fillId="0" borderId="6" xfId="2" applyNumberFormat="1" applyFont="1" applyBorder="1" applyAlignment="1">
      <alignment horizontal="center"/>
    </xf>
    <xf numFmtId="17" fontId="3" fillId="0" borderId="2" xfId="2" applyNumberFormat="1" applyFont="1" applyBorder="1" applyAlignment="1">
      <alignment horizontal="center"/>
    </xf>
    <xf numFmtId="17" fontId="3" fillId="0" borderId="7" xfId="2" applyNumberFormat="1" applyFont="1" applyBorder="1" applyAlignment="1">
      <alignment horizontal="center"/>
    </xf>
    <xf numFmtId="49" fontId="16" fillId="0" borderId="0" xfId="9" applyNumberFormat="1" applyFont="1" applyAlignment="1">
      <alignment horizontal="center" vertical="top"/>
    </xf>
    <xf numFmtId="49" fontId="2" fillId="0" borderId="0" xfId="9" applyNumberFormat="1" applyFont="1" applyAlignment="1">
      <alignment horizontal="center" vertical="top"/>
    </xf>
    <xf numFmtId="49" fontId="11" fillId="0" borderId="0" xfId="9" applyNumberFormat="1" applyFont="1" applyAlignment="1">
      <alignment horizontal="center" vertical="top"/>
    </xf>
    <xf numFmtId="8" fontId="2" fillId="0" borderId="0" xfId="0" applyNumberFormat="1" applyFont="1" applyAlignment="1">
      <alignment horizontal="left" vertical="center"/>
    </xf>
    <xf numFmtId="40" fontId="9" fillId="0" borderId="0" xfId="0" applyNumberFormat="1" applyFont="1" applyAlignment="1">
      <alignment horizontal="left" vertical="center"/>
    </xf>
    <xf numFmtId="40" fontId="9" fillId="2" borderId="0" xfId="0" applyNumberFormat="1" applyFont="1" applyFill="1" applyAlignment="1">
      <alignment horizontal="left" vertical="center"/>
    </xf>
    <xf numFmtId="8" fontId="6" fillId="0" borderId="10" xfId="3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4">
    <cellStyle name="Comma" xfId="1" builtinId="3"/>
    <cellStyle name="Comma 2" xfId="6" xr:uid="{00000000-0005-0000-0000-000001000000}"/>
    <cellStyle name="Comma 2 10" xfId="8" xr:uid="{00000000-0005-0000-0000-000002000000}"/>
    <cellStyle name="Currency 2" xfId="5" xr:uid="{00000000-0005-0000-0000-000003000000}"/>
    <cellStyle name="Currency 2 3" xfId="7" xr:uid="{00000000-0005-0000-0000-000004000000}"/>
    <cellStyle name="Excel Built-in Normal" xfId="11" xr:uid="{00000000-0005-0000-0000-000005000000}"/>
    <cellStyle name="Normal" xfId="0" builtinId="0"/>
    <cellStyle name="Normal 12" xfId="12" xr:uid="{00000000-0005-0000-0000-000007000000}"/>
    <cellStyle name="Normal 2" xfId="9" xr:uid="{00000000-0005-0000-0000-000008000000}"/>
    <cellStyle name="Normal 2 2 2" xfId="2" xr:uid="{00000000-0005-0000-0000-000009000000}"/>
    <cellStyle name="Normal 2 2 2 2" xfId="10" xr:uid="{00000000-0005-0000-0000-00000A000000}"/>
    <cellStyle name="Normal 3" xfId="3" xr:uid="{00000000-0005-0000-0000-00000B000000}"/>
    <cellStyle name="Normal_1101BK" xfId="4" xr:uid="{00000000-0005-0000-0000-00000C000000}"/>
    <cellStyle name="Percent" xfId="13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FF"/>
      <color rgb="FFCC99FF"/>
      <color rgb="FF00FFCC"/>
      <color rgb="FF99FF66"/>
      <color rgb="FF66FF99"/>
      <color rgb="FFB6ECDA"/>
      <color rgb="FFCCFFCC"/>
      <color rgb="FFFF99CC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andreski\BANK%20RECONCILATION\113%20114%20PH%20Davie%2005%202021%20PH%20Davie%20Reconciliation%20B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nk Statement"/>
      <sheetName val="GL"/>
      <sheetName val="Un-Reconcile transactions"/>
      <sheetName val="Old Reconciled"/>
    </sheetNames>
    <sheetDataSet>
      <sheetData sheetId="0"/>
      <sheetData sheetId="1"/>
      <sheetData sheetId="2">
        <row r="201">
          <cell r="I201">
            <v>131447</v>
          </cell>
        </row>
        <row r="204">
          <cell r="G204">
            <v>600</v>
          </cell>
        </row>
        <row r="206">
          <cell r="G206">
            <v>-39821.78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showGridLines="0" tabSelected="1" zoomScale="85" zoomScaleNormal="85" zoomScaleSheetLayoutView="85" workbookViewId="0">
      <pane ySplit="5" topLeftCell="A35" activePane="bottomLeft" state="frozen"/>
      <selection pane="bottomLeft" activeCell="E43" sqref="E43"/>
    </sheetView>
  </sheetViews>
  <sheetFormatPr defaultColWidth="9.33203125" defaultRowHeight="13.2" x14ac:dyDescent="0.25"/>
  <cols>
    <col min="1" max="1" width="1.33203125" style="1" customWidth="1"/>
    <col min="2" max="2" width="25.77734375" style="1" customWidth="1"/>
    <col min="3" max="3" width="12.77734375" style="30" customWidth="1"/>
    <col min="4" max="4" width="12.33203125" style="31" customWidth="1"/>
    <col min="5" max="5" width="39.33203125" style="32" customWidth="1"/>
    <col min="6" max="6" width="13.109375" style="32" customWidth="1"/>
    <col min="7" max="8" width="14.6640625" style="72" bestFit="1" customWidth="1"/>
    <col min="9" max="9" width="12.6640625" style="70" bestFit="1" customWidth="1"/>
    <col min="10" max="10" width="15.77734375" style="60" customWidth="1"/>
    <col min="11" max="16384" width="9.33203125" style="1"/>
  </cols>
  <sheetData>
    <row r="1" spans="1:13" ht="13.8" thickBot="1" x14ac:dyDescent="0.3">
      <c r="M1" s="1" t="s">
        <v>0</v>
      </c>
    </row>
    <row r="2" spans="1:13" ht="13.8" thickBot="1" x14ac:dyDescent="0.3">
      <c r="B2" s="225" t="s">
        <v>1</v>
      </c>
      <c r="C2" s="226"/>
      <c r="D2" s="226"/>
      <c r="E2" s="226"/>
      <c r="F2" s="226"/>
      <c r="G2" s="226"/>
      <c r="H2" s="227"/>
    </row>
    <row r="3" spans="1:13" ht="13.8" thickBot="1" x14ac:dyDescent="0.3">
      <c r="B3" s="222" t="s">
        <v>2</v>
      </c>
      <c r="C3" s="223"/>
      <c r="D3" s="223"/>
      <c r="E3" s="223"/>
      <c r="F3" s="223"/>
      <c r="G3" s="223"/>
      <c r="H3" s="224"/>
    </row>
    <row r="4" spans="1:13" ht="13.8" thickBot="1" x14ac:dyDescent="0.3">
      <c r="B4" s="228">
        <v>46113</v>
      </c>
      <c r="C4" s="229"/>
      <c r="D4" s="229"/>
      <c r="E4" s="229"/>
      <c r="F4" s="229"/>
      <c r="G4" s="229"/>
      <c r="H4" s="230"/>
    </row>
    <row r="5" spans="1:13" ht="13.8" thickBot="1" x14ac:dyDescent="0.3">
      <c r="B5" s="107" t="s">
        <v>3</v>
      </c>
      <c r="C5" s="5"/>
      <c r="D5" s="12"/>
      <c r="E5" s="17"/>
      <c r="F5" s="17"/>
      <c r="G5" s="71"/>
      <c r="H5" s="108"/>
    </row>
    <row r="6" spans="1:13" x14ac:dyDescent="0.25">
      <c r="B6" s="109"/>
      <c r="C6" s="6"/>
      <c r="D6" s="13"/>
      <c r="E6" s="18"/>
      <c r="F6" s="18"/>
      <c r="G6" s="84"/>
      <c r="H6" s="110"/>
    </row>
    <row r="7" spans="1:13" x14ac:dyDescent="0.25">
      <c r="B7" s="111"/>
      <c r="C7" s="7"/>
      <c r="D7" s="14"/>
      <c r="F7" s="40" t="s">
        <v>4</v>
      </c>
      <c r="G7" s="79"/>
      <c r="H7" s="112">
        <v>0</v>
      </c>
    </row>
    <row r="8" spans="1:13" x14ac:dyDescent="0.25">
      <c r="B8" s="111"/>
      <c r="C8" s="7"/>
      <c r="D8" s="14"/>
      <c r="E8" s="19"/>
      <c r="F8" s="19"/>
      <c r="G8" s="80"/>
      <c r="H8" s="113"/>
    </row>
    <row r="9" spans="1:13" x14ac:dyDescent="0.25">
      <c r="B9" s="114" t="s">
        <v>5</v>
      </c>
      <c r="C9" s="11"/>
      <c r="D9" s="15"/>
      <c r="E9" s="19"/>
      <c r="F9" s="19"/>
      <c r="G9" s="80"/>
      <c r="H9" s="113"/>
    </row>
    <row r="10" spans="1:13" x14ac:dyDescent="0.25">
      <c r="A10" s="203"/>
      <c r="B10" s="53"/>
      <c r="D10" s="11"/>
      <c r="E10" s="213"/>
      <c r="F10" s="22"/>
      <c r="G10" s="75"/>
      <c r="H10" s="123"/>
    </row>
    <row r="11" spans="1:13" x14ac:dyDescent="0.25">
      <c r="A11" s="203"/>
      <c r="B11" s="53"/>
      <c r="C11" s="3"/>
      <c r="D11" s="15"/>
      <c r="E11" s="41"/>
      <c r="F11" s="20"/>
      <c r="G11" s="81"/>
      <c r="H11" s="116"/>
    </row>
    <row r="12" spans="1:13" x14ac:dyDescent="0.25">
      <c r="A12" s="203"/>
      <c r="B12" s="210" t="s">
        <v>6</v>
      </c>
      <c r="C12" s="3"/>
      <c r="D12" s="16"/>
      <c r="E12" s="21"/>
      <c r="F12" s="21"/>
      <c r="G12" s="78"/>
      <c r="H12" s="118"/>
    </row>
    <row r="13" spans="1:13" x14ac:dyDescent="0.25">
      <c r="A13" s="203"/>
      <c r="B13" s="210"/>
      <c r="C13" s="3"/>
      <c r="D13" s="16"/>
      <c r="E13" s="21"/>
      <c r="F13" s="21"/>
      <c r="G13" s="78"/>
      <c r="H13" s="118"/>
    </row>
    <row r="14" spans="1:13" x14ac:dyDescent="0.25">
      <c r="A14" s="203"/>
      <c r="B14" s="53" t="s">
        <v>347</v>
      </c>
      <c r="C14" s="30" t="s">
        <v>7</v>
      </c>
      <c r="D14" s="11"/>
      <c r="E14" s="213" t="s">
        <v>8</v>
      </c>
      <c r="F14" s="22"/>
      <c r="G14" s="75">
        <v>-250204.89</v>
      </c>
      <c r="H14" s="123"/>
    </row>
    <row r="15" spans="1:13" x14ac:dyDescent="0.25">
      <c r="A15" s="203"/>
      <c r="B15" s="211"/>
      <c r="C15" s="3"/>
      <c r="D15" s="16"/>
      <c r="E15" s="59"/>
      <c r="F15" s="21"/>
      <c r="G15" s="78"/>
      <c r="H15" s="118"/>
    </row>
    <row r="16" spans="1:13" x14ac:dyDescent="0.25">
      <c r="A16" s="203"/>
      <c r="B16" s="212"/>
      <c r="C16" s="3"/>
      <c r="D16" s="16"/>
      <c r="F16" s="24" t="s">
        <v>9</v>
      </c>
      <c r="G16" s="79"/>
      <c r="H16" s="118">
        <f>SUM(G14:G14)</f>
        <v>-250204.89</v>
      </c>
    </row>
    <row r="17" spans="1:9" x14ac:dyDescent="0.25">
      <c r="B17" s="120"/>
      <c r="C17" s="3"/>
      <c r="D17" s="16"/>
      <c r="F17" s="23"/>
      <c r="G17" s="79"/>
      <c r="H17" s="121"/>
    </row>
    <row r="18" spans="1:9" ht="13.8" thickBot="1" x14ac:dyDescent="0.3">
      <c r="B18" s="111"/>
      <c r="C18" s="7"/>
      <c r="D18" s="14"/>
      <c r="F18" s="19" t="s">
        <v>10</v>
      </c>
      <c r="G18" s="79"/>
      <c r="H18" s="122">
        <f>+H7-H16</f>
        <v>250204.89</v>
      </c>
    </row>
    <row r="19" spans="1:9" ht="14.4" thickTop="1" thickBot="1" x14ac:dyDescent="0.3">
      <c r="B19" s="111"/>
      <c r="C19" s="3"/>
      <c r="D19" s="16"/>
      <c r="E19" s="25"/>
      <c r="F19" s="25"/>
      <c r="G19" s="82"/>
      <c r="H19" s="123"/>
    </row>
    <row r="20" spans="1:9" ht="13.8" thickBot="1" x14ac:dyDescent="0.3">
      <c r="B20" s="124" t="s">
        <v>11</v>
      </c>
      <c r="C20" s="5"/>
      <c r="D20" s="12"/>
      <c r="E20" s="17"/>
      <c r="F20" s="17"/>
      <c r="G20" s="83"/>
      <c r="H20" s="125"/>
    </row>
    <row r="21" spans="1:9" x14ac:dyDescent="0.25">
      <c r="B21" s="126"/>
      <c r="C21" s="6"/>
      <c r="D21" s="13"/>
      <c r="E21" s="18"/>
      <c r="F21" s="18"/>
      <c r="G21" s="84"/>
      <c r="H21" s="110"/>
    </row>
    <row r="22" spans="1:9" x14ac:dyDescent="0.25">
      <c r="B22" s="111"/>
      <c r="C22" s="7"/>
      <c r="D22" s="14"/>
      <c r="E22" s="1"/>
      <c r="F22" s="40" t="s">
        <v>12</v>
      </c>
      <c r="G22" s="79"/>
      <c r="H22" s="127">
        <f>GL!I670</f>
        <v>76724.38</v>
      </c>
      <c r="I22" s="73"/>
    </row>
    <row r="23" spans="1:9" x14ac:dyDescent="0.25">
      <c r="B23" s="120"/>
      <c r="C23" s="3"/>
      <c r="D23" s="16"/>
      <c r="E23" s="26"/>
      <c r="F23" s="26"/>
      <c r="G23" s="85"/>
      <c r="H23" s="123"/>
    </row>
    <row r="24" spans="1:9" x14ac:dyDescent="0.25">
      <c r="B24" s="128" t="s">
        <v>13</v>
      </c>
      <c r="C24" s="37"/>
      <c r="D24" s="30"/>
      <c r="E24" s="22"/>
      <c r="F24" s="22"/>
      <c r="G24" s="82"/>
      <c r="H24" s="123"/>
    </row>
    <row r="25" spans="1:9" x14ac:dyDescent="0.25">
      <c r="B25" s="128"/>
      <c r="C25" s="37"/>
      <c r="D25" s="30"/>
      <c r="E25" s="22"/>
      <c r="F25" s="22"/>
      <c r="G25" s="82"/>
      <c r="H25" s="123"/>
    </row>
    <row r="26" spans="1:9" x14ac:dyDescent="0.25">
      <c r="B26" s="128"/>
      <c r="C26" s="37"/>
      <c r="D26" s="30"/>
      <c r="E26" s="22"/>
      <c r="F26" s="22"/>
      <c r="G26" s="82"/>
      <c r="H26" s="123"/>
    </row>
    <row r="27" spans="1:9" x14ac:dyDescent="0.25">
      <c r="B27" s="129" t="s">
        <v>14</v>
      </c>
      <c r="D27" s="139" t="s">
        <v>1022</v>
      </c>
      <c r="E27" s="22"/>
      <c r="F27" s="22"/>
      <c r="G27" s="82"/>
      <c r="H27" s="123"/>
    </row>
    <row r="28" spans="1:9" x14ac:dyDescent="0.25">
      <c r="A28" s="203"/>
      <c r="B28" s="209"/>
      <c r="D28" s="139"/>
      <c r="E28" s="22"/>
      <c r="F28" s="22"/>
      <c r="G28" s="82"/>
      <c r="H28" s="123"/>
    </row>
    <row r="29" spans="1:9" x14ac:dyDescent="0.25">
      <c r="A29" s="203"/>
      <c r="B29" s="89">
        <v>46141</v>
      </c>
      <c r="C29" s="30" t="s">
        <v>15</v>
      </c>
      <c r="D29" s="216" t="s">
        <v>871</v>
      </c>
      <c r="E29" s="46" t="s">
        <v>284</v>
      </c>
      <c r="F29" s="22"/>
      <c r="G29" s="76">
        <v>40</v>
      </c>
      <c r="H29" s="123"/>
    </row>
    <row r="30" spans="1:9" x14ac:dyDescent="0.25">
      <c r="A30" s="203"/>
      <c r="B30" s="89">
        <v>46141</v>
      </c>
      <c r="C30" s="30" t="s">
        <v>15</v>
      </c>
      <c r="D30" s="216" t="s">
        <v>873</v>
      </c>
      <c r="E30" s="46" t="s">
        <v>249</v>
      </c>
      <c r="F30" s="22"/>
      <c r="G30" s="76">
        <v>1198.96</v>
      </c>
      <c r="H30" s="123"/>
    </row>
    <row r="31" spans="1:9" x14ac:dyDescent="0.25">
      <c r="A31" s="203"/>
      <c r="B31" s="89">
        <v>46142</v>
      </c>
      <c r="C31" s="30" t="s">
        <v>15</v>
      </c>
      <c r="D31" s="216" t="s">
        <v>891</v>
      </c>
      <c r="E31" s="46" t="s">
        <v>20</v>
      </c>
      <c r="F31" s="22"/>
      <c r="G31" s="76">
        <v>500</v>
      </c>
      <c r="H31" s="123"/>
    </row>
    <row r="32" spans="1:9" x14ac:dyDescent="0.25">
      <c r="A32" s="203"/>
      <c r="B32" s="89">
        <v>46142</v>
      </c>
      <c r="C32" s="30" t="s">
        <v>15</v>
      </c>
      <c r="D32" s="216" t="s">
        <v>893</v>
      </c>
      <c r="E32" s="46" t="s">
        <v>20</v>
      </c>
      <c r="F32" s="22"/>
      <c r="G32" s="76">
        <v>500</v>
      </c>
      <c r="H32" s="123"/>
    </row>
    <row r="33" spans="1:8" x14ac:dyDescent="0.25">
      <c r="A33" s="203"/>
      <c r="B33" s="89">
        <v>46142</v>
      </c>
      <c r="C33" s="30" t="s">
        <v>15</v>
      </c>
      <c r="D33" s="216" t="s">
        <v>895</v>
      </c>
      <c r="E33" s="46" t="s">
        <v>20</v>
      </c>
      <c r="F33" s="22"/>
      <c r="G33" s="76">
        <v>170.00000000000003</v>
      </c>
      <c r="H33" s="123"/>
    </row>
    <row r="34" spans="1:8" x14ac:dyDescent="0.25">
      <c r="A34" s="203"/>
      <c r="B34" s="89">
        <v>46142</v>
      </c>
      <c r="C34" s="30" t="s">
        <v>15</v>
      </c>
      <c r="D34" s="216" t="s">
        <v>897</v>
      </c>
      <c r="E34" s="46" t="s">
        <v>1017</v>
      </c>
      <c r="F34" s="22"/>
      <c r="G34" s="76">
        <v>1054</v>
      </c>
      <c r="H34" s="123"/>
    </row>
    <row r="35" spans="1:8" x14ac:dyDescent="0.25">
      <c r="A35" s="203"/>
      <c r="B35" s="89">
        <v>46142</v>
      </c>
      <c r="C35" s="30" t="s">
        <v>15</v>
      </c>
      <c r="D35" s="216" t="s">
        <v>898</v>
      </c>
      <c r="E35" s="46" t="s">
        <v>129</v>
      </c>
      <c r="F35" s="22"/>
      <c r="G35" s="76">
        <v>73.040000000000006</v>
      </c>
      <c r="H35" s="123"/>
    </row>
    <row r="36" spans="1:8" x14ac:dyDescent="0.25">
      <c r="A36" s="203"/>
      <c r="B36" s="89">
        <v>46142</v>
      </c>
      <c r="C36" s="30" t="s">
        <v>15</v>
      </c>
      <c r="D36" s="216" t="s">
        <v>900</v>
      </c>
      <c r="E36" s="46" t="s">
        <v>1018</v>
      </c>
      <c r="F36" s="22"/>
      <c r="G36" s="76">
        <v>10709.12</v>
      </c>
      <c r="H36" s="123"/>
    </row>
    <row r="37" spans="1:8" x14ac:dyDescent="0.25">
      <c r="A37" s="203"/>
      <c r="B37" s="89">
        <v>46142</v>
      </c>
      <c r="C37" s="30" t="s">
        <v>15</v>
      </c>
      <c r="D37" s="216" t="s">
        <v>900</v>
      </c>
      <c r="E37" s="46" t="s">
        <v>1019</v>
      </c>
      <c r="F37" s="22"/>
      <c r="G37" s="76">
        <v>8744.33</v>
      </c>
      <c r="H37" s="123"/>
    </row>
    <row r="38" spans="1:8" x14ac:dyDescent="0.25">
      <c r="A38" s="203"/>
      <c r="B38" s="89">
        <v>46142</v>
      </c>
      <c r="C38" s="30" t="s">
        <v>15</v>
      </c>
      <c r="D38" s="216" t="s">
        <v>904</v>
      </c>
      <c r="E38" s="46" t="s">
        <v>1020</v>
      </c>
      <c r="F38" s="22"/>
      <c r="G38" s="76">
        <v>388.15</v>
      </c>
      <c r="H38" s="123"/>
    </row>
    <row r="39" spans="1:8" x14ac:dyDescent="0.25">
      <c r="A39" s="203"/>
      <c r="B39" s="209"/>
      <c r="D39" s="139"/>
      <c r="E39" s="22"/>
      <c r="F39" s="22"/>
      <c r="G39" s="76"/>
      <c r="H39" s="123"/>
    </row>
    <row r="40" spans="1:8" x14ac:dyDescent="0.25">
      <c r="A40" s="203"/>
      <c r="B40" s="209"/>
      <c r="C40" s="10"/>
      <c r="D40" s="30"/>
      <c r="E40" s="22"/>
      <c r="F40" s="103" t="s">
        <v>23</v>
      </c>
      <c r="G40" s="205">
        <f>SUM(G29:G38)</f>
        <v>23377.600000000002</v>
      </c>
      <c r="H40" s="123"/>
    </row>
    <row r="41" spans="1:8" x14ac:dyDescent="0.25">
      <c r="A41" s="203" t="s">
        <v>24</v>
      </c>
      <c r="B41" s="202" t="s">
        <v>25</v>
      </c>
      <c r="C41" s="3"/>
      <c r="D41" s="30"/>
      <c r="E41" s="16"/>
      <c r="F41" s="16"/>
      <c r="G41" s="85"/>
      <c r="H41" s="123"/>
    </row>
    <row r="42" spans="1:8" x14ac:dyDescent="0.25">
      <c r="A42" s="203"/>
      <c r="B42" s="202"/>
      <c r="C42" s="3"/>
      <c r="D42" s="30"/>
      <c r="E42" s="16"/>
      <c r="F42" s="16"/>
      <c r="G42" s="85"/>
      <c r="H42" s="123"/>
    </row>
    <row r="43" spans="1:8" x14ac:dyDescent="0.25">
      <c r="A43" s="203"/>
      <c r="B43" s="89">
        <v>45985</v>
      </c>
      <c r="C43" s="204" t="s">
        <v>7</v>
      </c>
      <c r="D43" s="216" t="s">
        <v>264</v>
      </c>
      <c r="E43" s="46" t="s">
        <v>260</v>
      </c>
      <c r="F43" s="22"/>
      <c r="G43" s="76">
        <v>-55.8</v>
      </c>
      <c r="H43" s="123"/>
    </row>
    <row r="44" spans="1:8" x14ac:dyDescent="0.25">
      <c r="A44" s="203"/>
      <c r="B44" s="89">
        <v>46029</v>
      </c>
      <c r="C44" s="204" t="s">
        <v>7</v>
      </c>
      <c r="D44" s="216" t="s">
        <v>278</v>
      </c>
      <c r="E44" s="46" t="s">
        <v>281</v>
      </c>
      <c r="F44" s="22"/>
      <c r="G44" s="76">
        <v>-117497.31</v>
      </c>
      <c r="H44" s="123"/>
    </row>
    <row r="45" spans="1:8" x14ac:dyDescent="0.25">
      <c r="A45" s="203"/>
      <c r="B45" s="89">
        <v>46055</v>
      </c>
      <c r="C45" s="204" t="s">
        <v>7</v>
      </c>
      <c r="D45" s="216" t="s">
        <v>287</v>
      </c>
      <c r="E45" s="46" t="s">
        <v>254</v>
      </c>
      <c r="F45" s="22"/>
      <c r="G45" s="76">
        <v>-263.10000000000002</v>
      </c>
      <c r="H45" s="123"/>
    </row>
    <row r="46" spans="1:8" x14ac:dyDescent="0.25">
      <c r="A46" s="203"/>
      <c r="B46" s="89">
        <v>46098</v>
      </c>
      <c r="C46" s="204" t="s">
        <v>7</v>
      </c>
      <c r="D46" s="216" t="s">
        <v>294</v>
      </c>
      <c r="E46" s="46" t="s">
        <v>318</v>
      </c>
      <c r="F46" s="22"/>
      <c r="G46" s="76">
        <v>-450</v>
      </c>
      <c r="H46" s="123"/>
    </row>
    <row r="47" spans="1:8" x14ac:dyDescent="0.25">
      <c r="A47" s="203"/>
      <c r="B47" s="89"/>
      <c r="C47" s="3"/>
      <c r="D47" s="30"/>
      <c r="E47" s="16"/>
      <c r="F47" s="16"/>
      <c r="G47" s="85"/>
      <c r="H47" s="123"/>
    </row>
    <row r="48" spans="1:8" x14ac:dyDescent="0.25">
      <c r="B48" s="129" t="s">
        <v>26</v>
      </c>
      <c r="D48" s="139" t="s">
        <v>1022</v>
      </c>
      <c r="E48" s="22"/>
      <c r="F48" s="22"/>
      <c r="G48" s="82"/>
      <c r="H48" s="123"/>
    </row>
    <row r="49" spans="1:8" x14ac:dyDescent="0.25">
      <c r="A49" s="203"/>
      <c r="B49" s="209"/>
      <c r="D49" s="139"/>
      <c r="E49" s="22"/>
      <c r="F49" s="22"/>
      <c r="G49" s="82"/>
      <c r="H49" s="123"/>
    </row>
    <row r="50" spans="1:8" x14ac:dyDescent="0.25">
      <c r="A50" s="203"/>
      <c r="B50" s="89">
        <v>46134</v>
      </c>
      <c r="C50" s="204" t="s">
        <v>7</v>
      </c>
      <c r="D50" s="216" t="s">
        <v>834</v>
      </c>
      <c r="E50" s="46" t="s">
        <v>924</v>
      </c>
      <c r="F50" s="22"/>
      <c r="G50" s="76">
        <v>-270</v>
      </c>
      <c r="H50" s="123"/>
    </row>
    <row r="51" spans="1:8" x14ac:dyDescent="0.25">
      <c r="A51" s="203"/>
      <c r="B51" s="89">
        <v>46139</v>
      </c>
      <c r="C51" s="204" t="s">
        <v>7</v>
      </c>
      <c r="D51" s="216" t="s">
        <v>855</v>
      </c>
      <c r="E51" s="46" t="s">
        <v>290</v>
      </c>
      <c r="F51" s="22"/>
      <c r="G51" s="76">
        <v>-671.22</v>
      </c>
      <c r="H51" s="123"/>
    </row>
    <row r="52" spans="1:8" x14ac:dyDescent="0.25">
      <c r="A52" s="203"/>
      <c r="B52" s="89">
        <v>46139</v>
      </c>
      <c r="C52" s="204" t="s">
        <v>7</v>
      </c>
      <c r="D52" s="216" t="s">
        <v>857</v>
      </c>
      <c r="E52" s="46" t="s">
        <v>925</v>
      </c>
      <c r="F52" s="22"/>
      <c r="G52" s="76">
        <v>-39.69</v>
      </c>
      <c r="H52" s="123"/>
    </row>
    <row r="53" spans="1:8" x14ac:dyDescent="0.25">
      <c r="A53" s="203"/>
      <c r="B53" s="89">
        <v>46140</v>
      </c>
      <c r="C53" s="204" t="s">
        <v>7</v>
      </c>
      <c r="D53" s="216" t="s">
        <v>859</v>
      </c>
      <c r="E53" s="46" t="s">
        <v>243</v>
      </c>
      <c r="F53" s="22"/>
      <c r="G53" s="76">
        <v>-2800</v>
      </c>
      <c r="H53" s="123"/>
    </row>
    <row r="54" spans="1:8" x14ac:dyDescent="0.25">
      <c r="A54" s="203"/>
      <c r="B54" s="89">
        <v>46141</v>
      </c>
      <c r="C54" s="204" t="s">
        <v>7</v>
      </c>
      <c r="D54" s="216" t="s">
        <v>865</v>
      </c>
      <c r="E54" s="46" t="s">
        <v>926</v>
      </c>
      <c r="F54" s="22"/>
      <c r="G54" s="76">
        <v>-125</v>
      </c>
      <c r="H54" s="123"/>
    </row>
    <row r="55" spans="1:8" x14ac:dyDescent="0.25">
      <c r="A55" s="203"/>
      <c r="B55" s="89">
        <v>46142</v>
      </c>
      <c r="C55" s="204" t="s">
        <v>7</v>
      </c>
      <c r="D55" s="216" t="s">
        <v>876</v>
      </c>
      <c r="E55" s="46" t="s">
        <v>192</v>
      </c>
      <c r="F55" s="22"/>
      <c r="G55" s="76">
        <v>-52.69</v>
      </c>
      <c r="H55" s="123"/>
    </row>
    <row r="56" spans="1:8" x14ac:dyDescent="0.25">
      <c r="A56" s="203"/>
      <c r="B56" s="89">
        <v>46142</v>
      </c>
      <c r="C56" s="204" t="s">
        <v>7</v>
      </c>
      <c r="D56" s="216" t="s">
        <v>878</v>
      </c>
      <c r="E56" s="46" t="s">
        <v>915</v>
      </c>
      <c r="F56" s="22"/>
      <c r="G56" s="76">
        <v>-3350</v>
      </c>
      <c r="H56" s="123"/>
    </row>
    <row r="57" spans="1:8" x14ac:dyDescent="0.25">
      <c r="A57" s="203"/>
      <c r="B57" s="89">
        <v>46142</v>
      </c>
      <c r="C57" s="204" t="s">
        <v>7</v>
      </c>
      <c r="D57" s="216" t="s">
        <v>880</v>
      </c>
      <c r="E57" s="46" t="s">
        <v>275</v>
      </c>
      <c r="F57" s="22"/>
      <c r="G57" s="76">
        <v>-38.47</v>
      </c>
      <c r="H57" s="123"/>
    </row>
    <row r="58" spans="1:8" x14ac:dyDescent="0.25">
      <c r="A58" s="203"/>
      <c r="B58" s="89">
        <v>46142</v>
      </c>
      <c r="C58" s="204" t="s">
        <v>7</v>
      </c>
      <c r="D58" s="216" t="s">
        <v>882</v>
      </c>
      <c r="E58" s="46" t="s">
        <v>275</v>
      </c>
      <c r="F58" s="22"/>
      <c r="G58" s="76">
        <v>-115.08</v>
      </c>
      <c r="H58" s="123"/>
    </row>
    <row r="59" spans="1:8" x14ac:dyDescent="0.25">
      <c r="A59" s="203"/>
      <c r="B59" s="89">
        <v>46142</v>
      </c>
      <c r="C59" s="204" t="s">
        <v>7</v>
      </c>
      <c r="D59" s="216" t="s">
        <v>884</v>
      </c>
      <c r="E59" s="46" t="s">
        <v>275</v>
      </c>
      <c r="F59" s="22"/>
      <c r="G59" s="76">
        <v>-74.33</v>
      </c>
      <c r="H59" s="123"/>
    </row>
    <row r="60" spans="1:8" x14ac:dyDescent="0.25">
      <c r="A60" s="203"/>
      <c r="B60" s="89">
        <v>46142</v>
      </c>
      <c r="C60" s="204" t="s">
        <v>7</v>
      </c>
      <c r="D60" s="216" t="s">
        <v>886</v>
      </c>
      <c r="E60" s="46" t="s">
        <v>275</v>
      </c>
      <c r="F60" s="22"/>
      <c r="G60" s="76">
        <v>-593.48</v>
      </c>
      <c r="H60" s="123"/>
    </row>
    <row r="61" spans="1:8" x14ac:dyDescent="0.25">
      <c r="A61" s="203"/>
      <c r="B61" s="89">
        <v>46142</v>
      </c>
      <c r="C61" s="204" t="s">
        <v>7</v>
      </c>
      <c r="D61" s="216" t="s">
        <v>888</v>
      </c>
      <c r="E61" s="46" t="s">
        <v>104</v>
      </c>
      <c r="F61" s="22"/>
      <c r="G61" s="76">
        <v>-35</v>
      </c>
      <c r="H61" s="123"/>
    </row>
    <row r="62" spans="1:8" x14ac:dyDescent="0.25">
      <c r="A62" s="203"/>
      <c r="B62" s="89">
        <v>46142</v>
      </c>
      <c r="C62" s="204" t="s">
        <v>7</v>
      </c>
      <c r="D62" s="216" t="s">
        <v>890</v>
      </c>
      <c r="E62" s="46" t="s">
        <v>254</v>
      </c>
      <c r="F62" s="22"/>
      <c r="G62" s="76">
        <v>-1227.81</v>
      </c>
      <c r="H62" s="123"/>
    </row>
    <row r="63" spans="1:8" x14ac:dyDescent="0.25">
      <c r="A63" s="203"/>
      <c r="B63" s="89">
        <v>46142</v>
      </c>
      <c r="C63" s="204" t="s">
        <v>7</v>
      </c>
      <c r="D63" s="216" t="s">
        <v>901</v>
      </c>
      <c r="E63" s="46" t="s">
        <v>193</v>
      </c>
      <c r="F63" s="22"/>
      <c r="G63" s="76">
        <v>-29723.07</v>
      </c>
      <c r="H63" s="123"/>
    </row>
    <row r="64" spans="1:8" x14ac:dyDescent="0.25">
      <c r="A64" s="203"/>
      <c r="B64" s="89">
        <v>46142</v>
      </c>
      <c r="C64" s="204" t="s">
        <v>7</v>
      </c>
      <c r="D64" s="216" t="s">
        <v>901</v>
      </c>
      <c r="E64" s="46" t="s">
        <v>193</v>
      </c>
      <c r="F64" s="22"/>
      <c r="G64" s="76">
        <v>-28557.46</v>
      </c>
      <c r="H64" s="123"/>
    </row>
    <row r="65" spans="1:8" x14ac:dyDescent="0.25">
      <c r="A65" s="203"/>
      <c r="B65" s="89">
        <v>46142</v>
      </c>
      <c r="C65" s="204" t="s">
        <v>7</v>
      </c>
      <c r="D65" s="216" t="s">
        <v>906</v>
      </c>
      <c r="E65" s="46" t="s">
        <v>930</v>
      </c>
      <c r="F65" s="22"/>
      <c r="G65" s="76">
        <v>-4322.01</v>
      </c>
      <c r="H65" s="123"/>
    </row>
    <row r="66" spans="1:8" x14ac:dyDescent="0.25">
      <c r="A66" s="203"/>
      <c r="B66" s="89">
        <v>46142</v>
      </c>
      <c r="C66" s="204" t="s">
        <v>7</v>
      </c>
      <c r="D66" s="216" t="s">
        <v>908</v>
      </c>
      <c r="E66" s="46" t="s">
        <v>931</v>
      </c>
      <c r="F66" s="22"/>
      <c r="G66" s="76">
        <v>-4051.59</v>
      </c>
      <c r="H66" s="123"/>
    </row>
    <row r="67" spans="1:8" x14ac:dyDescent="0.25">
      <c r="A67" s="203"/>
      <c r="B67" s="89">
        <v>46142</v>
      </c>
      <c r="C67" s="204" t="s">
        <v>7</v>
      </c>
      <c r="D67" s="216" t="s">
        <v>1029</v>
      </c>
      <c r="E67" s="46" t="s">
        <v>1031</v>
      </c>
      <c r="F67" s="22"/>
      <c r="G67" s="76">
        <v>-1415</v>
      </c>
      <c r="H67" s="123"/>
    </row>
    <row r="68" spans="1:8" x14ac:dyDescent="0.25">
      <c r="A68" s="203"/>
      <c r="B68" s="89">
        <v>46142</v>
      </c>
      <c r="C68" s="204" t="s">
        <v>7</v>
      </c>
      <c r="D68" s="216" t="s">
        <v>1030</v>
      </c>
      <c r="E68" s="46" t="s">
        <v>1032</v>
      </c>
      <c r="F68" s="22"/>
      <c r="G68" s="76">
        <v>-1130</v>
      </c>
      <c r="H68" s="123"/>
    </row>
    <row r="69" spans="1:8" x14ac:dyDescent="0.25">
      <c r="A69" s="203"/>
      <c r="B69" s="202"/>
      <c r="D69" s="139"/>
      <c r="E69" s="16"/>
      <c r="F69" s="16"/>
      <c r="G69" s="85"/>
      <c r="H69" s="123"/>
    </row>
    <row r="70" spans="1:8" x14ac:dyDescent="0.25">
      <c r="A70" s="203"/>
      <c r="B70" s="202"/>
      <c r="D70" s="139"/>
      <c r="E70" s="16"/>
      <c r="F70" s="103" t="s">
        <v>23</v>
      </c>
      <c r="G70" s="187">
        <f>SUM(G43:G68)</f>
        <v>-196858.11000000002</v>
      </c>
      <c r="H70" s="123"/>
    </row>
    <row r="71" spans="1:8" x14ac:dyDescent="0.25">
      <c r="B71" s="120"/>
      <c r="C71" s="4"/>
      <c r="D71" s="30"/>
      <c r="E71" s="29"/>
      <c r="F71" s="29"/>
      <c r="G71" s="88"/>
      <c r="H71" s="118"/>
    </row>
    <row r="72" spans="1:8" x14ac:dyDescent="0.25">
      <c r="B72" s="130"/>
      <c r="C72" s="1"/>
      <c r="D72" s="30"/>
      <c r="F72" s="61" t="s">
        <v>28</v>
      </c>
      <c r="G72" s="138">
        <f>+G70+G40</f>
        <v>-173480.51</v>
      </c>
      <c r="H72" s="118"/>
    </row>
    <row r="73" spans="1:8" x14ac:dyDescent="0.25">
      <c r="B73" s="111"/>
      <c r="C73" s="8"/>
      <c r="D73" s="14"/>
      <c r="E73" s="27"/>
      <c r="F73" s="27"/>
      <c r="G73" s="82"/>
      <c r="H73" s="123"/>
    </row>
    <row r="74" spans="1:8" x14ac:dyDescent="0.25">
      <c r="B74" s="111"/>
      <c r="C74" s="9"/>
      <c r="D74" s="16"/>
      <c r="F74" s="28" t="s">
        <v>29</v>
      </c>
      <c r="G74" s="79"/>
      <c r="H74" s="118">
        <f>+H22-G72</f>
        <v>250204.89</v>
      </c>
    </row>
    <row r="75" spans="1:8" x14ac:dyDescent="0.25">
      <c r="B75" s="111"/>
      <c r="C75" s="9"/>
      <c r="D75" s="16"/>
      <c r="F75" s="28"/>
      <c r="G75" s="79"/>
      <c r="H75" s="121"/>
    </row>
    <row r="76" spans="1:8" ht="13.8" thickBot="1" x14ac:dyDescent="0.3">
      <c r="B76" s="111"/>
      <c r="C76" s="9"/>
      <c r="D76" s="16"/>
      <c r="F76" s="28" t="s">
        <v>30</v>
      </c>
      <c r="G76" s="79"/>
      <c r="H76" s="131">
        <f>+H18-H74</f>
        <v>0</v>
      </c>
    </row>
    <row r="77" spans="1:8" ht="14.4" thickTop="1" thickBot="1" x14ac:dyDescent="0.3">
      <c r="B77" s="132"/>
      <c r="C77" s="133"/>
      <c r="D77" s="134"/>
      <c r="E77" s="135"/>
      <c r="F77" s="135"/>
      <c r="G77" s="136"/>
      <c r="H77" s="137"/>
    </row>
  </sheetData>
  <mergeCells count="3">
    <mergeCell ref="B3:H3"/>
    <mergeCell ref="B2:H2"/>
    <mergeCell ref="B4:H4"/>
  </mergeCells>
  <conditionalFormatting sqref="D38 D29:D35">
    <cfRule type="duplicateValues" dxfId="19" priority="107"/>
  </conditionalFormatting>
  <conditionalFormatting sqref="D43">
    <cfRule type="duplicateValues" dxfId="18" priority="19"/>
    <cfRule type="duplicateValues" dxfId="17" priority="20"/>
  </conditionalFormatting>
  <conditionalFormatting sqref="D43:D46">
    <cfRule type="duplicateValues" dxfId="16" priority="1"/>
  </conditionalFormatting>
  <conditionalFormatting sqref="D44">
    <cfRule type="duplicateValues" dxfId="15" priority="15"/>
    <cfRule type="duplicateValues" dxfId="14" priority="16"/>
    <cfRule type="duplicateValues" dxfId="13" priority="17"/>
  </conditionalFormatting>
  <conditionalFormatting sqref="D45">
    <cfRule type="duplicateValues" dxfId="12" priority="112"/>
    <cfRule type="duplicateValues" dxfId="11" priority="113"/>
    <cfRule type="duplicateValues" dxfId="10" priority="114"/>
    <cfRule type="duplicateValues" dxfId="9" priority="115"/>
  </conditionalFormatting>
  <conditionalFormatting sqref="D46">
    <cfRule type="duplicateValues" dxfId="8" priority="3"/>
    <cfRule type="duplicateValues" dxfId="7" priority="4"/>
    <cfRule type="duplicateValues" dxfId="6" priority="5"/>
    <cfRule type="duplicateValues" dxfId="5" priority="6"/>
  </conditionalFormatting>
  <conditionalFormatting sqref="D50:D62">
    <cfRule type="duplicateValues" dxfId="4" priority="2"/>
  </conditionalFormatting>
  <conditionalFormatting sqref="D50:D63 D66:D68">
    <cfRule type="duplicateValues" dxfId="3" priority="116"/>
    <cfRule type="duplicateValues" dxfId="2" priority="117"/>
    <cfRule type="duplicateValues" dxfId="1" priority="118"/>
    <cfRule type="duplicateValues" dxfId="0" priority="122"/>
  </conditionalFormatting>
  <printOptions horizontalCentered="1"/>
  <pageMargins left="0.5" right="0.5" top="0.75" bottom="0.75" header="0.3" footer="0.3"/>
  <pageSetup scale="62" orientation="portrait" r:id="rId1"/>
  <ignoredErrors>
    <ignoredError sqref="D43:D46 D50:D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zoomScale="85" zoomScaleNormal="85" workbookViewId="0">
      <pane ySplit="1" topLeftCell="A2" activePane="bottomLeft" state="frozen"/>
      <selection activeCell="I12" sqref="F12:I13"/>
      <selection pane="bottomLeft" activeCell="A2" sqref="A2"/>
    </sheetView>
  </sheetViews>
  <sheetFormatPr defaultColWidth="9.33203125" defaultRowHeight="13.2" x14ac:dyDescent="0.25"/>
  <cols>
    <col min="1" max="1" width="12.6640625" style="34" bestFit="1" customWidth="1"/>
    <col min="2" max="2" width="16.109375" style="74" customWidth="1"/>
    <col min="3" max="3" width="13.33203125" style="34" customWidth="1"/>
    <col min="4" max="4" width="13" style="48" customWidth="1"/>
    <col min="5" max="5" width="158.6640625" style="34" bestFit="1" customWidth="1"/>
    <col min="6" max="16384" width="9.33203125" style="34"/>
  </cols>
  <sheetData>
    <row r="1" spans="1:5" x14ac:dyDescent="0.25">
      <c r="A1" s="94" t="s">
        <v>31</v>
      </c>
      <c r="B1" s="100" t="s">
        <v>32</v>
      </c>
      <c r="C1" s="94" t="s">
        <v>33</v>
      </c>
      <c r="D1" s="95" t="s">
        <v>34</v>
      </c>
      <c r="E1" s="94" t="s">
        <v>35</v>
      </c>
    </row>
    <row r="2" spans="1:5" ht="12.75" customHeight="1" x14ac:dyDescent="0.25">
      <c r="A2" s="53" t="s">
        <v>376</v>
      </c>
      <c r="B2" s="75">
        <v>-422885.36</v>
      </c>
      <c r="C2" s="53" t="s">
        <v>36</v>
      </c>
      <c r="D2" s="34">
        <v>-4</v>
      </c>
      <c r="E2" s="34" t="s">
        <v>8</v>
      </c>
    </row>
    <row r="3" spans="1:5" ht="12.75" customHeight="1" x14ac:dyDescent="0.25">
      <c r="A3" s="53" t="s">
        <v>376</v>
      </c>
      <c r="B3" s="75">
        <v>-2800</v>
      </c>
      <c r="C3" s="53" t="s">
        <v>296</v>
      </c>
      <c r="D3" s="34">
        <v>-3</v>
      </c>
      <c r="E3" s="34" t="s">
        <v>37</v>
      </c>
    </row>
    <row r="4" spans="1:5" ht="12.75" customHeight="1" x14ac:dyDescent="0.25">
      <c r="A4" s="53" t="s">
        <v>376</v>
      </c>
      <c r="B4" s="75">
        <v>-1188.79</v>
      </c>
      <c r="C4" s="53" t="s">
        <v>36</v>
      </c>
      <c r="D4" s="34">
        <v>-3</v>
      </c>
      <c r="E4" s="34" t="s">
        <v>436</v>
      </c>
    </row>
    <row r="5" spans="1:5" ht="12.75" customHeight="1" x14ac:dyDescent="0.25">
      <c r="A5" s="53" t="s">
        <v>376</v>
      </c>
      <c r="B5" s="75">
        <v>-935.41</v>
      </c>
      <c r="C5" s="53" t="s">
        <v>36</v>
      </c>
      <c r="D5" s="34">
        <v>-2</v>
      </c>
      <c r="E5" s="34" t="s">
        <v>437</v>
      </c>
    </row>
    <row r="6" spans="1:5" ht="12.75" customHeight="1" x14ac:dyDescent="0.25">
      <c r="A6" s="53" t="s">
        <v>376</v>
      </c>
      <c r="B6" s="75">
        <v>-263.10000000000002</v>
      </c>
      <c r="C6" s="53" t="s">
        <v>36</v>
      </c>
      <c r="D6" s="34">
        <v>-2</v>
      </c>
      <c r="E6" s="34" t="s">
        <v>438</v>
      </c>
    </row>
    <row r="7" spans="1:5" ht="12.75" customHeight="1" x14ac:dyDescent="0.25">
      <c r="A7" s="53" t="s">
        <v>376</v>
      </c>
      <c r="B7" s="75">
        <v>-173.18</v>
      </c>
      <c r="C7" s="53" t="s">
        <v>36</v>
      </c>
      <c r="D7" s="34">
        <v>-2</v>
      </c>
      <c r="E7" s="34" t="s">
        <v>439</v>
      </c>
    </row>
    <row r="8" spans="1:5" ht="12.75" customHeight="1" x14ac:dyDescent="0.25">
      <c r="A8" s="53" t="s">
        <v>376</v>
      </c>
      <c r="B8" s="75">
        <v>1048</v>
      </c>
      <c r="C8" s="53" t="s">
        <v>36</v>
      </c>
      <c r="D8" s="34">
        <v>3</v>
      </c>
      <c r="E8" s="34" t="s">
        <v>440</v>
      </c>
    </row>
    <row r="9" spans="1:5" ht="12.75" customHeight="1" x14ac:dyDescent="0.25">
      <c r="A9" s="53" t="s">
        <v>376</v>
      </c>
      <c r="B9" s="75">
        <v>829.13</v>
      </c>
      <c r="C9" s="53" t="s">
        <v>36</v>
      </c>
      <c r="D9" s="34">
        <v>2</v>
      </c>
      <c r="E9" s="34" t="s">
        <v>38</v>
      </c>
    </row>
    <row r="10" spans="1:5" ht="12.75" customHeight="1" x14ac:dyDescent="0.25">
      <c r="A10" s="53" t="s">
        <v>376</v>
      </c>
      <c r="B10" s="75">
        <v>706.14</v>
      </c>
      <c r="C10" s="53" t="s">
        <v>36</v>
      </c>
      <c r="D10" s="34">
        <v>3</v>
      </c>
      <c r="E10" s="34" t="s">
        <v>441</v>
      </c>
    </row>
    <row r="11" spans="1:5" ht="12.75" customHeight="1" x14ac:dyDescent="0.25">
      <c r="A11" s="53" t="s">
        <v>376</v>
      </c>
      <c r="B11" s="75">
        <v>425662.57</v>
      </c>
      <c r="C11" s="53" t="s">
        <v>36</v>
      </c>
      <c r="D11" s="34">
        <v>4</v>
      </c>
      <c r="E11" s="34" t="s">
        <v>39</v>
      </c>
    </row>
    <row r="12" spans="1:5" ht="12.75" customHeight="1" x14ac:dyDescent="0.25">
      <c r="A12" s="53" t="s">
        <v>375</v>
      </c>
      <c r="B12" s="75">
        <v>-468764.74</v>
      </c>
      <c r="C12" s="53" t="s">
        <v>36</v>
      </c>
      <c r="D12" s="34">
        <v>-4</v>
      </c>
      <c r="E12" s="34" t="s">
        <v>8</v>
      </c>
    </row>
    <row r="13" spans="1:5" ht="12.75" customHeight="1" x14ac:dyDescent="0.25">
      <c r="A13" s="53" t="s">
        <v>375</v>
      </c>
      <c r="B13" s="75">
        <v>-374.59</v>
      </c>
      <c r="C13" s="53" t="s">
        <v>298</v>
      </c>
      <c r="D13" s="34">
        <v>-3</v>
      </c>
      <c r="E13" s="34" t="s">
        <v>37</v>
      </c>
    </row>
    <row r="14" spans="1:5" ht="12.75" customHeight="1" x14ac:dyDescent="0.25">
      <c r="A14" s="53" t="s">
        <v>375</v>
      </c>
      <c r="B14" s="75">
        <v>24523.759999999998</v>
      </c>
      <c r="C14" s="53" t="s">
        <v>36</v>
      </c>
      <c r="D14" s="34">
        <v>2</v>
      </c>
      <c r="E14" s="34" t="s">
        <v>434</v>
      </c>
    </row>
    <row r="15" spans="1:5" ht="12.75" customHeight="1" x14ac:dyDescent="0.25">
      <c r="A15" s="53" t="s">
        <v>375</v>
      </c>
      <c r="B15" s="75">
        <v>19632.29</v>
      </c>
      <c r="C15" s="53" t="s">
        <v>36</v>
      </c>
      <c r="D15" s="34">
        <v>2</v>
      </c>
      <c r="E15" s="34" t="s">
        <v>235</v>
      </c>
    </row>
    <row r="16" spans="1:5" ht="12.75" customHeight="1" x14ac:dyDescent="0.25">
      <c r="A16" s="53" t="s">
        <v>375</v>
      </c>
      <c r="B16" s="75">
        <v>2097.92</v>
      </c>
      <c r="C16" s="53" t="s">
        <v>36</v>
      </c>
      <c r="D16" s="34">
        <v>3</v>
      </c>
      <c r="E16" s="34" t="s">
        <v>435</v>
      </c>
    </row>
    <row r="17" spans="1:5" ht="12.75" customHeight="1" x14ac:dyDescent="0.25">
      <c r="A17" s="53" t="s">
        <v>375</v>
      </c>
      <c r="B17" s="75">
        <v>422885.36</v>
      </c>
      <c r="C17" s="53" t="s">
        <v>36</v>
      </c>
      <c r="D17" s="34">
        <v>4</v>
      </c>
      <c r="E17" s="34" t="s">
        <v>39</v>
      </c>
    </row>
    <row r="18" spans="1:5" ht="12.75" customHeight="1" x14ac:dyDescent="0.25">
      <c r="A18" s="53" t="s">
        <v>374</v>
      </c>
      <c r="B18" s="75">
        <v>-474581.37</v>
      </c>
      <c r="C18" s="53" t="s">
        <v>36</v>
      </c>
      <c r="D18" s="34">
        <v>-4</v>
      </c>
      <c r="E18" s="34" t="s">
        <v>8</v>
      </c>
    </row>
    <row r="19" spans="1:5" ht="12.75" customHeight="1" x14ac:dyDescent="0.25">
      <c r="A19" s="53" t="s">
        <v>374</v>
      </c>
      <c r="B19" s="75">
        <v>-8604.89</v>
      </c>
      <c r="C19" s="53" t="s">
        <v>36</v>
      </c>
      <c r="D19" s="34">
        <v>-2</v>
      </c>
      <c r="E19" s="34" t="s">
        <v>432</v>
      </c>
    </row>
    <row r="20" spans="1:5" ht="12.75" customHeight="1" x14ac:dyDescent="0.25">
      <c r="A20" s="53" t="s">
        <v>374</v>
      </c>
      <c r="B20" s="75">
        <v>14421.52</v>
      </c>
      <c r="C20" s="53" t="s">
        <v>36</v>
      </c>
      <c r="D20" s="34">
        <v>2</v>
      </c>
      <c r="E20" s="34" t="s">
        <v>433</v>
      </c>
    </row>
    <row r="21" spans="1:5" ht="12.75" customHeight="1" x14ac:dyDescent="0.25">
      <c r="A21" s="53" t="s">
        <v>374</v>
      </c>
      <c r="B21" s="75">
        <v>468764.74</v>
      </c>
      <c r="C21" s="53" t="s">
        <v>36</v>
      </c>
      <c r="D21" s="34">
        <v>4</v>
      </c>
      <c r="E21" s="34" t="s">
        <v>39</v>
      </c>
    </row>
    <row r="22" spans="1:5" ht="12.75" customHeight="1" x14ac:dyDescent="0.25">
      <c r="A22" s="53" t="s">
        <v>373</v>
      </c>
      <c r="B22" s="75">
        <v>-453453.73</v>
      </c>
      <c r="C22" s="53" t="s">
        <v>36</v>
      </c>
      <c r="D22" s="34">
        <v>-4</v>
      </c>
      <c r="E22" s="34" t="s">
        <v>8</v>
      </c>
    </row>
    <row r="23" spans="1:5" ht="12.75" customHeight="1" x14ac:dyDescent="0.25">
      <c r="A23" s="53" t="s">
        <v>373</v>
      </c>
      <c r="B23" s="75">
        <v>-46675.41</v>
      </c>
      <c r="C23" s="53" t="s">
        <v>36</v>
      </c>
      <c r="D23" s="34">
        <v>-3</v>
      </c>
      <c r="E23" s="34" t="s">
        <v>424</v>
      </c>
    </row>
    <row r="24" spans="1:5" ht="12.75" customHeight="1" x14ac:dyDescent="0.25">
      <c r="A24" s="53" t="s">
        <v>373</v>
      </c>
      <c r="B24" s="75">
        <v>-8693.7000000000007</v>
      </c>
      <c r="C24" s="53" t="s">
        <v>36</v>
      </c>
      <c r="D24" s="34">
        <v>-3</v>
      </c>
      <c r="E24" s="34" t="s">
        <v>425</v>
      </c>
    </row>
    <row r="25" spans="1:5" ht="12.75" customHeight="1" x14ac:dyDescent="0.25">
      <c r="A25" s="53" t="s">
        <v>373</v>
      </c>
      <c r="B25" s="75">
        <v>-5010.78</v>
      </c>
      <c r="C25" s="53" t="s">
        <v>36</v>
      </c>
      <c r="D25" s="34">
        <v>-3</v>
      </c>
      <c r="E25" s="34" t="s">
        <v>426</v>
      </c>
    </row>
    <row r="26" spans="1:5" ht="12.75" customHeight="1" x14ac:dyDescent="0.25">
      <c r="A26" s="53" t="s">
        <v>373</v>
      </c>
      <c r="B26" s="75">
        <v>-27.48</v>
      </c>
      <c r="C26" s="53" t="s">
        <v>36</v>
      </c>
      <c r="D26" s="34">
        <v>-2</v>
      </c>
      <c r="E26" s="34" t="s">
        <v>427</v>
      </c>
    </row>
    <row r="27" spans="1:5" ht="12.75" customHeight="1" x14ac:dyDescent="0.25">
      <c r="A27" s="53" t="s">
        <v>373</v>
      </c>
      <c r="B27" s="75">
        <v>27407.65</v>
      </c>
      <c r="C27" s="53" t="s">
        <v>36</v>
      </c>
      <c r="D27" s="34">
        <v>2</v>
      </c>
      <c r="E27" s="34" t="s">
        <v>428</v>
      </c>
    </row>
    <row r="28" spans="1:5" ht="12.75" customHeight="1" x14ac:dyDescent="0.25">
      <c r="A28" s="53" t="s">
        <v>373</v>
      </c>
      <c r="B28" s="75">
        <v>6359.88</v>
      </c>
      <c r="C28" s="53" t="s">
        <v>36</v>
      </c>
      <c r="D28" s="34">
        <v>2</v>
      </c>
      <c r="E28" s="34" t="s">
        <v>429</v>
      </c>
    </row>
    <row r="29" spans="1:5" ht="12.75" customHeight="1" x14ac:dyDescent="0.25">
      <c r="A29" s="53" t="s">
        <v>373</v>
      </c>
      <c r="B29" s="75">
        <v>4460.34</v>
      </c>
      <c r="C29" s="53" t="s">
        <v>36</v>
      </c>
      <c r="D29" s="34">
        <v>2</v>
      </c>
      <c r="E29" s="34" t="s">
        <v>430</v>
      </c>
    </row>
    <row r="30" spans="1:5" ht="12.75" customHeight="1" x14ac:dyDescent="0.25">
      <c r="A30" s="53" t="s">
        <v>373</v>
      </c>
      <c r="B30" s="75">
        <v>1051.8599999999999</v>
      </c>
      <c r="C30" s="53" t="s">
        <v>36</v>
      </c>
      <c r="D30" s="34">
        <v>3</v>
      </c>
      <c r="E30" s="34" t="s">
        <v>431</v>
      </c>
    </row>
    <row r="31" spans="1:5" ht="12.75" customHeight="1" x14ac:dyDescent="0.25">
      <c r="A31" s="53" t="s">
        <v>373</v>
      </c>
      <c r="B31" s="75">
        <v>474581.37</v>
      </c>
      <c r="C31" s="53" t="s">
        <v>36</v>
      </c>
      <c r="D31" s="34">
        <v>4</v>
      </c>
      <c r="E31" s="34" t="s">
        <v>39</v>
      </c>
    </row>
    <row r="32" spans="1:5" ht="12.75" customHeight="1" x14ac:dyDescent="0.25">
      <c r="A32" s="53" t="s">
        <v>372</v>
      </c>
      <c r="B32" s="75">
        <v>-477880.45</v>
      </c>
      <c r="C32" s="53" t="s">
        <v>36</v>
      </c>
      <c r="D32" s="34">
        <v>-4</v>
      </c>
      <c r="E32" s="34" t="s">
        <v>8</v>
      </c>
    </row>
    <row r="33" spans="1:5" ht="12.75" customHeight="1" x14ac:dyDescent="0.25">
      <c r="A33" s="53" t="s">
        <v>372</v>
      </c>
      <c r="B33" s="75">
        <v>-166.51</v>
      </c>
      <c r="C33" s="53" t="s">
        <v>36</v>
      </c>
      <c r="D33" s="34">
        <v>-2</v>
      </c>
      <c r="E33" s="34" t="s">
        <v>418</v>
      </c>
    </row>
    <row r="34" spans="1:5" ht="12.75" customHeight="1" x14ac:dyDescent="0.25">
      <c r="A34" s="53" t="s">
        <v>372</v>
      </c>
      <c r="B34" s="75">
        <v>-64.19</v>
      </c>
      <c r="C34" s="53" t="s">
        <v>36</v>
      </c>
      <c r="D34" s="34">
        <v>-2</v>
      </c>
      <c r="E34" s="34" t="s">
        <v>419</v>
      </c>
    </row>
    <row r="35" spans="1:5" ht="12.75" customHeight="1" x14ac:dyDescent="0.25">
      <c r="A35" s="53" t="s">
        <v>372</v>
      </c>
      <c r="B35" s="75">
        <v>9462.8799999999992</v>
      </c>
      <c r="C35" s="53" t="s">
        <v>36</v>
      </c>
      <c r="D35" s="34">
        <v>2</v>
      </c>
      <c r="E35" s="34" t="s">
        <v>420</v>
      </c>
    </row>
    <row r="36" spans="1:5" ht="12.75" customHeight="1" x14ac:dyDescent="0.25">
      <c r="A36" s="53" t="s">
        <v>372</v>
      </c>
      <c r="B36" s="75">
        <v>6644.88</v>
      </c>
      <c r="C36" s="53" t="s">
        <v>36</v>
      </c>
      <c r="D36" s="34">
        <v>2</v>
      </c>
      <c r="E36" s="34" t="s">
        <v>421</v>
      </c>
    </row>
    <row r="37" spans="1:5" ht="12.75" customHeight="1" x14ac:dyDescent="0.25">
      <c r="A37" s="53" t="s">
        <v>372</v>
      </c>
      <c r="B37" s="75">
        <v>6446.18</v>
      </c>
      <c r="C37" s="53" t="s">
        <v>36</v>
      </c>
      <c r="D37" s="34">
        <v>2</v>
      </c>
      <c r="E37" s="34" t="s">
        <v>422</v>
      </c>
    </row>
    <row r="38" spans="1:5" ht="12.75" customHeight="1" x14ac:dyDescent="0.25">
      <c r="A38" s="53" t="s">
        <v>372</v>
      </c>
      <c r="B38" s="75">
        <v>2103.48</v>
      </c>
      <c r="C38" s="53" t="s">
        <v>36</v>
      </c>
      <c r="D38" s="34">
        <v>2</v>
      </c>
      <c r="E38" s="34" t="s">
        <v>423</v>
      </c>
    </row>
    <row r="39" spans="1:5" ht="12.75" customHeight="1" x14ac:dyDescent="0.25">
      <c r="A39" s="53" t="s">
        <v>372</v>
      </c>
      <c r="B39" s="75">
        <v>453453.73</v>
      </c>
      <c r="C39" s="53" t="s">
        <v>36</v>
      </c>
      <c r="D39" s="34">
        <v>4</v>
      </c>
      <c r="E39" s="34" t="s">
        <v>39</v>
      </c>
    </row>
    <row r="40" spans="1:5" ht="12.75" customHeight="1" x14ac:dyDescent="0.25">
      <c r="A40" s="53" t="s">
        <v>371</v>
      </c>
      <c r="B40" s="75">
        <v>-506384.49</v>
      </c>
      <c r="C40" s="53" t="s">
        <v>36</v>
      </c>
      <c r="D40" s="34">
        <v>-4</v>
      </c>
      <c r="E40" s="34" t="s">
        <v>8</v>
      </c>
    </row>
    <row r="41" spans="1:5" ht="12.75" customHeight="1" x14ac:dyDescent="0.25">
      <c r="A41" s="53" t="s">
        <v>371</v>
      </c>
      <c r="B41" s="75">
        <v>9498.44</v>
      </c>
      <c r="C41" s="53" t="s">
        <v>36</v>
      </c>
      <c r="D41" s="34">
        <v>2</v>
      </c>
      <c r="E41" s="34" t="s">
        <v>413</v>
      </c>
    </row>
    <row r="42" spans="1:5" ht="12.75" customHeight="1" x14ac:dyDescent="0.25">
      <c r="A42" s="53" t="s">
        <v>371</v>
      </c>
      <c r="B42" s="75">
        <v>7444.4</v>
      </c>
      <c r="C42" s="53" t="s">
        <v>36</v>
      </c>
      <c r="D42" s="34">
        <v>2</v>
      </c>
      <c r="E42" s="34" t="s">
        <v>414</v>
      </c>
    </row>
    <row r="43" spans="1:5" ht="12.75" customHeight="1" x14ac:dyDescent="0.25">
      <c r="A43" s="53" t="s">
        <v>371</v>
      </c>
      <c r="B43" s="75">
        <v>7393.76</v>
      </c>
      <c r="C43" s="53" t="s">
        <v>36</v>
      </c>
      <c r="D43" s="34">
        <v>2</v>
      </c>
      <c r="E43" s="34" t="s">
        <v>415</v>
      </c>
    </row>
    <row r="44" spans="1:5" ht="12.75" customHeight="1" x14ac:dyDescent="0.25">
      <c r="A44" s="53" t="s">
        <v>371</v>
      </c>
      <c r="B44" s="75">
        <v>3112.92</v>
      </c>
      <c r="C44" s="53" t="s">
        <v>36</v>
      </c>
      <c r="D44" s="34">
        <v>2</v>
      </c>
      <c r="E44" s="34" t="s">
        <v>416</v>
      </c>
    </row>
    <row r="45" spans="1:5" ht="12.75" customHeight="1" x14ac:dyDescent="0.25">
      <c r="A45" s="53" t="s">
        <v>371</v>
      </c>
      <c r="B45" s="75">
        <v>1054.52</v>
      </c>
      <c r="C45" s="53" t="s">
        <v>36</v>
      </c>
      <c r="D45" s="34">
        <v>2</v>
      </c>
      <c r="E45" s="34" t="s">
        <v>417</v>
      </c>
    </row>
    <row r="46" spans="1:5" ht="12.75" customHeight="1" x14ac:dyDescent="0.25">
      <c r="A46" s="53" t="s">
        <v>371</v>
      </c>
      <c r="B46" s="75">
        <v>477880.45</v>
      </c>
      <c r="C46" s="53" t="s">
        <v>36</v>
      </c>
      <c r="D46" s="34">
        <v>4</v>
      </c>
      <c r="E46" s="34" t="s">
        <v>39</v>
      </c>
    </row>
    <row r="47" spans="1:5" ht="12.75" customHeight="1" x14ac:dyDescent="0.25">
      <c r="A47" s="53" t="s">
        <v>370</v>
      </c>
      <c r="B47" s="75">
        <v>-509531.8</v>
      </c>
      <c r="C47" s="53" t="s">
        <v>36</v>
      </c>
      <c r="D47" s="34">
        <v>-4</v>
      </c>
      <c r="E47" s="34" t="s">
        <v>8</v>
      </c>
    </row>
    <row r="48" spans="1:5" ht="12.75" customHeight="1" x14ac:dyDescent="0.25">
      <c r="A48" s="53" t="s">
        <v>370</v>
      </c>
      <c r="B48" s="75">
        <v>-3157.61</v>
      </c>
      <c r="C48" s="53" t="s">
        <v>36</v>
      </c>
      <c r="D48" s="34">
        <v>-2</v>
      </c>
      <c r="E48" s="34" t="s">
        <v>410</v>
      </c>
    </row>
    <row r="49" spans="1:5" ht="12.75" customHeight="1" x14ac:dyDescent="0.25">
      <c r="A49" s="53" t="s">
        <v>370</v>
      </c>
      <c r="B49" s="75">
        <v>4201.4399999999996</v>
      </c>
      <c r="C49" s="53" t="s">
        <v>36</v>
      </c>
      <c r="D49" s="34">
        <v>2</v>
      </c>
      <c r="E49" s="34" t="s">
        <v>411</v>
      </c>
    </row>
    <row r="50" spans="1:5" ht="12.75" customHeight="1" x14ac:dyDescent="0.25">
      <c r="A50" s="53" t="s">
        <v>370</v>
      </c>
      <c r="B50" s="75">
        <v>2103.48</v>
      </c>
      <c r="C50" s="53" t="s">
        <v>36</v>
      </c>
      <c r="D50" s="34">
        <v>2</v>
      </c>
      <c r="E50" s="34" t="s">
        <v>412</v>
      </c>
    </row>
    <row r="51" spans="1:5" ht="12.75" customHeight="1" x14ac:dyDescent="0.25">
      <c r="A51" s="53" t="s">
        <v>370</v>
      </c>
      <c r="B51" s="75">
        <v>506384.49</v>
      </c>
      <c r="C51" s="53" t="s">
        <v>36</v>
      </c>
      <c r="D51" s="34">
        <v>4</v>
      </c>
      <c r="E51" s="34" t="s">
        <v>39</v>
      </c>
    </row>
    <row r="52" spans="1:5" ht="12.75" customHeight="1" x14ac:dyDescent="0.25">
      <c r="A52" s="53" t="s">
        <v>366</v>
      </c>
      <c r="B52" s="75">
        <v>-518151.98</v>
      </c>
      <c r="C52" s="53" t="s">
        <v>36</v>
      </c>
      <c r="D52" s="34">
        <v>-4</v>
      </c>
      <c r="E52" s="34" t="s">
        <v>8</v>
      </c>
    </row>
    <row r="53" spans="1:5" ht="12.75" customHeight="1" x14ac:dyDescent="0.25">
      <c r="A53" s="53" t="s">
        <v>366</v>
      </c>
      <c r="B53" s="75">
        <v>-680</v>
      </c>
      <c r="C53" s="53" t="s">
        <v>367</v>
      </c>
      <c r="D53" s="34">
        <v>-2</v>
      </c>
      <c r="E53" s="34" t="s">
        <v>37</v>
      </c>
    </row>
    <row r="54" spans="1:5" ht="12.75" customHeight="1" x14ac:dyDescent="0.25">
      <c r="A54" s="53" t="s">
        <v>366</v>
      </c>
      <c r="B54" s="75">
        <v>-78.650000000000006</v>
      </c>
      <c r="C54" s="53" t="s">
        <v>368</v>
      </c>
      <c r="D54" s="34">
        <v>-2</v>
      </c>
      <c r="E54" s="34" t="s">
        <v>37</v>
      </c>
    </row>
    <row r="55" spans="1:5" ht="12.75" customHeight="1" x14ac:dyDescent="0.25">
      <c r="A55" s="53" t="s">
        <v>366</v>
      </c>
      <c r="B55" s="75">
        <v>-38.5</v>
      </c>
      <c r="C55" s="53" t="s">
        <v>369</v>
      </c>
      <c r="D55" s="34">
        <v>-2</v>
      </c>
      <c r="E55" s="34" t="s">
        <v>37</v>
      </c>
    </row>
    <row r="56" spans="1:5" ht="12.75" customHeight="1" x14ac:dyDescent="0.25">
      <c r="A56" s="53" t="s">
        <v>366</v>
      </c>
      <c r="B56" s="75">
        <v>-212.4</v>
      </c>
      <c r="C56" s="53" t="s">
        <v>36</v>
      </c>
      <c r="D56" s="34">
        <v>-2</v>
      </c>
      <c r="E56" s="34" t="s">
        <v>406</v>
      </c>
    </row>
    <row r="57" spans="1:5" ht="12.75" customHeight="1" x14ac:dyDescent="0.25">
      <c r="A57" s="53" t="s">
        <v>366</v>
      </c>
      <c r="B57" s="75">
        <v>5301.48</v>
      </c>
      <c r="C57" s="53" t="s">
        <v>36</v>
      </c>
      <c r="D57" s="34">
        <v>2</v>
      </c>
      <c r="E57" s="34" t="s">
        <v>407</v>
      </c>
    </row>
    <row r="58" spans="1:5" ht="12.75" customHeight="1" x14ac:dyDescent="0.25">
      <c r="A58" s="53" t="s">
        <v>366</v>
      </c>
      <c r="B58" s="75">
        <v>2253.48</v>
      </c>
      <c r="C58" s="53" t="s">
        <v>36</v>
      </c>
      <c r="D58" s="34">
        <v>2</v>
      </c>
      <c r="E58" s="34" t="s">
        <v>408</v>
      </c>
    </row>
    <row r="59" spans="1:5" ht="12.75" customHeight="1" x14ac:dyDescent="0.25">
      <c r="A59" s="53" t="s">
        <v>366</v>
      </c>
      <c r="B59" s="75">
        <v>2074.77</v>
      </c>
      <c r="C59" s="53" t="s">
        <v>36</v>
      </c>
      <c r="D59" s="34">
        <v>2</v>
      </c>
      <c r="E59" s="34" t="s">
        <v>409</v>
      </c>
    </row>
    <row r="60" spans="1:5" ht="12.75" customHeight="1" x14ac:dyDescent="0.25">
      <c r="A60" s="53" t="s">
        <v>366</v>
      </c>
      <c r="B60" s="75">
        <v>509531.8</v>
      </c>
      <c r="C60" s="53" t="s">
        <v>36</v>
      </c>
      <c r="D60" s="34">
        <v>4</v>
      </c>
      <c r="E60" s="34" t="s">
        <v>39</v>
      </c>
    </row>
    <row r="61" spans="1:5" ht="12.75" customHeight="1" x14ac:dyDescent="0.25">
      <c r="A61" s="53" t="s">
        <v>364</v>
      </c>
      <c r="B61" s="75">
        <v>-515043.37</v>
      </c>
      <c r="C61" s="53" t="s">
        <v>36</v>
      </c>
      <c r="D61" s="34">
        <v>-4</v>
      </c>
      <c r="E61" s="34" t="s">
        <v>8</v>
      </c>
    </row>
    <row r="62" spans="1:5" ht="12.75" customHeight="1" x14ac:dyDescent="0.25">
      <c r="A62" s="53" t="s">
        <v>364</v>
      </c>
      <c r="B62" s="75">
        <v>-4225</v>
      </c>
      <c r="C62" s="53" t="s">
        <v>365</v>
      </c>
      <c r="D62" s="34">
        <v>-2</v>
      </c>
      <c r="E62" s="34" t="s">
        <v>37</v>
      </c>
    </row>
    <row r="63" spans="1:5" ht="12.75" customHeight="1" x14ac:dyDescent="0.25">
      <c r="A63" s="53" t="s">
        <v>364</v>
      </c>
      <c r="B63" s="75">
        <v>-28</v>
      </c>
      <c r="C63" s="53" t="s">
        <v>36</v>
      </c>
      <c r="D63" s="34">
        <v>-2</v>
      </c>
      <c r="E63" s="34" t="s">
        <v>404</v>
      </c>
    </row>
    <row r="64" spans="1:5" ht="12.75" customHeight="1" x14ac:dyDescent="0.25">
      <c r="A64" s="53" t="s">
        <v>364</v>
      </c>
      <c r="B64" s="75">
        <v>1144.3900000000001</v>
      </c>
      <c r="C64" s="53" t="s">
        <v>36</v>
      </c>
      <c r="D64" s="34">
        <v>2</v>
      </c>
      <c r="E64" s="34" t="s">
        <v>405</v>
      </c>
    </row>
    <row r="65" spans="1:5" ht="12.75" customHeight="1" x14ac:dyDescent="0.25">
      <c r="A65" s="53" t="s">
        <v>364</v>
      </c>
      <c r="B65" s="75">
        <v>518151.98</v>
      </c>
      <c r="C65" s="53" t="s">
        <v>36</v>
      </c>
      <c r="D65" s="34">
        <v>4</v>
      </c>
      <c r="E65" s="34" t="s">
        <v>39</v>
      </c>
    </row>
    <row r="66" spans="1:5" ht="12.75" customHeight="1" x14ac:dyDescent="0.25">
      <c r="A66" s="53" t="s">
        <v>362</v>
      </c>
      <c r="B66" s="75">
        <v>-511978.7</v>
      </c>
      <c r="C66" s="53" t="s">
        <v>36</v>
      </c>
      <c r="D66" s="34">
        <v>-4</v>
      </c>
      <c r="E66" s="34" t="s">
        <v>8</v>
      </c>
    </row>
    <row r="67" spans="1:5" ht="12.75" customHeight="1" x14ac:dyDescent="0.25">
      <c r="A67" s="53" t="s">
        <v>362</v>
      </c>
      <c r="B67" s="75">
        <v>-535</v>
      </c>
      <c r="C67" s="53" t="s">
        <v>363</v>
      </c>
      <c r="D67" s="34">
        <v>-2</v>
      </c>
      <c r="E67" s="34" t="s">
        <v>37</v>
      </c>
    </row>
    <row r="68" spans="1:5" ht="12.75" customHeight="1" x14ac:dyDescent="0.25">
      <c r="A68" s="53" t="s">
        <v>362</v>
      </c>
      <c r="B68" s="75">
        <v>-2529.67</v>
      </c>
      <c r="C68" s="53" t="s">
        <v>36</v>
      </c>
      <c r="D68" s="34">
        <v>-2</v>
      </c>
      <c r="E68" s="34" t="s">
        <v>403</v>
      </c>
    </row>
    <row r="69" spans="1:5" ht="12.75" customHeight="1" x14ac:dyDescent="0.25">
      <c r="A69" s="53" t="s">
        <v>362</v>
      </c>
      <c r="B69" s="75">
        <v>515043.37</v>
      </c>
      <c r="C69" s="53" t="s">
        <v>36</v>
      </c>
      <c r="D69" s="34">
        <v>4</v>
      </c>
      <c r="E69" s="34" t="s">
        <v>39</v>
      </c>
    </row>
    <row r="70" spans="1:5" ht="12.75" customHeight="1" x14ac:dyDescent="0.25">
      <c r="A70" s="53" t="s">
        <v>360</v>
      </c>
      <c r="B70" s="75">
        <v>-256844.34</v>
      </c>
      <c r="C70" s="53" t="s">
        <v>36</v>
      </c>
      <c r="D70" s="34">
        <v>-4</v>
      </c>
      <c r="E70" s="34" t="s">
        <v>8</v>
      </c>
    </row>
    <row r="71" spans="1:5" ht="12.75" customHeight="1" x14ac:dyDescent="0.25">
      <c r="A71" s="53" t="s">
        <v>360</v>
      </c>
      <c r="B71" s="75">
        <v>-296.64999999999998</v>
      </c>
      <c r="C71" s="53" t="s">
        <v>361</v>
      </c>
      <c r="D71" s="34">
        <v>-2</v>
      </c>
      <c r="E71" s="34" t="s">
        <v>37</v>
      </c>
    </row>
    <row r="72" spans="1:5" ht="12.75" customHeight="1" x14ac:dyDescent="0.25">
      <c r="A72" s="53" t="s">
        <v>360</v>
      </c>
      <c r="B72" s="75">
        <v>-256500</v>
      </c>
      <c r="C72" s="53" t="s">
        <v>36</v>
      </c>
      <c r="D72" s="34">
        <v>-2</v>
      </c>
      <c r="E72" s="34" t="s">
        <v>397</v>
      </c>
    </row>
    <row r="73" spans="1:5" ht="12.75" customHeight="1" x14ac:dyDescent="0.25">
      <c r="A73" s="53" t="s">
        <v>360</v>
      </c>
      <c r="B73" s="75">
        <v>-939.35</v>
      </c>
      <c r="C73" s="53" t="s">
        <v>36</v>
      </c>
      <c r="D73" s="34">
        <v>-2</v>
      </c>
      <c r="E73" s="34" t="s">
        <v>398</v>
      </c>
    </row>
    <row r="74" spans="1:5" ht="12.75" customHeight="1" x14ac:dyDescent="0.25">
      <c r="A74" s="53" t="s">
        <v>360</v>
      </c>
      <c r="B74" s="75">
        <v>-344.9</v>
      </c>
      <c r="C74" s="53" t="s">
        <v>36</v>
      </c>
      <c r="D74" s="34">
        <v>-2</v>
      </c>
      <c r="E74" s="34" t="s">
        <v>399</v>
      </c>
    </row>
    <row r="75" spans="1:5" ht="12.75" customHeight="1" x14ac:dyDescent="0.25">
      <c r="A75" s="53" t="s">
        <v>360</v>
      </c>
      <c r="B75" s="75">
        <v>2478.54</v>
      </c>
      <c r="C75" s="53" t="s">
        <v>36</v>
      </c>
      <c r="D75" s="34">
        <v>2</v>
      </c>
      <c r="E75" s="34" t="s">
        <v>400</v>
      </c>
    </row>
    <row r="76" spans="1:5" ht="12.75" customHeight="1" x14ac:dyDescent="0.25">
      <c r="A76" s="53" t="s">
        <v>360</v>
      </c>
      <c r="B76" s="75">
        <v>240</v>
      </c>
      <c r="C76" s="53" t="s">
        <v>36</v>
      </c>
      <c r="D76" s="34">
        <v>2</v>
      </c>
      <c r="E76" s="34" t="s">
        <v>401</v>
      </c>
    </row>
    <row r="77" spans="1:5" ht="12.75" customHeight="1" x14ac:dyDescent="0.25">
      <c r="A77" s="53" t="s">
        <v>360</v>
      </c>
      <c r="B77" s="75">
        <v>228</v>
      </c>
      <c r="C77" s="53" t="s">
        <v>36</v>
      </c>
      <c r="D77" s="34">
        <v>2</v>
      </c>
      <c r="E77" s="34" t="s">
        <v>402</v>
      </c>
    </row>
    <row r="78" spans="1:5" ht="12.75" customHeight="1" x14ac:dyDescent="0.25">
      <c r="A78" s="53" t="s">
        <v>360</v>
      </c>
      <c r="B78" s="75">
        <v>511978.7</v>
      </c>
      <c r="C78" s="53" t="s">
        <v>36</v>
      </c>
      <c r="D78" s="34">
        <v>4</v>
      </c>
      <c r="E78" s="34" t="s">
        <v>39</v>
      </c>
    </row>
    <row r="79" spans="1:5" ht="12.75" customHeight="1" x14ac:dyDescent="0.25">
      <c r="A79" s="53" t="s">
        <v>359</v>
      </c>
      <c r="B79" s="75">
        <v>-258793.3</v>
      </c>
      <c r="C79" s="53" t="s">
        <v>36</v>
      </c>
      <c r="D79" s="34">
        <v>-4</v>
      </c>
      <c r="E79" s="34" t="s">
        <v>8</v>
      </c>
    </row>
    <row r="80" spans="1:5" ht="12.75" customHeight="1" x14ac:dyDescent="0.25">
      <c r="A80" s="53" t="s">
        <v>359</v>
      </c>
      <c r="B80" s="75">
        <v>1048.96</v>
      </c>
      <c r="C80" s="53" t="s">
        <v>36</v>
      </c>
      <c r="D80" s="34">
        <v>2</v>
      </c>
      <c r="E80" s="34" t="s">
        <v>395</v>
      </c>
    </row>
    <row r="81" spans="1:5" ht="12.75" customHeight="1" x14ac:dyDescent="0.25">
      <c r="A81" s="53" t="s">
        <v>359</v>
      </c>
      <c r="B81" s="75">
        <v>900</v>
      </c>
      <c r="C81" s="53" t="s">
        <v>36</v>
      </c>
      <c r="D81" s="34">
        <v>2</v>
      </c>
      <c r="E81" s="34" t="s">
        <v>396</v>
      </c>
    </row>
    <row r="82" spans="1:5" ht="12.75" customHeight="1" x14ac:dyDescent="0.25">
      <c r="A82" s="53" t="s">
        <v>359</v>
      </c>
      <c r="B82" s="75">
        <v>256844.34</v>
      </c>
      <c r="C82" s="53" t="s">
        <v>36</v>
      </c>
      <c r="D82" s="34">
        <v>4</v>
      </c>
      <c r="E82" s="34" t="s">
        <v>39</v>
      </c>
    </row>
    <row r="83" spans="1:5" ht="12.75" customHeight="1" x14ac:dyDescent="0.25">
      <c r="A83" s="53" t="s">
        <v>358</v>
      </c>
      <c r="B83" s="75">
        <v>-262276.36</v>
      </c>
      <c r="C83" s="53" t="s">
        <v>36</v>
      </c>
      <c r="D83" s="34">
        <v>-4</v>
      </c>
      <c r="E83" s="34" t="s">
        <v>8</v>
      </c>
    </row>
    <row r="84" spans="1:5" ht="12.75" customHeight="1" x14ac:dyDescent="0.25">
      <c r="A84" s="53" t="s">
        <v>358</v>
      </c>
      <c r="B84" s="75">
        <v>-849.53</v>
      </c>
      <c r="C84" s="53" t="s">
        <v>36</v>
      </c>
      <c r="D84" s="34">
        <v>-2</v>
      </c>
      <c r="E84" s="34" t="s">
        <v>392</v>
      </c>
    </row>
    <row r="85" spans="1:5" ht="12.75" customHeight="1" x14ac:dyDescent="0.25">
      <c r="A85" s="53" t="s">
        <v>358</v>
      </c>
      <c r="B85" s="75">
        <v>3208.63</v>
      </c>
      <c r="C85" s="53" t="s">
        <v>36</v>
      </c>
      <c r="D85" s="34">
        <v>2</v>
      </c>
      <c r="E85" s="34" t="s">
        <v>393</v>
      </c>
    </row>
    <row r="86" spans="1:5" ht="12.75" customHeight="1" x14ac:dyDescent="0.25">
      <c r="A86" s="53" t="s">
        <v>358</v>
      </c>
      <c r="B86" s="75">
        <v>1123.96</v>
      </c>
      <c r="C86" s="53" t="s">
        <v>36</v>
      </c>
      <c r="D86" s="34">
        <v>2</v>
      </c>
      <c r="E86" s="34" t="s">
        <v>394</v>
      </c>
    </row>
    <row r="87" spans="1:5" ht="12.75" customHeight="1" x14ac:dyDescent="0.25">
      <c r="A87" s="53" t="s">
        <v>358</v>
      </c>
      <c r="B87" s="76">
        <v>258793.3</v>
      </c>
      <c r="C87" s="53" t="s">
        <v>36</v>
      </c>
      <c r="D87" s="34">
        <v>4</v>
      </c>
      <c r="E87" s="34" t="s">
        <v>39</v>
      </c>
    </row>
    <row r="88" spans="1:5" ht="12.75" customHeight="1" x14ac:dyDescent="0.25">
      <c r="A88" s="53" t="s">
        <v>357</v>
      </c>
      <c r="B88" s="75">
        <v>-262266.06</v>
      </c>
      <c r="C88" s="53" t="s">
        <v>36</v>
      </c>
      <c r="D88" s="34">
        <v>-4</v>
      </c>
      <c r="E88" s="34" t="s">
        <v>8</v>
      </c>
    </row>
    <row r="89" spans="1:5" ht="12.75" customHeight="1" x14ac:dyDescent="0.25">
      <c r="A89" s="53" t="s">
        <v>357</v>
      </c>
      <c r="B89" s="75">
        <v>-10.3</v>
      </c>
      <c r="C89" s="53" t="s">
        <v>36</v>
      </c>
      <c r="D89" s="34">
        <v>-2</v>
      </c>
      <c r="E89" s="34" t="s">
        <v>391</v>
      </c>
    </row>
    <row r="90" spans="1:5" ht="12.75" customHeight="1" x14ac:dyDescent="0.25">
      <c r="A90" s="53" t="s">
        <v>357</v>
      </c>
      <c r="B90" s="75">
        <v>262276.36</v>
      </c>
      <c r="C90" s="53" t="s">
        <v>36</v>
      </c>
      <c r="D90" s="34">
        <v>4</v>
      </c>
      <c r="E90" s="34" t="s">
        <v>39</v>
      </c>
    </row>
    <row r="91" spans="1:5" ht="12.75" customHeight="1" x14ac:dyDescent="0.25">
      <c r="A91" s="53" t="s">
        <v>356</v>
      </c>
      <c r="B91" s="75">
        <v>-261924.32</v>
      </c>
      <c r="C91" s="53" t="s">
        <v>36</v>
      </c>
      <c r="D91" s="34">
        <v>-4</v>
      </c>
      <c r="E91" s="34" t="s">
        <v>8</v>
      </c>
    </row>
    <row r="92" spans="1:5" ht="12.75" customHeight="1" x14ac:dyDescent="0.25">
      <c r="A92" s="53" t="s">
        <v>356</v>
      </c>
      <c r="B92" s="75">
        <v>-341.74</v>
      </c>
      <c r="C92" s="53" t="s">
        <v>36</v>
      </c>
      <c r="D92" s="34">
        <v>-2</v>
      </c>
      <c r="E92" s="34" t="s">
        <v>390</v>
      </c>
    </row>
    <row r="93" spans="1:5" ht="12.75" customHeight="1" x14ac:dyDescent="0.25">
      <c r="A93" s="53" t="s">
        <v>356</v>
      </c>
      <c r="B93" s="75">
        <v>262266.06</v>
      </c>
      <c r="C93" s="53" t="s">
        <v>36</v>
      </c>
      <c r="D93" s="34">
        <v>4</v>
      </c>
      <c r="E93" s="34" t="s">
        <v>39</v>
      </c>
    </row>
    <row r="94" spans="1:5" ht="12.75" customHeight="1" x14ac:dyDescent="0.25">
      <c r="A94" s="53" t="s">
        <v>355</v>
      </c>
      <c r="B94" s="75">
        <v>-247974.32</v>
      </c>
      <c r="C94" s="53" t="s">
        <v>36</v>
      </c>
      <c r="D94" s="34">
        <v>-4</v>
      </c>
      <c r="E94" s="34" t="s">
        <v>8</v>
      </c>
    </row>
    <row r="95" spans="1:5" ht="12.75" customHeight="1" x14ac:dyDescent="0.25">
      <c r="A95" s="53" t="s">
        <v>355</v>
      </c>
      <c r="B95" s="75">
        <v>-13950</v>
      </c>
      <c r="C95" s="53" t="s">
        <v>36</v>
      </c>
      <c r="D95" s="34">
        <v>-2</v>
      </c>
      <c r="E95" s="34" t="s">
        <v>389</v>
      </c>
    </row>
    <row r="96" spans="1:5" ht="12.75" customHeight="1" x14ac:dyDescent="0.25">
      <c r="A96" s="53" t="s">
        <v>355</v>
      </c>
      <c r="B96" s="75">
        <v>261924.32</v>
      </c>
      <c r="C96" s="53" t="s">
        <v>36</v>
      </c>
      <c r="D96" s="34">
        <v>4</v>
      </c>
      <c r="E96" s="34" t="s">
        <v>39</v>
      </c>
    </row>
    <row r="97" spans="1:5" ht="12.75" customHeight="1" x14ac:dyDescent="0.25">
      <c r="A97" s="53" t="s">
        <v>354</v>
      </c>
      <c r="B97" s="75">
        <v>-248150.5</v>
      </c>
      <c r="C97" s="53" t="s">
        <v>36</v>
      </c>
      <c r="D97" s="34">
        <v>-4</v>
      </c>
      <c r="E97" s="34" t="s">
        <v>8</v>
      </c>
    </row>
    <row r="98" spans="1:5" ht="12.75" customHeight="1" x14ac:dyDescent="0.25">
      <c r="A98" s="53" t="s">
        <v>354</v>
      </c>
      <c r="B98" s="75">
        <v>-23.82</v>
      </c>
      <c r="C98" s="53" t="s">
        <v>36</v>
      </c>
      <c r="D98" s="34">
        <v>-2</v>
      </c>
      <c r="E98" s="34" t="s">
        <v>387</v>
      </c>
    </row>
    <row r="99" spans="1:5" ht="12.75" customHeight="1" x14ac:dyDescent="0.25">
      <c r="A99" s="53" t="s">
        <v>354</v>
      </c>
      <c r="B99" s="75">
        <v>200</v>
      </c>
      <c r="C99" s="53" t="s">
        <v>36</v>
      </c>
      <c r="D99" s="34">
        <v>2</v>
      </c>
      <c r="E99" s="34" t="s">
        <v>388</v>
      </c>
    </row>
    <row r="100" spans="1:5" ht="12.75" customHeight="1" x14ac:dyDescent="0.25">
      <c r="A100" s="53" t="s">
        <v>354</v>
      </c>
      <c r="B100" s="75">
        <v>247974.32</v>
      </c>
      <c r="C100" s="53" t="s">
        <v>36</v>
      </c>
      <c r="D100" s="34">
        <v>4</v>
      </c>
      <c r="E100" s="34" t="s">
        <v>39</v>
      </c>
    </row>
    <row r="101" spans="1:5" ht="12.75" customHeight="1" x14ac:dyDescent="0.25">
      <c r="A101" s="53" t="s">
        <v>353</v>
      </c>
      <c r="B101" s="75">
        <v>-249230.5</v>
      </c>
      <c r="C101" s="53" t="s">
        <v>36</v>
      </c>
      <c r="D101" s="34">
        <v>-4</v>
      </c>
      <c r="E101" s="34" t="s">
        <v>8</v>
      </c>
    </row>
    <row r="102" spans="1:5" ht="12.75" customHeight="1" x14ac:dyDescent="0.25">
      <c r="A102" s="53" t="s">
        <v>353</v>
      </c>
      <c r="B102" s="75">
        <v>1040</v>
      </c>
      <c r="C102" s="53" t="s">
        <v>36</v>
      </c>
      <c r="D102" s="34">
        <v>2</v>
      </c>
      <c r="E102" s="34" t="s">
        <v>385</v>
      </c>
    </row>
    <row r="103" spans="1:5" ht="12.75" customHeight="1" x14ac:dyDescent="0.25">
      <c r="A103" s="53" t="s">
        <v>353</v>
      </c>
      <c r="B103" s="75">
        <v>40</v>
      </c>
      <c r="C103" s="53" t="s">
        <v>36</v>
      </c>
      <c r="D103" s="34">
        <v>2</v>
      </c>
      <c r="E103" s="34" t="s">
        <v>386</v>
      </c>
    </row>
    <row r="104" spans="1:5" ht="12.75" customHeight="1" x14ac:dyDescent="0.25">
      <c r="A104" s="53" t="s">
        <v>353</v>
      </c>
      <c r="B104" s="75">
        <v>248150.5</v>
      </c>
      <c r="C104" s="53" t="s">
        <v>36</v>
      </c>
      <c r="D104" s="34">
        <v>4</v>
      </c>
      <c r="E104" s="34" t="s">
        <v>39</v>
      </c>
    </row>
    <row r="105" spans="1:5" ht="12.75" customHeight="1" x14ac:dyDescent="0.25">
      <c r="A105" s="53" t="s">
        <v>352</v>
      </c>
      <c r="B105" s="75">
        <v>-250295.02</v>
      </c>
      <c r="C105" s="53" t="s">
        <v>36</v>
      </c>
      <c r="D105" s="34">
        <v>-4</v>
      </c>
      <c r="E105" s="34" t="s">
        <v>8</v>
      </c>
    </row>
    <row r="106" spans="1:5" ht="12.75" customHeight="1" x14ac:dyDescent="0.25">
      <c r="A106" s="53" t="s">
        <v>352</v>
      </c>
      <c r="B106" s="75">
        <v>1064.52</v>
      </c>
      <c r="C106" s="53" t="s">
        <v>36</v>
      </c>
      <c r="D106" s="34">
        <v>2</v>
      </c>
      <c r="E106" s="34" t="s">
        <v>384</v>
      </c>
    </row>
    <row r="107" spans="1:5" ht="12.75" customHeight="1" x14ac:dyDescent="0.25">
      <c r="A107" s="53" t="s">
        <v>352</v>
      </c>
      <c r="B107" s="75">
        <v>249230.5</v>
      </c>
      <c r="C107" s="53" t="s">
        <v>36</v>
      </c>
      <c r="D107" s="34">
        <v>4</v>
      </c>
      <c r="E107" s="34" t="s">
        <v>39</v>
      </c>
    </row>
    <row r="108" spans="1:5" ht="12.75" customHeight="1" x14ac:dyDescent="0.25">
      <c r="A108" s="53" t="s">
        <v>350</v>
      </c>
      <c r="B108" s="75">
        <v>-250307.42</v>
      </c>
      <c r="C108" s="53" t="s">
        <v>36</v>
      </c>
      <c r="D108" s="34">
        <v>-4</v>
      </c>
      <c r="E108" s="34" t="s">
        <v>8</v>
      </c>
    </row>
    <row r="109" spans="1:5" ht="12.75" customHeight="1" x14ac:dyDescent="0.25">
      <c r="A109" s="53" t="s">
        <v>350</v>
      </c>
      <c r="B109" s="75">
        <v>-241</v>
      </c>
      <c r="C109" s="53" t="s">
        <v>351</v>
      </c>
      <c r="D109" s="34">
        <v>-2</v>
      </c>
      <c r="E109" s="34" t="s">
        <v>37</v>
      </c>
    </row>
    <row r="110" spans="1:5" ht="12.75" customHeight="1" x14ac:dyDescent="0.25">
      <c r="A110" s="53" t="s">
        <v>350</v>
      </c>
      <c r="B110" s="75">
        <v>-9.9</v>
      </c>
      <c r="C110" s="53" t="s">
        <v>36</v>
      </c>
      <c r="D110" s="34">
        <v>-2</v>
      </c>
      <c r="E110" s="34" t="s">
        <v>380</v>
      </c>
    </row>
    <row r="111" spans="1:5" ht="12.75" customHeight="1" x14ac:dyDescent="0.25">
      <c r="A111" s="53" t="s">
        <v>350</v>
      </c>
      <c r="B111" s="75">
        <v>-9.9</v>
      </c>
      <c r="C111" s="53" t="s">
        <v>36</v>
      </c>
      <c r="D111" s="34">
        <v>-2</v>
      </c>
      <c r="E111" s="34" t="s">
        <v>381</v>
      </c>
    </row>
    <row r="112" spans="1:5" ht="12.75" customHeight="1" x14ac:dyDescent="0.25">
      <c r="A112" s="53" t="s">
        <v>350</v>
      </c>
      <c r="B112" s="75">
        <v>-925.76</v>
      </c>
      <c r="C112" s="53" t="s">
        <v>36</v>
      </c>
      <c r="D112" s="34">
        <v>-2</v>
      </c>
      <c r="E112" s="34" t="s">
        <v>382</v>
      </c>
    </row>
    <row r="113" spans="1:5" ht="12.75" customHeight="1" x14ac:dyDescent="0.25">
      <c r="A113" s="53" t="s">
        <v>350</v>
      </c>
      <c r="B113" s="75">
        <v>1198.96</v>
      </c>
      <c r="C113" s="53" t="s">
        <v>36</v>
      </c>
      <c r="D113" s="34">
        <v>2</v>
      </c>
      <c r="E113" s="34" t="s">
        <v>383</v>
      </c>
    </row>
    <row r="114" spans="1:5" ht="12.75" customHeight="1" x14ac:dyDescent="0.25">
      <c r="A114" s="53" t="s">
        <v>350</v>
      </c>
      <c r="B114" s="75">
        <v>250295.02</v>
      </c>
      <c r="C114" s="53" t="s">
        <v>36</v>
      </c>
      <c r="D114" s="34">
        <v>4</v>
      </c>
      <c r="E114" s="34" t="s">
        <v>39</v>
      </c>
    </row>
    <row r="115" spans="1:5" ht="12.75" customHeight="1" x14ac:dyDescent="0.25">
      <c r="A115" s="53" t="s">
        <v>348</v>
      </c>
      <c r="B115" s="75">
        <v>-247867.93</v>
      </c>
      <c r="C115" s="53" t="s">
        <v>36</v>
      </c>
      <c r="D115" s="34">
        <v>-4</v>
      </c>
      <c r="E115" s="34" t="s">
        <v>8</v>
      </c>
    </row>
    <row r="116" spans="1:5" ht="12.75" customHeight="1" x14ac:dyDescent="0.25">
      <c r="A116" s="53" t="s">
        <v>348</v>
      </c>
      <c r="B116" s="75">
        <v>-165.6</v>
      </c>
      <c r="C116" s="53" t="s">
        <v>349</v>
      </c>
      <c r="D116" s="34">
        <v>-2</v>
      </c>
      <c r="E116" s="34" t="s">
        <v>37</v>
      </c>
    </row>
    <row r="117" spans="1:5" ht="12.75" customHeight="1" x14ac:dyDescent="0.25">
      <c r="A117" s="53" t="s">
        <v>348</v>
      </c>
      <c r="B117" s="75">
        <v>-2273.89</v>
      </c>
      <c r="C117" s="53" t="s">
        <v>36</v>
      </c>
      <c r="D117" s="34">
        <v>-2</v>
      </c>
      <c r="E117" s="34" t="s">
        <v>379</v>
      </c>
    </row>
    <row r="118" spans="1:5" ht="12.75" customHeight="1" x14ac:dyDescent="0.25">
      <c r="A118" s="53" t="s">
        <v>348</v>
      </c>
      <c r="B118" s="75">
        <v>250307.42</v>
      </c>
      <c r="C118" s="53" t="s">
        <v>36</v>
      </c>
      <c r="D118" s="34">
        <v>4</v>
      </c>
      <c r="E118" s="34" t="s">
        <v>39</v>
      </c>
    </row>
    <row r="119" spans="1:5" ht="12.75" customHeight="1" x14ac:dyDescent="0.25">
      <c r="A119" s="53" t="s">
        <v>347</v>
      </c>
      <c r="B119" s="75">
        <v>-250204.89</v>
      </c>
      <c r="C119" s="53" t="s">
        <v>36</v>
      </c>
      <c r="D119" s="34">
        <v>-1</v>
      </c>
      <c r="E119" s="34" t="s">
        <v>8</v>
      </c>
    </row>
    <row r="120" spans="1:5" ht="12.75" customHeight="1" x14ac:dyDescent="0.25">
      <c r="A120" s="53" t="s">
        <v>347</v>
      </c>
      <c r="B120" s="75">
        <v>1288</v>
      </c>
      <c r="C120" s="53" t="s">
        <v>36</v>
      </c>
      <c r="D120" s="34">
        <v>2</v>
      </c>
      <c r="E120" s="34" t="s">
        <v>377</v>
      </c>
    </row>
    <row r="121" spans="1:5" ht="12.75" customHeight="1" x14ac:dyDescent="0.25">
      <c r="A121" s="53" t="s">
        <v>347</v>
      </c>
      <c r="B121" s="75">
        <v>1048.96</v>
      </c>
      <c r="C121" s="53" t="s">
        <v>36</v>
      </c>
      <c r="D121" s="34">
        <v>2</v>
      </c>
      <c r="E121" s="34" t="s">
        <v>378</v>
      </c>
    </row>
    <row r="122" spans="1:5" ht="12.75" customHeight="1" x14ac:dyDescent="0.25">
      <c r="A122" s="53" t="s">
        <v>347</v>
      </c>
      <c r="B122" s="75">
        <v>247867.93</v>
      </c>
      <c r="C122" s="53" t="s">
        <v>36</v>
      </c>
      <c r="D122" s="34">
        <v>4</v>
      </c>
      <c r="E122" s="34" t="s">
        <v>39</v>
      </c>
    </row>
    <row r="123" spans="1:5" ht="12.75" customHeight="1" x14ac:dyDescent="0.25">
      <c r="A123" s="53"/>
      <c r="B123" s="47"/>
      <c r="C123" s="53"/>
      <c r="D123" s="34"/>
    </row>
    <row r="124" spans="1:5" ht="12.75" customHeight="1" x14ac:dyDescent="0.25">
      <c r="A124" s="53"/>
      <c r="B124" s="54"/>
      <c r="C124" s="53"/>
      <c r="D124" s="35"/>
      <c r="E124" s="41"/>
    </row>
    <row r="125" spans="1:5" ht="13.5" customHeight="1" thickBot="1" x14ac:dyDescent="0.3">
      <c r="A125" s="51">
        <v>1</v>
      </c>
      <c r="B125" s="55">
        <f>SUMIF(D2:D122,1,B2:B122)</f>
        <v>0</v>
      </c>
      <c r="C125" s="56" t="s">
        <v>40</v>
      </c>
      <c r="E125" s="41"/>
    </row>
    <row r="126" spans="1:5" ht="13.5" customHeight="1" thickTop="1" x14ac:dyDescent="0.25">
      <c r="A126" s="53"/>
      <c r="B126" s="57"/>
      <c r="C126" s="56"/>
      <c r="E126" s="41"/>
    </row>
    <row r="127" spans="1:5" ht="13.5" customHeight="1" thickBot="1" x14ac:dyDescent="0.3">
      <c r="A127" s="51">
        <v>-1</v>
      </c>
      <c r="B127" s="55">
        <f>SUMIF(D2:D122,-1,B2:B122)</f>
        <v>-250204.89</v>
      </c>
      <c r="C127" s="56" t="s">
        <v>41</v>
      </c>
      <c r="D127" s="35"/>
      <c r="E127" s="41"/>
    </row>
    <row r="128" spans="1:5" ht="13.5" customHeight="1" thickTop="1" x14ac:dyDescent="0.25">
      <c r="A128" s="53"/>
      <c r="B128" s="57"/>
      <c r="C128" s="51"/>
      <c r="D128" s="35"/>
      <c r="E128" s="41"/>
    </row>
    <row r="129" spans="1:5" ht="12.75" customHeight="1" x14ac:dyDescent="0.25">
      <c r="A129" s="53"/>
      <c r="B129" s="54"/>
      <c r="C129" s="53"/>
      <c r="E129" s="41"/>
    </row>
    <row r="130" spans="1:5" ht="12.75" customHeight="1" x14ac:dyDescent="0.25">
      <c r="A130" s="53"/>
      <c r="B130" s="54"/>
      <c r="C130" s="53"/>
      <c r="E130" s="41"/>
    </row>
    <row r="131" spans="1:5" ht="12.75" customHeight="1" x14ac:dyDescent="0.25">
      <c r="A131" s="53"/>
      <c r="B131" s="54"/>
      <c r="C131" s="53"/>
      <c r="E131" s="41"/>
    </row>
    <row r="132" spans="1:5" ht="12.75" customHeight="1" x14ac:dyDescent="0.25">
      <c r="A132" s="53"/>
      <c r="B132" s="54"/>
      <c r="C132" s="53"/>
      <c r="E132" s="41"/>
    </row>
    <row r="133" spans="1:5" ht="12.75" customHeight="1" x14ac:dyDescent="0.25">
      <c r="A133" s="53"/>
      <c r="B133" s="54"/>
      <c r="C133" s="53"/>
      <c r="E133" s="41"/>
    </row>
    <row r="134" spans="1:5" ht="12.75" customHeight="1" x14ac:dyDescent="0.25">
      <c r="A134" s="53"/>
      <c r="B134" s="54"/>
      <c r="C134" s="53"/>
      <c r="E134" s="41"/>
    </row>
    <row r="135" spans="1:5" ht="12.75" customHeight="1" x14ac:dyDescent="0.25">
      <c r="A135" s="53"/>
      <c r="B135" s="54"/>
      <c r="C135" s="53"/>
      <c r="E135" s="41"/>
    </row>
    <row r="136" spans="1:5" ht="12.75" customHeight="1" x14ac:dyDescent="0.25">
      <c r="A136" s="53"/>
      <c r="B136" s="54"/>
      <c r="C136" s="53"/>
      <c r="E136" s="41"/>
    </row>
    <row r="137" spans="1:5" ht="12.75" customHeight="1" x14ac:dyDescent="0.25">
      <c r="A137" s="53"/>
      <c r="B137" s="54"/>
      <c r="C137" s="53"/>
      <c r="E137" s="41"/>
    </row>
  </sheetData>
  <sortState xmlns:xlrd2="http://schemas.microsoft.com/office/spreadsheetml/2017/richdata2" ref="A2:E122">
    <sortCondition ref="A2:A122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1"/>
  <sheetViews>
    <sheetView zoomScale="85" zoomScaleNormal="85" workbookViewId="0">
      <pane ySplit="5" topLeftCell="A6" activePane="bottomLeft" state="frozen"/>
      <selection activeCell="I12" sqref="F12:I13"/>
      <selection pane="bottomLeft" activeCell="A6" sqref="A6"/>
    </sheetView>
  </sheetViews>
  <sheetFormatPr defaultColWidth="9.33203125" defaultRowHeight="13.2" x14ac:dyDescent="0.25"/>
  <cols>
    <col min="1" max="1" width="17.6640625" style="34" bestFit="1" customWidth="1"/>
    <col min="2" max="2" width="12.44140625" style="34" bestFit="1" customWidth="1"/>
    <col min="3" max="3" width="10.109375" style="34" customWidth="1"/>
    <col min="4" max="4" width="14.6640625" style="34" customWidth="1"/>
    <col min="5" max="5" width="39.44140625" style="34" customWidth="1"/>
    <col min="6" max="6" width="74.77734375" style="34" customWidth="1"/>
    <col min="7" max="7" width="15.77734375" style="76" bestFit="1" customWidth="1"/>
    <col min="8" max="8" width="16.6640625" style="76" bestFit="1" customWidth="1"/>
    <col min="9" max="9" width="15.77734375" style="76" bestFit="1" customWidth="1"/>
    <col min="10" max="10" width="13.6640625" style="194" customWidth="1"/>
    <col min="11" max="11" width="10.44140625" style="201" customWidth="1"/>
    <col min="12" max="16384" width="9.33203125" style="34"/>
  </cols>
  <sheetData>
    <row r="1" spans="1:11" ht="17.399999999999999" x14ac:dyDescent="0.25">
      <c r="B1" s="231" t="s">
        <v>42</v>
      </c>
      <c r="C1" s="231"/>
      <c r="D1" s="231"/>
      <c r="E1" s="231"/>
      <c r="F1" s="231"/>
      <c r="G1" s="231"/>
      <c r="H1" s="231"/>
      <c r="I1" s="106"/>
      <c r="J1" s="188"/>
      <c r="K1" s="196"/>
    </row>
    <row r="2" spans="1:11" ht="12" customHeight="1" x14ac:dyDescent="0.25">
      <c r="B2" s="232" t="s">
        <v>43</v>
      </c>
      <c r="C2" s="232"/>
      <c r="D2" s="232"/>
      <c r="E2" s="232"/>
      <c r="F2" s="232"/>
      <c r="G2" s="232"/>
      <c r="H2" s="232"/>
      <c r="I2" s="232"/>
      <c r="J2" s="189"/>
      <c r="K2" s="197"/>
    </row>
    <row r="3" spans="1:11" ht="14.25" customHeight="1" x14ac:dyDescent="0.25">
      <c r="B3" s="233" t="s">
        <v>1021</v>
      </c>
      <c r="C3" s="233"/>
      <c r="D3" s="233"/>
      <c r="E3" s="233"/>
      <c r="F3" s="233"/>
      <c r="G3" s="233"/>
      <c r="H3" s="233"/>
      <c r="I3" s="233"/>
      <c r="J3" s="190"/>
      <c r="K3" s="198"/>
    </row>
    <row r="4" spans="1:11" s="33" customFormat="1" x14ac:dyDescent="0.25">
      <c r="A4" s="101" t="s">
        <v>44</v>
      </c>
      <c r="C4" s="101"/>
      <c r="D4" s="101"/>
      <c r="E4" s="101"/>
      <c r="F4" s="101"/>
      <c r="G4" s="73"/>
      <c r="H4" s="73"/>
      <c r="I4" s="102">
        <v>256823.2</v>
      </c>
      <c r="J4" s="191"/>
      <c r="K4" s="199"/>
    </row>
    <row r="5" spans="1:11" x14ac:dyDescent="0.25">
      <c r="A5" s="98" t="s">
        <v>45</v>
      </c>
      <c r="B5" s="99" t="s">
        <v>31</v>
      </c>
      <c r="C5" s="99" t="s">
        <v>46</v>
      </c>
      <c r="D5" s="99" t="s">
        <v>47</v>
      </c>
      <c r="E5" s="99" t="s">
        <v>35</v>
      </c>
      <c r="F5" s="99" t="s">
        <v>48</v>
      </c>
      <c r="G5" s="105" t="s">
        <v>49</v>
      </c>
      <c r="H5" s="105" t="s">
        <v>50</v>
      </c>
      <c r="I5" s="105" t="s">
        <v>51</v>
      </c>
      <c r="J5" s="195" t="s">
        <v>52</v>
      </c>
      <c r="K5" s="200" t="s">
        <v>34</v>
      </c>
    </row>
    <row r="6" spans="1:11" ht="12.75" customHeight="1" x14ac:dyDescent="0.25">
      <c r="A6" s="34" t="s">
        <v>53</v>
      </c>
      <c r="B6" s="89">
        <v>46112</v>
      </c>
      <c r="C6" s="46" t="s">
        <v>442</v>
      </c>
      <c r="D6" s="46" t="s">
        <v>443</v>
      </c>
      <c r="E6" s="46" t="s">
        <v>909</v>
      </c>
      <c r="F6" s="46" t="s">
        <v>17</v>
      </c>
      <c r="G6" s="76">
        <v>75</v>
      </c>
      <c r="H6" s="218"/>
      <c r="I6" s="220">
        <v>256898.2</v>
      </c>
      <c r="J6" s="217" t="s">
        <v>372</v>
      </c>
      <c r="K6" s="214">
        <v>2</v>
      </c>
    </row>
    <row r="7" spans="1:11" ht="12.75" customHeight="1" x14ac:dyDescent="0.25">
      <c r="A7" s="34" t="s">
        <v>53</v>
      </c>
      <c r="B7" s="89">
        <v>46112</v>
      </c>
      <c r="C7" s="46" t="s">
        <v>442</v>
      </c>
      <c r="D7" s="46" t="s">
        <v>443</v>
      </c>
      <c r="E7" s="46" t="s">
        <v>909</v>
      </c>
      <c r="F7" s="46" t="s">
        <v>17</v>
      </c>
      <c r="G7" s="76">
        <v>75</v>
      </c>
      <c r="H7" s="218"/>
      <c r="I7" s="220">
        <v>256973.2</v>
      </c>
      <c r="J7" s="217" t="s">
        <v>372</v>
      </c>
      <c r="K7" s="214">
        <v>2</v>
      </c>
    </row>
    <row r="8" spans="1:11" ht="12.75" customHeight="1" x14ac:dyDescent="0.25">
      <c r="A8" s="34" t="s">
        <v>53</v>
      </c>
      <c r="B8" s="89">
        <v>46112</v>
      </c>
      <c r="C8" s="46" t="s">
        <v>442</v>
      </c>
      <c r="D8" s="46" t="s">
        <v>443</v>
      </c>
      <c r="E8" s="46" t="s">
        <v>909</v>
      </c>
      <c r="F8" s="46" t="s">
        <v>17</v>
      </c>
      <c r="G8" s="76">
        <v>75</v>
      </c>
      <c r="H8" s="218"/>
      <c r="I8" s="220">
        <v>257048.2</v>
      </c>
      <c r="J8" s="217" t="s">
        <v>372</v>
      </c>
      <c r="K8" s="214">
        <v>2</v>
      </c>
    </row>
    <row r="9" spans="1:11" ht="12.75" customHeight="1" x14ac:dyDescent="0.25">
      <c r="A9" s="34" t="s">
        <v>53</v>
      </c>
      <c r="B9" s="89">
        <v>46112</v>
      </c>
      <c r="C9" s="46" t="s">
        <v>442</v>
      </c>
      <c r="D9" s="46" t="s">
        <v>443</v>
      </c>
      <c r="E9" s="46" t="s">
        <v>909</v>
      </c>
      <c r="F9" s="46" t="s">
        <v>17</v>
      </c>
      <c r="G9" s="76">
        <v>75</v>
      </c>
      <c r="H9" s="218"/>
      <c r="I9" s="220">
        <v>257123.20000000001</v>
      </c>
      <c r="J9" s="217" t="s">
        <v>372</v>
      </c>
      <c r="K9" s="214">
        <v>2</v>
      </c>
    </row>
    <row r="10" spans="1:11" ht="12.75" customHeight="1" x14ac:dyDescent="0.25">
      <c r="A10" s="34" t="s">
        <v>53</v>
      </c>
      <c r="B10" s="89">
        <v>46112</v>
      </c>
      <c r="C10" s="46" t="s">
        <v>442</v>
      </c>
      <c r="D10" s="46" t="s">
        <v>443</v>
      </c>
      <c r="E10" s="46" t="s">
        <v>909</v>
      </c>
      <c r="F10" s="46" t="s">
        <v>17</v>
      </c>
      <c r="G10" s="76">
        <v>48.96</v>
      </c>
      <c r="H10" s="218"/>
      <c r="I10" s="220">
        <v>257172.16</v>
      </c>
      <c r="J10" s="217" t="s">
        <v>372</v>
      </c>
      <c r="K10" s="214">
        <v>2</v>
      </c>
    </row>
    <row r="11" spans="1:11" ht="12.75" customHeight="1" x14ac:dyDescent="0.25">
      <c r="A11" s="34" t="s">
        <v>53</v>
      </c>
      <c r="B11" s="89">
        <v>46112</v>
      </c>
      <c r="C11" s="46" t="s">
        <v>442</v>
      </c>
      <c r="D11" s="46" t="s">
        <v>443</v>
      </c>
      <c r="E11" s="46" t="s">
        <v>909</v>
      </c>
      <c r="F11" s="46" t="s">
        <v>17</v>
      </c>
      <c r="G11" s="76">
        <v>1000</v>
      </c>
      <c r="H11" s="218"/>
      <c r="I11" s="220">
        <v>258172.16</v>
      </c>
      <c r="J11" s="217" t="s">
        <v>372</v>
      </c>
      <c r="K11" s="214">
        <v>2</v>
      </c>
    </row>
    <row r="12" spans="1:11" ht="12.75" customHeight="1" x14ac:dyDescent="0.25">
      <c r="A12" s="34" t="s">
        <v>53</v>
      </c>
      <c r="B12" s="89">
        <v>46112</v>
      </c>
      <c r="C12" s="46" t="s">
        <v>442</v>
      </c>
      <c r="D12" s="46" t="s">
        <v>443</v>
      </c>
      <c r="E12" s="46" t="s">
        <v>909</v>
      </c>
      <c r="F12" s="46" t="s">
        <v>17</v>
      </c>
      <c r="G12" s="76">
        <v>48.96</v>
      </c>
      <c r="H12" s="218"/>
      <c r="I12" s="220">
        <v>258221.12</v>
      </c>
      <c r="J12" s="217" t="s">
        <v>372</v>
      </c>
      <c r="K12" s="214">
        <v>2</v>
      </c>
    </row>
    <row r="13" spans="1:11" ht="12.75" customHeight="1" x14ac:dyDescent="0.25">
      <c r="A13" s="34" t="s">
        <v>53</v>
      </c>
      <c r="B13" s="89">
        <v>46112</v>
      </c>
      <c r="C13" s="46" t="s">
        <v>442</v>
      </c>
      <c r="D13" s="46" t="s">
        <v>443</v>
      </c>
      <c r="E13" s="46" t="s">
        <v>909</v>
      </c>
      <c r="F13" s="46" t="s">
        <v>17</v>
      </c>
      <c r="G13" s="76">
        <v>1000</v>
      </c>
      <c r="H13" s="218"/>
      <c r="I13" s="220">
        <v>259221.12</v>
      </c>
      <c r="J13" s="217" t="s">
        <v>372</v>
      </c>
      <c r="K13" s="214">
        <v>2</v>
      </c>
    </row>
    <row r="14" spans="1:11" ht="12.75" customHeight="1" x14ac:dyDescent="0.25">
      <c r="A14" s="34" t="s">
        <v>68</v>
      </c>
      <c r="B14" s="89">
        <v>46113</v>
      </c>
      <c r="C14" s="46" t="s">
        <v>444</v>
      </c>
      <c r="D14" s="46" t="s">
        <v>367</v>
      </c>
      <c r="E14" s="46" t="s">
        <v>910</v>
      </c>
      <c r="F14" s="46" t="s">
        <v>932</v>
      </c>
      <c r="H14" s="218">
        <v>-680</v>
      </c>
      <c r="I14" s="220">
        <v>258541.12</v>
      </c>
      <c r="J14" s="217" t="s">
        <v>366</v>
      </c>
      <c r="K14" s="214">
        <v>-2</v>
      </c>
    </row>
    <row r="15" spans="1:11" ht="12.75" customHeight="1" x14ac:dyDescent="0.25">
      <c r="A15" s="34" t="s">
        <v>53</v>
      </c>
      <c r="B15" s="89">
        <v>46113</v>
      </c>
      <c r="C15" s="46" t="s">
        <v>445</v>
      </c>
      <c r="D15" s="46" t="s">
        <v>446</v>
      </c>
      <c r="E15" s="46" t="s">
        <v>254</v>
      </c>
      <c r="F15" s="46" t="s">
        <v>267</v>
      </c>
      <c r="H15" s="218">
        <v>-131.55000000000001</v>
      </c>
      <c r="I15" s="220">
        <v>258409.57</v>
      </c>
      <c r="J15" s="217" t="s">
        <v>376</v>
      </c>
      <c r="K15" s="214">
        <v>-2</v>
      </c>
    </row>
    <row r="16" spans="1:11" ht="12.75" customHeight="1" x14ac:dyDescent="0.25">
      <c r="A16" s="34" t="s">
        <v>68</v>
      </c>
      <c r="B16" s="89">
        <v>46113</v>
      </c>
      <c r="C16" s="46" t="s">
        <v>445</v>
      </c>
      <c r="D16" s="46" t="s">
        <v>446</v>
      </c>
      <c r="E16" s="46" t="s">
        <v>254</v>
      </c>
      <c r="F16" s="46" t="s">
        <v>267</v>
      </c>
      <c r="H16" s="218">
        <v>-131.55000000000001</v>
      </c>
      <c r="I16" s="220">
        <v>258278.02</v>
      </c>
      <c r="J16" s="217" t="s">
        <v>376</v>
      </c>
      <c r="K16" s="214">
        <v>-2</v>
      </c>
    </row>
    <row r="17" spans="1:11" ht="12.75" customHeight="1" x14ac:dyDescent="0.25">
      <c r="A17" s="34" t="s">
        <v>53</v>
      </c>
      <c r="B17" s="89">
        <v>46113</v>
      </c>
      <c r="C17" s="46" t="s">
        <v>447</v>
      </c>
      <c r="D17" s="46" t="s">
        <v>448</v>
      </c>
      <c r="E17" s="46" t="s">
        <v>254</v>
      </c>
      <c r="F17" s="46" t="s">
        <v>933</v>
      </c>
      <c r="H17" s="218">
        <v>-86.59</v>
      </c>
      <c r="I17" s="220">
        <v>258191.43</v>
      </c>
      <c r="J17" s="217" t="s">
        <v>376</v>
      </c>
      <c r="K17" s="214">
        <v>-2</v>
      </c>
    </row>
    <row r="18" spans="1:11" ht="12.75" customHeight="1" x14ac:dyDescent="0.25">
      <c r="A18" s="34" t="s">
        <v>68</v>
      </c>
      <c r="B18" s="89">
        <v>46113</v>
      </c>
      <c r="C18" s="46" t="s">
        <v>447</v>
      </c>
      <c r="D18" s="46" t="s">
        <v>448</v>
      </c>
      <c r="E18" s="46" t="s">
        <v>254</v>
      </c>
      <c r="F18" s="46" t="s">
        <v>933</v>
      </c>
      <c r="H18" s="218">
        <v>-86.59</v>
      </c>
      <c r="I18" s="220">
        <v>258104.84</v>
      </c>
      <c r="J18" s="217" t="s">
        <v>376</v>
      </c>
      <c r="K18" s="214">
        <v>-2</v>
      </c>
    </row>
    <row r="19" spans="1:11" ht="12.75" customHeight="1" x14ac:dyDescent="0.25">
      <c r="A19" s="34" t="s">
        <v>53</v>
      </c>
      <c r="B19" s="89">
        <v>46113</v>
      </c>
      <c r="C19" s="46" t="s">
        <v>449</v>
      </c>
      <c r="D19" s="46" t="s">
        <v>450</v>
      </c>
      <c r="E19" s="46" t="s">
        <v>187</v>
      </c>
      <c r="F19" s="46" t="s">
        <v>934</v>
      </c>
      <c r="H19" s="218">
        <v>-15.95</v>
      </c>
      <c r="I19" s="220">
        <v>258088.89</v>
      </c>
      <c r="J19" s="217" t="s">
        <v>376</v>
      </c>
      <c r="K19" s="214">
        <v>-2</v>
      </c>
    </row>
    <row r="20" spans="1:11" ht="12.75" customHeight="1" x14ac:dyDescent="0.25">
      <c r="A20" s="34" t="s">
        <v>53</v>
      </c>
      <c r="B20" s="89">
        <v>46113</v>
      </c>
      <c r="C20" s="46" t="s">
        <v>449</v>
      </c>
      <c r="D20" s="46" t="s">
        <v>450</v>
      </c>
      <c r="E20" s="46" t="s">
        <v>187</v>
      </c>
      <c r="F20" s="46" t="s">
        <v>934</v>
      </c>
      <c r="H20" s="218">
        <v>-55.82</v>
      </c>
      <c r="I20" s="220">
        <v>258033.07</v>
      </c>
      <c r="J20" s="217" t="s">
        <v>376</v>
      </c>
      <c r="K20" s="214">
        <v>-2</v>
      </c>
    </row>
    <row r="21" spans="1:11" ht="12.75" customHeight="1" x14ac:dyDescent="0.25">
      <c r="A21" s="34" t="s">
        <v>53</v>
      </c>
      <c r="B21" s="89">
        <v>46113</v>
      </c>
      <c r="C21" s="46" t="s">
        <v>449</v>
      </c>
      <c r="D21" s="46" t="s">
        <v>450</v>
      </c>
      <c r="E21" s="46" t="s">
        <v>187</v>
      </c>
      <c r="F21" s="46" t="s">
        <v>934</v>
      </c>
      <c r="H21" s="218">
        <v>-387.69</v>
      </c>
      <c r="I21" s="220">
        <v>257645.38</v>
      </c>
      <c r="J21" s="217" t="s">
        <v>376</v>
      </c>
      <c r="K21" s="214">
        <v>-2</v>
      </c>
    </row>
    <row r="22" spans="1:11" ht="12.75" customHeight="1" x14ac:dyDescent="0.25">
      <c r="A22" s="34" t="s">
        <v>53</v>
      </c>
      <c r="B22" s="89">
        <v>46113</v>
      </c>
      <c r="C22" s="46" t="s">
        <v>449</v>
      </c>
      <c r="D22" s="46" t="s">
        <v>450</v>
      </c>
      <c r="E22" s="46" t="s">
        <v>187</v>
      </c>
      <c r="F22" s="46" t="s">
        <v>934</v>
      </c>
      <c r="H22" s="218">
        <v>-32.18</v>
      </c>
      <c r="I22" s="220">
        <v>257613.2</v>
      </c>
      <c r="J22" s="217" t="s">
        <v>376</v>
      </c>
      <c r="K22" s="214">
        <v>-2</v>
      </c>
    </row>
    <row r="23" spans="1:11" ht="12.75" customHeight="1" x14ac:dyDescent="0.25">
      <c r="A23" s="34" t="s">
        <v>53</v>
      </c>
      <c r="B23" s="89">
        <v>46113</v>
      </c>
      <c r="C23" s="46" t="s">
        <v>449</v>
      </c>
      <c r="D23" s="46" t="s">
        <v>450</v>
      </c>
      <c r="E23" s="46" t="s">
        <v>187</v>
      </c>
      <c r="F23" s="46" t="s">
        <v>934</v>
      </c>
      <c r="G23" s="76">
        <v>20.55</v>
      </c>
      <c r="H23" s="218"/>
      <c r="I23" s="220">
        <v>257633.75</v>
      </c>
      <c r="J23" s="217" t="s">
        <v>376</v>
      </c>
      <c r="K23" s="214">
        <v>-2</v>
      </c>
    </row>
    <row r="24" spans="1:11" ht="12.75" customHeight="1" x14ac:dyDescent="0.25">
      <c r="A24" s="34" t="s">
        <v>53</v>
      </c>
      <c r="B24" s="89">
        <v>46113</v>
      </c>
      <c r="C24" s="46" t="s">
        <v>449</v>
      </c>
      <c r="D24" s="46" t="s">
        <v>450</v>
      </c>
      <c r="E24" s="46" t="s">
        <v>187</v>
      </c>
      <c r="F24" s="46" t="s">
        <v>934</v>
      </c>
      <c r="G24" s="76">
        <v>2.04</v>
      </c>
      <c r="H24" s="218"/>
      <c r="I24" s="220">
        <v>257635.79</v>
      </c>
      <c r="J24" s="217" t="s">
        <v>376</v>
      </c>
      <c r="K24" s="214">
        <v>-2</v>
      </c>
    </row>
    <row r="25" spans="1:11" ht="12.75" customHeight="1" x14ac:dyDescent="0.25">
      <c r="A25" s="34" t="s">
        <v>53</v>
      </c>
      <c r="B25" s="89">
        <v>46113</v>
      </c>
      <c r="C25" s="46" t="s">
        <v>449</v>
      </c>
      <c r="D25" s="46" t="s">
        <v>450</v>
      </c>
      <c r="E25" s="46" t="s">
        <v>187</v>
      </c>
      <c r="F25" s="46" t="s">
        <v>934</v>
      </c>
      <c r="G25" s="76">
        <v>2.19</v>
      </c>
      <c r="H25" s="218"/>
      <c r="I25" s="220">
        <v>257637.98</v>
      </c>
      <c r="J25" s="217" t="s">
        <v>376</v>
      </c>
      <c r="K25" s="214">
        <v>-2</v>
      </c>
    </row>
    <row r="26" spans="1:11" ht="12.75" customHeight="1" x14ac:dyDescent="0.25">
      <c r="A26" s="34" t="s">
        <v>53</v>
      </c>
      <c r="B26" s="89">
        <v>46113</v>
      </c>
      <c r="C26" s="46" t="s">
        <v>449</v>
      </c>
      <c r="D26" s="46" t="s">
        <v>450</v>
      </c>
      <c r="E26" s="46" t="s">
        <v>187</v>
      </c>
      <c r="F26" s="46" t="s">
        <v>934</v>
      </c>
      <c r="G26" s="76">
        <v>0.15</v>
      </c>
      <c r="H26" s="218"/>
      <c r="I26" s="220">
        <v>257638.13</v>
      </c>
      <c r="J26" s="217" t="s">
        <v>376</v>
      </c>
      <c r="K26" s="214">
        <v>-2</v>
      </c>
    </row>
    <row r="27" spans="1:11" ht="12.75" customHeight="1" x14ac:dyDescent="0.25">
      <c r="A27" s="34" t="s">
        <v>53</v>
      </c>
      <c r="B27" s="89">
        <v>46113</v>
      </c>
      <c r="C27" s="46" t="s">
        <v>449</v>
      </c>
      <c r="D27" s="46" t="s">
        <v>450</v>
      </c>
      <c r="E27" s="46" t="s">
        <v>187</v>
      </c>
      <c r="F27" s="46" t="s">
        <v>935</v>
      </c>
      <c r="H27" s="218">
        <v>-4.21</v>
      </c>
      <c r="I27" s="220">
        <v>257633.92000000001</v>
      </c>
      <c r="J27" s="217" t="s">
        <v>376</v>
      </c>
      <c r="K27" s="214">
        <v>-2</v>
      </c>
    </row>
    <row r="28" spans="1:11" ht="12.75" customHeight="1" x14ac:dyDescent="0.25">
      <c r="A28" s="34" t="s">
        <v>53</v>
      </c>
      <c r="B28" s="89">
        <v>46113</v>
      </c>
      <c r="C28" s="46" t="s">
        <v>449</v>
      </c>
      <c r="D28" s="46" t="s">
        <v>450</v>
      </c>
      <c r="E28" s="46" t="s">
        <v>187</v>
      </c>
      <c r="F28" s="46" t="s">
        <v>935</v>
      </c>
      <c r="H28" s="218">
        <v>-10.92</v>
      </c>
      <c r="I28" s="220">
        <v>257623</v>
      </c>
      <c r="J28" s="217" t="s">
        <v>376</v>
      </c>
      <c r="K28" s="214">
        <v>-2</v>
      </c>
    </row>
    <row r="29" spans="1:11" ht="12.75" customHeight="1" x14ac:dyDescent="0.25">
      <c r="A29" s="34" t="s">
        <v>53</v>
      </c>
      <c r="B29" s="89">
        <v>46113</v>
      </c>
      <c r="C29" s="46" t="s">
        <v>449</v>
      </c>
      <c r="D29" s="46" t="s">
        <v>450</v>
      </c>
      <c r="E29" s="46" t="s">
        <v>187</v>
      </c>
      <c r="F29" s="46" t="s">
        <v>935</v>
      </c>
      <c r="H29" s="218">
        <v>-0.84</v>
      </c>
      <c r="I29" s="220">
        <v>257622.16</v>
      </c>
      <c r="J29" s="217" t="s">
        <v>376</v>
      </c>
      <c r="K29" s="214">
        <v>-2</v>
      </c>
    </row>
    <row r="30" spans="1:11" ht="12.75" customHeight="1" x14ac:dyDescent="0.25">
      <c r="A30" s="34" t="s">
        <v>68</v>
      </c>
      <c r="B30" s="89">
        <v>46113</v>
      </c>
      <c r="C30" s="46" t="s">
        <v>449</v>
      </c>
      <c r="D30" s="46" t="s">
        <v>450</v>
      </c>
      <c r="E30" s="46" t="s">
        <v>187</v>
      </c>
      <c r="F30" s="46" t="s">
        <v>934</v>
      </c>
      <c r="H30" s="218">
        <v>-4.18</v>
      </c>
      <c r="I30" s="220">
        <v>257617.98</v>
      </c>
      <c r="J30" s="217" t="s">
        <v>376</v>
      </c>
      <c r="K30" s="214">
        <v>-2</v>
      </c>
    </row>
    <row r="31" spans="1:11" ht="12.75" customHeight="1" x14ac:dyDescent="0.25">
      <c r="A31" s="34" t="s">
        <v>68</v>
      </c>
      <c r="B31" s="89">
        <v>46113</v>
      </c>
      <c r="C31" s="46" t="s">
        <v>449</v>
      </c>
      <c r="D31" s="46" t="s">
        <v>450</v>
      </c>
      <c r="E31" s="46" t="s">
        <v>187</v>
      </c>
      <c r="F31" s="46" t="s">
        <v>934</v>
      </c>
      <c r="H31" s="218">
        <v>-53.6</v>
      </c>
      <c r="I31" s="220">
        <v>257564.38</v>
      </c>
      <c r="J31" s="217" t="s">
        <v>376</v>
      </c>
      <c r="K31" s="214">
        <v>-2</v>
      </c>
    </row>
    <row r="32" spans="1:11" ht="12.75" customHeight="1" x14ac:dyDescent="0.25">
      <c r="A32" s="34" t="s">
        <v>68</v>
      </c>
      <c r="B32" s="89">
        <v>46113</v>
      </c>
      <c r="C32" s="46" t="s">
        <v>449</v>
      </c>
      <c r="D32" s="46" t="s">
        <v>450</v>
      </c>
      <c r="E32" s="46" t="s">
        <v>187</v>
      </c>
      <c r="F32" s="46" t="s">
        <v>934</v>
      </c>
      <c r="H32" s="218">
        <v>-387.69</v>
      </c>
      <c r="I32" s="220">
        <v>257176.69</v>
      </c>
      <c r="J32" s="217" t="s">
        <v>376</v>
      </c>
      <c r="K32" s="214">
        <v>-2</v>
      </c>
    </row>
    <row r="33" spans="1:11" ht="12.75" customHeight="1" x14ac:dyDescent="0.25">
      <c r="A33" s="34" t="s">
        <v>68</v>
      </c>
      <c r="B33" s="89">
        <v>46113</v>
      </c>
      <c r="C33" s="46" t="s">
        <v>449</v>
      </c>
      <c r="D33" s="46" t="s">
        <v>450</v>
      </c>
      <c r="E33" s="46" t="s">
        <v>187</v>
      </c>
      <c r="F33" s="46" t="s">
        <v>934</v>
      </c>
      <c r="H33" s="218">
        <v>-32.03</v>
      </c>
      <c r="I33" s="220">
        <v>257144.66</v>
      </c>
      <c r="J33" s="217" t="s">
        <v>376</v>
      </c>
      <c r="K33" s="214">
        <v>-2</v>
      </c>
    </row>
    <row r="34" spans="1:11" ht="12.75" customHeight="1" x14ac:dyDescent="0.25">
      <c r="A34" s="34" t="s">
        <v>68</v>
      </c>
      <c r="B34" s="89">
        <v>46113</v>
      </c>
      <c r="C34" s="46" t="s">
        <v>449</v>
      </c>
      <c r="D34" s="46" t="s">
        <v>450</v>
      </c>
      <c r="E34" s="46" t="s">
        <v>187</v>
      </c>
      <c r="F34" s="46" t="s">
        <v>934</v>
      </c>
      <c r="G34" s="76">
        <v>20.420000000000002</v>
      </c>
      <c r="H34" s="218"/>
      <c r="I34" s="220">
        <v>257165.08</v>
      </c>
      <c r="J34" s="217" t="s">
        <v>376</v>
      </c>
      <c r="K34" s="214">
        <v>-2</v>
      </c>
    </row>
    <row r="35" spans="1:11" ht="12.75" customHeight="1" x14ac:dyDescent="0.25">
      <c r="A35" s="34" t="s">
        <v>68</v>
      </c>
      <c r="B35" s="89">
        <v>46113</v>
      </c>
      <c r="C35" s="46" t="s">
        <v>449</v>
      </c>
      <c r="D35" s="46" t="s">
        <v>450</v>
      </c>
      <c r="E35" s="46" t="s">
        <v>187</v>
      </c>
      <c r="F35" s="46" t="s">
        <v>934</v>
      </c>
      <c r="G35" s="76">
        <v>2.04</v>
      </c>
      <c r="H35" s="218"/>
      <c r="I35" s="220">
        <v>257167.12</v>
      </c>
      <c r="J35" s="217" t="s">
        <v>376</v>
      </c>
      <c r="K35" s="214">
        <v>-2</v>
      </c>
    </row>
    <row r="36" spans="1:11" ht="12.75" customHeight="1" x14ac:dyDescent="0.25">
      <c r="A36" s="34" t="s">
        <v>68</v>
      </c>
      <c r="B36" s="89">
        <v>46113</v>
      </c>
      <c r="C36" s="46" t="s">
        <v>449</v>
      </c>
      <c r="D36" s="46" t="s">
        <v>450</v>
      </c>
      <c r="E36" s="46" t="s">
        <v>187</v>
      </c>
      <c r="F36" s="46" t="s">
        <v>934</v>
      </c>
      <c r="G36" s="76">
        <v>2.17</v>
      </c>
      <c r="H36" s="218"/>
      <c r="I36" s="220">
        <v>257169.29</v>
      </c>
      <c r="J36" s="217" t="s">
        <v>376</v>
      </c>
      <c r="K36" s="214">
        <v>-2</v>
      </c>
    </row>
    <row r="37" spans="1:11" ht="12.75" customHeight="1" x14ac:dyDescent="0.25">
      <c r="A37" s="34" t="s">
        <v>68</v>
      </c>
      <c r="B37" s="89">
        <v>46113</v>
      </c>
      <c r="C37" s="46" t="s">
        <v>449</v>
      </c>
      <c r="D37" s="46" t="s">
        <v>450</v>
      </c>
      <c r="E37" s="46" t="s">
        <v>187</v>
      </c>
      <c r="F37" s="46" t="s">
        <v>934</v>
      </c>
      <c r="G37" s="76">
        <v>0.14000000000000001</v>
      </c>
      <c r="H37" s="218"/>
      <c r="I37" s="220">
        <v>257169.43</v>
      </c>
      <c r="J37" s="217" t="s">
        <v>376</v>
      </c>
      <c r="K37" s="214">
        <v>-2</v>
      </c>
    </row>
    <row r="38" spans="1:11" ht="12.75" customHeight="1" x14ac:dyDescent="0.25">
      <c r="A38" s="34" t="s">
        <v>53</v>
      </c>
      <c r="B38" s="89">
        <v>46113</v>
      </c>
      <c r="C38" s="46" t="s">
        <v>451</v>
      </c>
      <c r="D38" s="46" t="s">
        <v>58</v>
      </c>
      <c r="E38" s="46" t="s">
        <v>167</v>
      </c>
      <c r="F38" s="46" t="s">
        <v>59</v>
      </c>
      <c r="G38" s="76">
        <v>2.72</v>
      </c>
      <c r="H38" s="218"/>
      <c r="I38" s="220">
        <v>257172.15</v>
      </c>
      <c r="J38" s="89">
        <v>46113</v>
      </c>
      <c r="K38" s="214">
        <v>4</v>
      </c>
    </row>
    <row r="39" spans="1:11" ht="12.75" customHeight="1" x14ac:dyDescent="0.25">
      <c r="A39" s="34" t="s">
        <v>53</v>
      </c>
      <c r="B39" s="89">
        <v>46113</v>
      </c>
      <c r="C39" s="46" t="s">
        <v>451</v>
      </c>
      <c r="D39" s="46" t="s">
        <v>58</v>
      </c>
      <c r="E39" s="46" t="s">
        <v>167</v>
      </c>
      <c r="F39" s="46" t="s">
        <v>59</v>
      </c>
      <c r="H39" s="218">
        <v>-2.72</v>
      </c>
      <c r="I39" s="220">
        <v>257169.43</v>
      </c>
      <c r="J39" s="89">
        <v>46113</v>
      </c>
      <c r="K39" s="214">
        <v>-4</v>
      </c>
    </row>
    <row r="40" spans="1:11" ht="12.75" customHeight="1" x14ac:dyDescent="0.25">
      <c r="A40" s="34" t="s">
        <v>53</v>
      </c>
      <c r="B40" s="89">
        <v>46113</v>
      </c>
      <c r="C40" s="46" t="s">
        <v>452</v>
      </c>
      <c r="D40" s="46" t="s">
        <v>58</v>
      </c>
      <c r="E40" s="46" t="s">
        <v>60</v>
      </c>
      <c r="F40" s="46" t="s">
        <v>59</v>
      </c>
      <c r="G40" s="76">
        <v>170.48</v>
      </c>
      <c r="H40" s="218"/>
      <c r="I40" s="220">
        <v>257339.91</v>
      </c>
      <c r="J40" s="89">
        <v>46113</v>
      </c>
      <c r="K40" s="214">
        <v>4</v>
      </c>
    </row>
    <row r="41" spans="1:11" ht="12.75" customHeight="1" x14ac:dyDescent="0.25">
      <c r="A41" s="34" t="s">
        <v>53</v>
      </c>
      <c r="B41" s="89">
        <v>46113</v>
      </c>
      <c r="C41" s="46" t="s">
        <v>452</v>
      </c>
      <c r="D41" s="46" t="s">
        <v>58</v>
      </c>
      <c r="E41" s="46" t="s">
        <v>60</v>
      </c>
      <c r="F41" s="46" t="s">
        <v>59</v>
      </c>
      <c r="H41" s="218">
        <v>-170.48</v>
      </c>
      <c r="I41" s="220">
        <v>257169.43</v>
      </c>
      <c r="J41" s="89">
        <v>46113</v>
      </c>
      <c r="K41" s="214">
        <v>-4</v>
      </c>
    </row>
    <row r="42" spans="1:11" ht="12.75" customHeight="1" x14ac:dyDescent="0.25">
      <c r="A42" s="34" t="s">
        <v>53</v>
      </c>
      <c r="B42" s="89">
        <v>46113</v>
      </c>
      <c r="C42" s="46" t="s">
        <v>453</v>
      </c>
      <c r="D42" s="46" t="s">
        <v>58</v>
      </c>
      <c r="E42" s="46" t="s">
        <v>63</v>
      </c>
      <c r="F42" s="46" t="s">
        <v>59</v>
      </c>
      <c r="G42" s="76">
        <v>99.04</v>
      </c>
      <c r="H42" s="218"/>
      <c r="I42" s="220">
        <v>257268.47</v>
      </c>
      <c r="J42" s="89">
        <v>46113</v>
      </c>
      <c r="K42" s="214">
        <v>4</v>
      </c>
    </row>
    <row r="43" spans="1:11" ht="12.75" customHeight="1" x14ac:dyDescent="0.25">
      <c r="A43" s="34" t="s">
        <v>53</v>
      </c>
      <c r="B43" s="89">
        <v>46113</v>
      </c>
      <c r="C43" s="46" t="s">
        <v>453</v>
      </c>
      <c r="D43" s="46" t="s">
        <v>58</v>
      </c>
      <c r="E43" s="46" t="s">
        <v>63</v>
      </c>
      <c r="F43" s="46" t="s">
        <v>59</v>
      </c>
      <c r="H43" s="218">
        <v>-99.04</v>
      </c>
      <c r="I43" s="220">
        <v>257169.43</v>
      </c>
      <c r="J43" s="89">
        <v>46113</v>
      </c>
      <c r="K43" s="214">
        <v>-4</v>
      </c>
    </row>
    <row r="44" spans="1:11" ht="12.75" customHeight="1" x14ac:dyDescent="0.25">
      <c r="A44" s="34" t="s">
        <v>53</v>
      </c>
      <c r="B44" s="89">
        <v>46113</v>
      </c>
      <c r="C44" s="46" t="s">
        <v>454</v>
      </c>
      <c r="D44" s="46" t="s">
        <v>58</v>
      </c>
      <c r="E44" s="46" t="s">
        <v>74</v>
      </c>
      <c r="F44" s="46" t="s">
        <v>59</v>
      </c>
      <c r="G44" s="76">
        <v>1000</v>
      </c>
      <c r="H44" s="218"/>
      <c r="I44" s="220">
        <v>258169.43</v>
      </c>
      <c r="J44" s="89">
        <v>46113</v>
      </c>
      <c r="K44" s="214">
        <v>4</v>
      </c>
    </row>
    <row r="45" spans="1:11" ht="12.75" customHeight="1" x14ac:dyDescent="0.25">
      <c r="A45" s="34" t="s">
        <v>53</v>
      </c>
      <c r="B45" s="89">
        <v>46113</v>
      </c>
      <c r="C45" s="46" t="s">
        <v>454</v>
      </c>
      <c r="D45" s="46" t="s">
        <v>58</v>
      </c>
      <c r="E45" s="46" t="s">
        <v>74</v>
      </c>
      <c r="F45" s="46" t="s">
        <v>59</v>
      </c>
      <c r="H45" s="218">
        <v>-1000</v>
      </c>
      <c r="I45" s="220">
        <v>257169.43</v>
      </c>
      <c r="J45" s="89">
        <v>46113</v>
      </c>
      <c r="K45" s="214">
        <v>-4</v>
      </c>
    </row>
    <row r="46" spans="1:11" ht="12.75" customHeight="1" x14ac:dyDescent="0.25">
      <c r="A46" s="34" t="s">
        <v>53</v>
      </c>
      <c r="B46" s="89">
        <v>46113</v>
      </c>
      <c r="C46" s="46" t="s">
        <v>455</v>
      </c>
      <c r="D46" s="46" t="s">
        <v>58</v>
      </c>
      <c r="E46" s="46" t="s">
        <v>74</v>
      </c>
      <c r="F46" s="46" t="s">
        <v>59</v>
      </c>
      <c r="G46" s="76">
        <v>48.96</v>
      </c>
      <c r="H46" s="218"/>
      <c r="I46" s="220">
        <v>257218.39</v>
      </c>
      <c r="J46" s="89">
        <v>46113</v>
      </c>
      <c r="K46" s="214">
        <v>4</v>
      </c>
    </row>
    <row r="47" spans="1:11" ht="12.75" customHeight="1" x14ac:dyDescent="0.25">
      <c r="A47" s="34" t="s">
        <v>53</v>
      </c>
      <c r="B47" s="89">
        <v>46113</v>
      </c>
      <c r="C47" s="46" t="s">
        <v>455</v>
      </c>
      <c r="D47" s="46" t="s">
        <v>58</v>
      </c>
      <c r="E47" s="46" t="s">
        <v>74</v>
      </c>
      <c r="F47" s="46" t="s">
        <v>59</v>
      </c>
      <c r="H47" s="218">
        <v>-48.96</v>
      </c>
      <c r="I47" s="220">
        <v>257169.43</v>
      </c>
      <c r="J47" s="89">
        <v>46113</v>
      </c>
      <c r="K47" s="214">
        <v>-4</v>
      </c>
    </row>
    <row r="48" spans="1:11" ht="12.75" customHeight="1" x14ac:dyDescent="0.25">
      <c r="A48" s="34" t="s">
        <v>53</v>
      </c>
      <c r="B48" s="89">
        <v>46113</v>
      </c>
      <c r="C48" s="46" t="s">
        <v>456</v>
      </c>
      <c r="D48" s="46" t="s">
        <v>58</v>
      </c>
      <c r="E48" s="46" t="s">
        <v>160</v>
      </c>
      <c r="F48" s="46" t="s">
        <v>59</v>
      </c>
      <c r="G48" s="76">
        <v>5.03</v>
      </c>
      <c r="H48" s="218"/>
      <c r="I48" s="220">
        <v>257174.46</v>
      </c>
      <c r="J48" s="89">
        <v>46113</v>
      </c>
      <c r="K48" s="214">
        <v>4</v>
      </c>
    </row>
    <row r="49" spans="1:11" ht="12.75" customHeight="1" x14ac:dyDescent="0.25">
      <c r="A49" s="34" t="s">
        <v>53</v>
      </c>
      <c r="B49" s="89">
        <v>46113</v>
      </c>
      <c r="C49" s="46" t="s">
        <v>456</v>
      </c>
      <c r="D49" s="46" t="s">
        <v>58</v>
      </c>
      <c r="E49" s="46" t="s">
        <v>160</v>
      </c>
      <c r="F49" s="46" t="s">
        <v>59</v>
      </c>
      <c r="H49" s="218">
        <v>-5.03</v>
      </c>
      <c r="I49" s="220">
        <v>257169.43</v>
      </c>
      <c r="J49" s="89">
        <v>46113</v>
      </c>
      <c r="K49" s="214">
        <v>-4</v>
      </c>
    </row>
    <row r="50" spans="1:11" ht="12.75" customHeight="1" x14ac:dyDescent="0.25">
      <c r="A50" s="34" t="s">
        <v>53</v>
      </c>
      <c r="B50" s="89">
        <v>46113</v>
      </c>
      <c r="C50" s="46" t="s">
        <v>457</v>
      </c>
      <c r="D50" s="46" t="s">
        <v>58</v>
      </c>
      <c r="E50" s="46" t="s">
        <v>67</v>
      </c>
      <c r="F50" s="46" t="s">
        <v>59</v>
      </c>
      <c r="G50" s="76">
        <v>1000</v>
      </c>
      <c r="H50" s="218"/>
      <c r="I50" s="220">
        <v>258169.43</v>
      </c>
      <c r="J50" s="89">
        <v>46113</v>
      </c>
      <c r="K50" s="214">
        <v>4</v>
      </c>
    </row>
    <row r="51" spans="1:11" ht="12.75" customHeight="1" x14ac:dyDescent="0.25">
      <c r="A51" s="34" t="s">
        <v>53</v>
      </c>
      <c r="B51" s="89">
        <v>46113</v>
      </c>
      <c r="C51" s="46" t="s">
        <v>457</v>
      </c>
      <c r="D51" s="46" t="s">
        <v>58</v>
      </c>
      <c r="E51" s="46" t="s">
        <v>67</v>
      </c>
      <c r="F51" s="46" t="s">
        <v>59</v>
      </c>
      <c r="H51" s="218">
        <v>-1000</v>
      </c>
      <c r="I51" s="220">
        <v>257169.43</v>
      </c>
      <c r="J51" s="89">
        <v>46113</v>
      </c>
      <c r="K51" s="214">
        <v>-4</v>
      </c>
    </row>
    <row r="52" spans="1:11" ht="12.75" customHeight="1" x14ac:dyDescent="0.25">
      <c r="A52" s="34" t="s">
        <v>53</v>
      </c>
      <c r="B52" s="89">
        <v>46113</v>
      </c>
      <c r="C52" s="46" t="s">
        <v>458</v>
      </c>
      <c r="D52" s="46" t="s">
        <v>58</v>
      </c>
      <c r="E52" s="46" t="s">
        <v>67</v>
      </c>
      <c r="F52" s="46" t="s">
        <v>59</v>
      </c>
      <c r="G52" s="76">
        <v>48.96</v>
      </c>
      <c r="H52" s="218"/>
      <c r="I52" s="220">
        <v>257218.39</v>
      </c>
      <c r="J52" s="89">
        <v>46113</v>
      </c>
      <c r="K52" s="214">
        <v>4</v>
      </c>
    </row>
    <row r="53" spans="1:11" ht="12.75" customHeight="1" x14ac:dyDescent="0.25">
      <c r="A53" s="34" t="s">
        <v>53</v>
      </c>
      <c r="B53" s="89">
        <v>46113</v>
      </c>
      <c r="C53" s="46" t="s">
        <v>458</v>
      </c>
      <c r="D53" s="46" t="s">
        <v>58</v>
      </c>
      <c r="E53" s="46" t="s">
        <v>67</v>
      </c>
      <c r="F53" s="46" t="s">
        <v>59</v>
      </c>
      <c r="H53" s="218">
        <v>-48.96</v>
      </c>
      <c r="I53" s="220">
        <v>257169.43</v>
      </c>
      <c r="J53" s="89">
        <v>46113</v>
      </c>
      <c r="K53" s="214">
        <v>-4</v>
      </c>
    </row>
    <row r="54" spans="1:11" ht="12.75" customHeight="1" x14ac:dyDescent="0.25">
      <c r="A54" s="34" t="s">
        <v>53</v>
      </c>
      <c r="B54" s="89">
        <v>46113</v>
      </c>
      <c r="C54" s="46" t="s">
        <v>459</v>
      </c>
      <c r="D54" s="46" t="s">
        <v>58</v>
      </c>
      <c r="E54" s="46" t="s">
        <v>280</v>
      </c>
      <c r="F54" s="46" t="s">
        <v>59</v>
      </c>
      <c r="G54" s="76">
        <v>451.04</v>
      </c>
      <c r="H54" s="218"/>
      <c r="I54" s="220">
        <v>257620.47</v>
      </c>
      <c r="J54" s="89">
        <v>46113</v>
      </c>
      <c r="K54" s="214">
        <v>4</v>
      </c>
    </row>
    <row r="55" spans="1:11" ht="12.75" customHeight="1" x14ac:dyDescent="0.25">
      <c r="A55" s="34" t="s">
        <v>53</v>
      </c>
      <c r="B55" s="89">
        <v>46113</v>
      </c>
      <c r="C55" s="46" t="s">
        <v>459</v>
      </c>
      <c r="D55" s="46" t="s">
        <v>58</v>
      </c>
      <c r="E55" s="46" t="s">
        <v>280</v>
      </c>
      <c r="F55" s="46" t="s">
        <v>59</v>
      </c>
      <c r="H55" s="218">
        <v>-451.04</v>
      </c>
      <c r="I55" s="220">
        <v>257169.43</v>
      </c>
      <c r="J55" s="89">
        <v>46113</v>
      </c>
      <c r="K55" s="214">
        <v>-4</v>
      </c>
    </row>
    <row r="56" spans="1:11" ht="12.75" customHeight="1" x14ac:dyDescent="0.25">
      <c r="A56" s="34" t="s">
        <v>53</v>
      </c>
      <c r="B56" s="89">
        <v>46113</v>
      </c>
      <c r="C56" s="46" t="s">
        <v>460</v>
      </c>
      <c r="D56" s="46" t="s">
        <v>58</v>
      </c>
      <c r="E56" s="46" t="s">
        <v>280</v>
      </c>
      <c r="F56" s="46" t="s">
        <v>59</v>
      </c>
      <c r="G56" s="76">
        <v>500</v>
      </c>
      <c r="H56" s="218"/>
      <c r="I56" s="220">
        <v>257669.43</v>
      </c>
      <c r="J56" s="89">
        <v>46113</v>
      </c>
      <c r="K56" s="214">
        <v>4</v>
      </c>
    </row>
    <row r="57" spans="1:11" ht="12.75" customHeight="1" x14ac:dyDescent="0.25">
      <c r="A57" s="34" t="s">
        <v>53</v>
      </c>
      <c r="B57" s="89">
        <v>46113</v>
      </c>
      <c r="C57" s="46" t="s">
        <v>460</v>
      </c>
      <c r="D57" s="46" t="s">
        <v>58</v>
      </c>
      <c r="E57" s="46" t="s">
        <v>280</v>
      </c>
      <c r="F57" s="46" t="s">
        <v>59</v>
      </c>
      <c r="H57" s="218">
        <v>-500</v>
      </c>
      <c r="I57" s="220">
        <v>257169.43</v>
      </c>
      <c r="J57" s="89">
        <v>46113</v>
      </c>
      <c r="K57" s="214">
        <v>-4</v>
      </c>
    </row>
    <row r="58" spans="1:11" ht="12.75" customHeight="1" x14ac:dyDescent="0.25">
      <c r="A58" s="34" t="s">
        <v>53</v>
      </c>
      <c r="B58" s="89">
        <v>46113</v>
      </c>
      <c r="C58" s="46" t="s">
        <v>461</v>
      </c>
      <c r="D58" s="46" t="s">
        <v>58</v>
      </c>
      <c r="E58" s="46" t="s">
        <v>280</v>
      </c>
      <c r="F58" s="46" t="s">
        <v>59</v>
      </c>
      <c r="G58" s="76">
        <v>48.96</v>
      </c>
      <c r="H58" s="218"/>
      <c r="I58" s="220">
        <v>257218.39</v>
      </c>
      <c r="J58" s="89">
        <v>46113</v>
      </c>
      <c r="K58" s="214">
        <v>4</v>
      </c>
    </row>
    <row r="59" spans="1:11" ht="12.75" customHeight="1" x14ac:dyDescent="0.25">
      <c r="A59" s="34" t="s">
        <v>53</v>
      </c>
      <c r="B59" s="89">
        <v>46113</v>
      </c>
      <c r="C59" s="46" t="s">
        <v>461</v>
      </c>
      <c r="D59" s="46" t="s">
        <v>58</v>
      </c>
      <c r="E59" s="46" t="s">
        <v>280</v>
      </c>
      <c r="F59" s="46" t="s">
        <v>59</v>
      </c>
      <c r="H59" s="218">
        <v>-48.96</v>
      </c>
      <c r="I59" s="220">
        <v>257169.43</v>
      </c>
      <c r="J59" s="89">
        <v>46113</v>
      </c>
      <c r="K59" s="214">
        <v>-4</v>
      </c>
    </row>
    <row r="60" spans="1:11" ht="12.75" customHeight="1" x14ac:dyDescent="0.25">
      <c r="A60" s="34" t="s">
        <v>53</v>
      </c>
      <c r="B60" s="89">
        <v>46113</v>
      </c>
      <c r="C60" s="46" t="s">
        <v>462</v>
      </c>
      <c r="D60" s="46" t="s">
        <v>58</v>
      </c>
      <c r="E60" s="46" t="s">
        <v>280</v>
      </c>
      <c r="F60" s="46" t="s">
        <v>59</v>
      </c>
      <c r="G60" s="76">
        <v>48.96</v>
      </c>
      <c r="H60" s="218"/>
      <c r="I60" s="220">
        <v>257218.39</v>
      </c>
      <c r="J60" s="89">
        <v>46113</v>
      </c>
      <c r="K60" s="214">
        <v>4</v>
      </c>
    </row>
    <row r="61" spans="1:11" ht="12.75" customHeight="1" x14ac:dyDescent="0.25">
      <c r="A61" s="34" t="s">
        <v>53</v>
      </c>
      <c r="B61" s="89">
        <v>46113</v>
      </c>
      <c r="C61" s="46" t="s">
        <v>462</v>
      </c>
      <c r="D61" s="46" t="s">
        <v>58</v>
      </c>
      <c r="E61" s="46" t="s">
        <v>280</v>
      </c>
      <c r="F61" s="46" t="s">
        <v>59</v>
      </c>
      <c r="H61" s="218">
        <v>-48.96</v>
      </c>
      <c r="I61" s="220">
        <v>257169.43</v>
      </c>
      <c r="J61" s="89">
        <v>46113</v>
      </c>
      <c r="K61" s="214">
        <v>-4</v>
      </c>
    </row>
    <row r="62" spans="1:11" ht="12.75" customHeight="1" x14ac:dyDescent="0.25">
      <c r="A62" s="34" t="s">
        <v>68</v>
      </c>
      <c r="B62" s="89">
        <v>46113</v>
      </c>
      <c r="C62" s="46" t="s">
        <v>463</v>
      </c>
      <c r="D62" s="46" t="s">
        <v>58</v>
      </c>
      <c r="E62" s="46" t="s">
        <v>272</v>
      </c>
      <c r="F62" s="46" t="s">
        <v>59</v>
      </c>
      <c r="G62" s="76">
        <v>1005</v>
      </c>
      <c r="H62" s="218"/>
      <c r="I62" s="220">
        <v>258174.43</v>
      </c>
      <c r="J62" s="89">
        <v>46113</v>
      </c>
      <c r="K62" s="214">
        <v>4</v>
      </c>
    </row>
    <row r="63" spans="1:11" ht="12.75" customHeight="1" x14ac:dyDescent="0.25">
      <c r="A63" s="34" t="s">
        <v>68</v>
      </c>
      <c r="B63" s="89">
        <v>46113</v>
      </c>
      <c r="C63" s="46" t="s">
        <v>463</v>
      </c>
      <c r="D63" s="46" t="s">
        <v>58</v>
      </c>
      <c r="E63" s="46" t="s">
        <v>272</v>
      </c>
      <c r="F63" s="46" t="s">
        <v>59</v>
      </c>
      <c r="H63" s="218">
        <v>-1005</v>
      </c>
      <c r="I63" s="220">
        <v>257169.43</v>
      </c>
      <c r="J63" s="89">
        <v>46113</v>
      </c>
      <c r="K63" s="214">
        <v>-4</v>
      </c>
    </row>
    <row r="64" spans="1:11" ht="12.75" customHeight="1" x14ac:dyDescent="0.25">
      <c r="A64" s="34" t="s">
        <v>68</v>
      </c>
      <c r="B64" s="89">
        <v>46113</v>
      </c>
      <c r="C64" s="46" t="s">
        <v>464</v>
      </c>
      <c r="D64" s="46" t="s">
        <v>58</v>
      </c>
      <c r="E64" s="46" t="s">
        <v>272</v>
      </c>
      <c r="F64" s="46" t="s">
        <v>59</v>
      </c>
      <c r="G64" s="76">
        <v>49.52</v>
      </c>
      <c r="H64" s="218"/>
      <c r="I64" s="220">
        <v>257218.95</v>
      </c>
      <c r="J64" s="89">
        <v>46113</v>
      </c>
      <c r="K64" s="214">
        <v>4</v>
      </c>
    </row>
    <row r="65" spans="1:11" ht="12.75" customHeight="1" x14ac:dyDescent="0.25">
      <c r="A65" s="34" t="s">
        <v>68</v>
      </c>
      <c r="B65" s="89">
        <v>46113</v>
      </c>
      <c r="C65" s="46" t="s">
        <v>464</v>
      </c>
      <c r="D65" s="46" t="s">
        <v>58</v>
      </c>
      <c r="E65" s="46" t="s">
        <v>272</v>
      </c>
      <c r="F65" s="46" t="s">
        <v>59</v>
      </c>
      <c r="H65" s="218">
        <v>-49.52</v>
      </c>
      <c r="I65" s="220">
        <v>257169.43</v>
      </c>
      <c r="J65" s="89">
        <v>46113</v>
      </c>
      <c r="K65" s="214">
        <v>-4</v>
      </c>
    </row>
    <row r="66" spans="1:11" ht="12.75" customHeight="1" x14ac:dyDescent="0.25">
      <c r="A66" s="34" t="s">
        <v>68</v>
      </c>
      <c r="B66" s="89">
        <v>46113</v>
      </c>
      <c r="C66" s="46" t="s">
        <v>465</v>
      </c>
      <c r="D66" s="46" t="s">
        <v>58</v>
      </c>
      <c r="E66" s="46" t="s">
        <v>233</v>
      </c>
      <c r="F66" s="46" t="s">
        <v>59</v>
      </c>
      <c r="G66" s="76">
        <v>5.32</v>
      </c>
      <c r="H66" s="218"/>
      <c r="I66" s="220">
        <v>257174.75</v>
      </c>
      <c r="J66" s="89">
        <v>46113</v>
      </c>
      <c r="K66" s="214">
        <v>4</v>
      </c>
    </row>
    <row r="67" spans="1:11" ht="12.75" customHeight="1" x14ac:dyDescent="0.25">
      <c r="A67" s="34" t="s">
        <v>68</v>
      </c>
      <c r="B67" s="89">
        <v>46113</v>
      </c>
      <c r="C67" s="46" t="s">
        <v>465</v>
      </c>
      <c r="D67" s="46" t="s">
        <v>58</v>
      </c>
      <c r="E67" s="46" t="s">
        <v>233</v>
      </c>
      <c r="F67" s="46" t="s">
        <v>59</v>
      </c>
      <c r="H67" s="218">
        <v>-5.32</v>
      </c>
      <c r="I67" s="220">
        <v>257169.43</v>
      </c>
      <c r="J67" s="89">
        <v>46113</v>
      </c>
      <c r="K67" s="214">
        <v>-4</v>
      </c>
    </row>
    <row r="68" spans="1:11" ht="12.75" customHeight="1" x14ac:dyDescent="0.25">
      <c r="A68" s="34" t="s">
        <v>68</v>
      </c>
      <c r="B68" s="89">
        <v>46113</v>
      </c>
      <c r="C68" s="46" t="s">
        <v>466</v>
      </c>
      <c r="D68" s="46" t="s">
        <v>58</v>
      </c>
      <c r="E68" s="46" t="s">
        <v>180</v>
      </c>
      <c r="F68" s="46" t="s">
        <v>59</v>
      </c>
      <c r="G68" s="76">
        <v>0.06</v>
      </c>
      <c r="H68" s="218"/>
      <c r="I68" s="220">
        <v>257169.49</v>
      </c>
      <c r="J68" s="89">
        <v>46113</v>
      </c>
      <c r="K68" s="214">
        <v>4</v>
      </c>
    </row>
    <row r="69" spans="1:11" ht="12.75" customHeight="1" x14ac:dyDescent="0.25">
      <c r="A69" s="34" t="s">
        <v>68</v>
      </c>
      <c r="B69" s="89">
        <v>46113</v>
      </c>
      <c r="C69" s="46" t="s">
        <v>466</v>
      </c>
      <c r="D69" s="46" t="s">
        <v>58</v>
      </c>
      <c r="E69" s="46" t="s">
        <v>180</v>
      </c>
      <c r="F69" s="46" t="s">
        <v>59</v>
      </c>
      <c r="H69" s="218">
        <v>-0.06</v>
      </c>
      <c r="I69" s="220">
        <v>257169.43</v>
      </c>
      <c r="J69" s="89">
        <v>46113</v>
      </c>
      <c r="K69" s="214">
        <v>-4</v>
      </c>
    </row>
    <row r="70" spans="1:11" ht="12.75" customHeight="1" x14ac:dyDescent="0.25">
      <c r="A70" s="34" t="s">
        <v>68</v>
      </c>
      <c r="B70" s="89">
        <v>46113</v>
      </c>
      <c r="C70" s="46" t="s">
        <v>467</v>
      </c>
      <c r="D70" s="46" t="s">
        <v>58</v>
      </c>
      <c r="E70" s="46" t="s">
        <v>75</v>
      </c>
      <c r="F70" s="46" t="s">
        <v>59</v>
      </c>
      <c r="G70" s="76">
        <v>0.96</v>
      </c>
      <c r="H70" s="218"/>
      <c r="I70" s="220">
        <v>257170.39</v>
      </c>
      <c r="J70" s="89">
        <v>46113</v>
      </c>
      <c r="K70" s="214">
        <v>4</v>
      </c>
    </row>
    <row r="71" spans="1:11" ht="12.75" customHeight="1" x14ac:dyDescent="0.25">
      <c r="A71" s="34" t="s">
        <v>68</v>
      </c>
      <c r="B71" s="89">
        <v>46113</v>
      </c>
      <c r="C71" s="46" t="s">
        <v>467</v>
      </c>
      <c r="D71" s="46" t="s">
        <v>58</v>
      </c>
      <c r="E71" s="46" t="s">
        <v>75</v>
      </c>
      <c r="F71" s="46" t="s">
        <v>59</v>
      </c>
      <c r="H71" s="218">
        <v>-0.96</v>
      </c>
      <c r="I71" s="220">
        <v>257169.43</v>
      </c>
      <c r="J71" s="89">
        <v>46113</v>
      </c>
      <c r="K71" s="214">
        <v>-4</v>
      </c>
    </row>
    <row r="72" spans="1:11" ht="12.75" customHeight="1" x14ac:dyDescent="0.25">
      <c r="A72" s="34" t="s">
        <v>68</v>
      </c>
      <c r="B72" s="89">
        <v>46113</v>
      </c>
      <c r="C72" s="46" t="s">
        <v>468</v>
      </c>
      <c r="D72" s="46" t="s">
        <v>58</v>
      </c>
      <c r="E72" s="46" t="s">
        <v>188</v>
      </c>
      <c r="F72" s="46" t="s">
        <v>59</v>
      </c>
      <c r="G72" s="76">
        <v>0.13</v>
      </c>
      <c r="H72" s="218"/>
      <c r="I72" s="220">
        <v>257169.56</v>
      </c>
      <c r="J72" s="89">
        <v>46113</v>
      </c>
      <c r="K72" s="214">
        <v>4</v>
      </c>
    </row>
    <row r="73" spans="1:11" ht="12.75" customHeight="1" x14ac:dyDescent="0.25">
      <c r="A73" s="34" t="s">
        <v>68</v>
      </c>
      <c r="B73" s="89">
        <v>46113</v>
      </c>
      <c r="C73" s="46" t="s">
        <v>468</v>
      </c>
      <c r="D73" s="46" t="s">
        <v>58</v>
      </c>
      <c r="E73" s="46" t="s">
        <v>188</v>
      </c>
      <c r="F73" s="46" t="s">
        <v>59</v>
      </c>
      <c r="H73" s="218">
        <v>-0.13</v>
      </c>
      <c r="I73" s="220">
        <v>257169.43</v>
      </c>
      <c r="J73" s="89">
        <v>46113</v>
      </c>
      <c r="K73" s="214">
        <v>-4</v>
      </c>
    </row>
    <row r="74" spans="1:11" ht="12.75" customHeight="1" x14ac:dyDescent="0.25">
      <c r="A74" s="34" t="s">
        <v>68</v>
      </c>
      <c r="B74" s="89">
        <v>46113</v>
      </c>
      <c r="C74" s="46" t="s">
        <v>469</v>
      </c>
      <c r="D74" s="46" t="s">
        <v>58</v>
      </c>
      <c r="E74" s="46" t="s">
        <v>279</v>
      </c>
      <c r="F74" s="46" t="s">
        <v>59</v>
      </c>
      <c r="G74" s="76">
        <v>0.47</v>
      </c>
      <c r="H74" s="218"/>
      <c r="I74" s="220">
        <v>257169.9</v>
      </c>
      <c r="J74" s="89">
        <v>46113</v>
      </c>
      <c r="K74" s="214">
        <v>4</v>
      </c>
    </row>
    <row r="75" spans="1:11" ht="12.75" customHeight="1" x14ac:dyDescent="0.25">
      <c r="A75" s="34" t="s">
        <v>68</v>
      </c>
      <c r="B75" s="89">
        <v>46113</v>
      </c>
      <c r="C75" s="46" t="s">
        <v>469</v>
      </c>
      <c r="D75" s="46" t="s">
        <v>58</v>
      </c>
      <c r="E75" s="46" t="s">
        <v>279</v>
      </c>
      <c r="F75" s="46" t="s">
        <v>59</v>
      </c>
      <c r="H75" s="218">
        <v>-0.47</v>
      </c>
      <c r="I75" s="220">
        <v>257169.43</v>
      </c>
      <c r="J75" s="89">
        <v>46113</v>
      </c>
      <c r="K75" s="214">
        <v>-4</v>
      </c>
    </row>
    <row r="76" spans="1:11" ht="12.75" customHeight="1" x14ac:dyDescent="0.25">
      <c r="A76" s="34" t="s">
        <v>68</v>
      </c>
      <c r="B76" s="89">
        <v>46113</v>
      </c>
      <c r="C76" s="46" t="s">
        <v>470</v>
      </c>
      <c r="D76" s="46" t="s">
        <v>58</v>
      </c>
      <c r="E76" s="46" t="s">
        <v>274</v>
      </c>
      <c r="F76" s="46" t="s">
        <v>59</v>
      </c>
      <c r="G76" s="76">
        <v>1.96</v>
      </c>
      <c r="H76" s="218"/>
      <c r="I76" s="220">
        <v>257171.39</v>
      </c>
      <c r="J76" s="89">
        <v>46113</v>
      </c>
      <c r="K76" s="214">
        <v>4</v>
      </c>
    </row>
    <row r="77" spans="1:11" ht="12.75" customHeight="1" x14ac:dyDescent="0.25">
      <c r="A77" s="34" t="s">
        <v>68</v>
      </c>
      <c r="B77" s="89">
        <v>46113</v>
      </c>
      <c r="C77" s="46" t="s">
        <v>470</v>
      </c>
      <c r="D77" s="46" t="s">
        <v>58</v>
      </c>
      <c r="E77" s="46" t="s">
        <v>274</v>
      </c>
      <c r="F77" s="46" t="s">
        <v>59</v>
      </c>
      <c r="H77" s="218">
        <v>-1.96</v>
      </c>
      <c r="I77" s="220">
        <v>257169.43</v>
      </c>
      <c r="J77" s="89">
        <v>46113</v>
      </c>
      <c r="K77" s="214">
        <v>-4</v>
      </c>
    </row>
    <row r="78" spans="1:11" ht="12.75" customHeight="1" x14ac:dyDescent="0.25">
      <c r="A78" s="34" t="s">
        <v>68</v>
      </c>
      <c r="B78" s="89">
        <v>46113</v>
      </c>
      <c r="C78" s="46" t="s">
        <v>471</v>
      </c>
      <c r="D78" s="46" t="s">
        <v>58</v>
      </c>
      <c r="E78" s="46" t="s">
        <v>274</v>
      </c>
      <c r="F78" s="46" t="s">
        <v>59</v>
      </c>
      <c r="G78" s="76">
        <v>1003.04</v>
      </c>
      <c r="H78" s="218"/>
      <c r="I78" s="220">
        <v>258172.47</v>
      </c>
      <c r="J78" s="89">
        <v>46113</v>
      </c>
      <c r="K78" s="214">
        <v>4</v>
      </c>
    </row>
    <row r="79" spans="1:11" ht="12.75" customHeight="1" x14ac:dyDescent="0.25">
      <c r="A79" s="34" t="s">
        <v>68</v>
      </c>
      <c r="B79" s="89">
        <v>46113</v>
      </c>
      <c r="C79" s="46" t="s">
        <v>471</v>
      </c>
      <c r="D79" s="46" t="s">
        <v>58</v>
      </c>
      <c r="E79" s="46" t="s">
        <v>274</v>
      </c>
      <c r="F79" s="46" t="s">
        <v>59</v>
      </c>
      <c r="H79" s="218">
        <v>-1003.04</v>
      </c>
      <c r="I79" s="220">
        <v>257169.43</v>
      </c>
      <c r="J79" s="89">
        <v>46113</v>
      </c>
      <c r="K79" s="214">
        <v>-4</v>
      </c>
    </row>
    <row r="80" spans="1:11" ht="12.75" customHeight="1" x14ac:dyDescent="0.25">
      <c r="A80" s="34" t="s">
        <v>68</v>
      </c>
      <c r="B80" s="89">
        <v>46113</v>
      </c>
      <c r="C80" s="46" t="s">
        <v>472</v>
      </c>
      <c r="D80" s="46" t="s">
        <v>58</v>
      </c>
      <c r="E80" s="46" t="s">
        <v>274</v>
      </c>
      <c r="F80" s="46" t="s">
        <v>59</v>
      </c>
      <c r="G80" s="76">
        <v>49.52</v>
      </c>
      <c r="H80" s="218"/>
      <c r="I80" s="220">
        <v>257218.95</v>
      </c>
      <c r="J80" s="89">
        <v>46113</v>
      </c>
      <c r="K80" s="214">
        <v>4</v>
      </c>
    </row>
    <row r="81" spans="1:11" ht="12.75" customHeight="1" x14ac:dyDescent="0.25">
      <c r="A81" s="34" t="s">
        <v>68</v>
      </c>
      <c r="B81" s="89">
        <v>46113</v>
      </c>
      <c r="C81" s="46" t="s">
        <v>472</v>
      </c>
      <c r="D81" s="46" t="s">
        <v>58</v>
      </c>
      <c r="E81" s="46" t="s">
        <v>274</v>
      </c>
      <c r="F81" s="46" t="s">
        <v>59</v>
      </c>
      <c r="H81" s="218">
        <v>-49.52</v>
      </c>
      <c r="I81" s="220">
        <v>257169.43</v>
      </c>
      <c r="J81" s="89">
        <v>46113</v>
      </c>
      <c r="K81" s="214">
        <v>-4</v>
      </c>
    </row>
    <row r="82" spans="1:11" ht="12.75" customHeight="1" x14ac:dyDescent="0.25">
      <c r="A82" s="34" t="s">
        <v>53</v>
      </c>
      <c r="B82" s="89">
        <v>46113</v>
      </c>
      <c r="C82" s="46" t="s">
        <v>473</v>
      </c>
      <c r="D82" s="46" t="s">
        <v>289</v>
      </c>
      <c r="E82" s="46" t="s">
        <v>142</v>
      </c>
      <c r="F82" s="46" t="s">
        <v>276</v>
      </c>
      <c r="H82" s="218">
        <v>-0.08</v>
      </c>
      <c r="I82" s="220">
        <v>257169.35</v>
      </c>
      <c r="J82" s="89">
        <v>46113</v>
      </c>
      <c r="K82" s="214">
        <v>-4</v>
      </c>
    </row>
    <row r="83" spans="1:11" ht="12.75" customHeight="1" x14ac:dyDescent="0.25">
      <c r="A83" s="34" t="s">
        <v>53</v>
      </c>
      <c r="B83" s="89">
        <v>46113</v>
      </c>
      <c r="C83" s="46" t="s">
        <v>473</v>
      </c>
      <c r="D83" s="46" t="s">
        <v>289</v>
      </c>
      <c r="E83" s="46" t="s">
        <v>142</v>
      </c>
      <c r="F83" s="46" t="s">
        <v>276</v>
      </c>
      <c r="G83" s="76">
        <v>0.08</v>
      </c>
      <c r="H83" s="218"/>
      <c r="I83" s="220">
        <v>257169.43</v>
      </c>
      <c r="J83" s="89">
        <v>46113</v>
      </c>
      <c r="K83" s="214">
        <v>4</v>
      </c>
    </row>
    <row r="84" spans="1:11" ht="12.75" customHeight="1" x14ac:dyDescent="0.25">
      <c r="A84" s="34" t="s">
        <v>53</v>
      </c>
      <c r="B84" s="89">
        <v>46113</v>
      </c>
      <c r="C84" s="46" t="s">
        <v>474</v>
      </c>
      <c r="D84" s="46" t="s">
        <v>55</v>
      </c>
      <c r="E84" s="46" t="s">
        <v>105</v>
      </c>
      <c r="F84" s="46" t="s">
        <v>19</v>
      </c>
      <c r="G84" s="76">
        <v>1000</v>
      </c>
      <c r="H84" s="218"/>
      <c r="I84" s="220">
        <v>258169.43</v>
      </c>
      <c r="J84" s="217" t="s">
        <v>375</v>
      </c>
      <c r="K84" s="214">
        <v>2</v>
      </c>
    </row>
    <row r="85" spans="1:11" ht="12.75" customHeight="1" x14ac:dyDescent="0.25">
      <c r="A85" s="34" t="s">
        <v>53</v>
      </c>
      <c r="B85" s="89">
        <v>46113</v>
      </c>
      <c r="C85" s="46" t="s">
        <v>474</v>
      </c>
      <c r="D85" s="46" t="s">
        <v>55</v>
      </c>
      <c r="E85" s="46" t="s">
        <v>105</v>
      </c>
      <c r="F85" s="46" t="s">
        <v>19</v>
      </c>
      <c r="G85" s="76">
        <v>48.96</v>
      </c>
      <c r="H85" s="218"/>
      <c r="I85" s="220">
        <v>258218.39</v>
      </c>
      <c r="J85" s="53" t="s">
        <v>375</v>
      </c>
      <c r="K85" s="214">
        <v>2</v>
      </c>
    </row>
    <row r="86" spans="1:11" ht="12.75" customHeight="1" x14ac:dyDescent="0.25">
      <c r="A86" s="34" t="s">
        <v>53</v>
      </c>
      <c r="B86" s="89">
        <v>46113</v>
      </c>
      <c r="C86" s="46" t="s">
        <v>475</v>
      </c>
      <c r="D86" s="46" t="s">
        <v>476</v>
      </c>
      <c r="E86" s="46" t="s">
        <v>54</v>
      </c>
      <c r="F86" s="46" t="s">
        <v>17</v>
      </c>
      <c r="G86" s="76">
        <v>48.96</v>
      </c>
      <c r="H86" s="218"/>
      <c r="I86" s="220">
        <v>258267.35</v>
      </c>
      <c r="J86" s="53" t="s">
        <v>372</v>
      </c>
      <c r="K86" s="214">
        <v>2</v>
      </c>
    </row>
    <row r="87" spans="1:11" ht="12.75" customHeight="1" x14ac:dyDescent="0.25">
      <c r="A87" s="34" t="s">
        <v>53</v>
      </c>
      <c r="B87" s="89">
        <v>46113</v>
      </c>
      <c r="C87" s="46" t="s">
        <v>475</v>
      </c>
      <c r="D87" s="46" t="s">
        <v>476</v>
      </c>
      <c r="E87" s="46" t="s">
        <v>54</v>
      </c>
      <c r="F87" s="46" t="s">
        <v>17</v>
      </c>
      <c r="G87" s="76">
        <v>1040</v>
      </c>
      <c r="H87" s="218"/>
      <c r="I87" s="220">
        <v>259307.35</v>
      </c>
      <c r="J87" s="53" t="s">
        <v>372</v>
      </c>
      <c r="K87" s="214">
        <v>2</v>
      </c>
    </row>
    <row r="88" spans="1:11" ht="12.75" customHeight="1" x14ac:dyDescent="0.25">
      <c r="A88" s="34" t="s">
        <v>53</v>
      </c>
      <c r="B88" s="89">
        <v>46113</v>
      </c>
      <c r="C88" s="46" t="s">
        <v>477</v>
      </c>
      <c r="D88" s="46"/>
      <c r="E88" s="46" t="s">
        <v>63</v>
      </c>
      <c r="F88" s="46" t="s">
        <v>242</v>
      </c>
      <c r="G88" s="76">
        <v>900.96</v>
      </c>
      <c r="H88" s="218"/>
      <c r="I88" s="220">
        <v>260208.31</v>
      </c>
      <c r="J88" s="89">
        <v>46113</v>
      </c>
      <c r="K88" s="214">
        <v>4</v>
      </c>
    </row>
    <row r="89" spans="1:11" ht="12.75" customHeight="1" x14ac:dyDescent="0.25">
      <c r="A89" s="34" t="s">
        <v>53</v>
      </c>
      <c r="B89" s="89">
        <v>46113</v>
      </c>
      <c r="C89" s="46" t="s">
        <v>477</v>
      </c>
      <c r="D89" s="46"/>
      <c r="E89" s="46" t="s">
        <v>63</v>
      </c>
      <c r="F89" s="46" t="s">
        <v>242</v>
      </c>
      <c r="G89" s="76">
        <v>48.96</v>
      </c>
      <c r="H89" s="218"/>
      <c r="I89" s="220">
        <v>260257.27</v>
      </c>
      <c r="J89" s="89">
        <v>46113</v>
      </c>
      <c r="K89" s="214">
        <v>4</v>
      </c>
    </row>
    <row r="90" spans="1:11" ht="12.75" customHeight="1" x14ac:dyDescent="0.25">
      <c r="A90" s="34" t="s">
        <v>53</v>
      </c>
      <c r="B90" s="89">
        <v>46113</v>
      </c>
      <c r="C90" s="46" t="s">
        <v>477</v>
      </c>
      <c r="D90" s="46"/>
      <c r="E90" s="46" t="s">
        <v>63</v>
      </c>
      <c r="F90" s="46" t="s">
        <v>242</v>
      </c>
      <c r="H90" s="218">
        <v>-949.92</v>
      </c>
      <c r="I90" s="220">
        <v>259307.35</v>
      </c>
      <c r="J90" s="89">
        <v>46113</v>
      </c>
      <c r="K90" s="214">
        <v>-4</v>
      </c>
    </row>
    <row r="91" spans="1:11" ht="12.75" customHeight="1" x14ac:dyDescent="0.25">
      <c r="A91" s="34" t="s">
        <v>53</v>
      </c>
      <c r="B91" s="89">
        <v>46113</v>
      </c>
      <c r="C91" s="46" t="s">
        <v>478</v>
      </c>
      <c r="D91" s="46"/>
      <c r="E91" s="46" t="s">
        <v>62</v>
      </c>
      <c r="F91" s="46" t="s">
        <v>242</v>
      </c>
      <c r="G91" s="76">
        <v>1000</v>
      </c>
      <c r="H91" s="218"/>
      <c r="I91" s="220">
        <v>260307.35</v>
      </c>
      <c r="J91" s="89">
        <v>46113</v>
      </c>
      <c r="K91" s="214">
        <v>4</v>
      </c>
    </row>
    <row r="92" spans="1:11" ht="12.75" customHeight="1" x14ac:dyDescent="0.25">
      <c r="A92" s="34" t="s">
        <v>53</v>
      </c>
      <c r="B92" s="89">
        <v>46113</v>
      </c>
      <c r="C92" s="46" t="s">
        <v>478</v>
      </c>
      <c r="D92" s="46"/>
      <c r="E92" s="46" t="s">
        <v>62</v>
      </c>
      <c r="F92" s="46" t="s">
        <v>242</v>
      </c>
      <c r="G92" s="76">
        <v>48.96</v>
      </c>
      <c r="H92" s="218"/>
      <c r="I92" s="220">
        <v>260356.31</v>
      </c>
      <c r="J92" s="89">
        <v>46113</v>
      </c>
      <c r="K92" s="214">
        <v>4</v>
      </c>
    </row>
    <row r="93" spans="1:11" ht="12.75" customHeight="1" x14ac:dyDescent="0.25">
      <c r="A93" s="34" t="s">
        <v>53</v>
      </c>
      <c r="B93" s="89">
        <v>46113</v>
      </c>
      <c r="C93" s="46" t="s">
        <v>478</v>
      </c>
      <c r="D93" s="46"/>
      <c r="E93" s="46" t="s">
        <v>62</v>
      </c>
      <c r="F93" s="46" t="s">
        <v>242</v>
      </c>
      <c r="H93" s="218">
        <v>-1048.96</v>
      </c>
      <c r="I93" s="220">
        <v>259307.35</v>
      </c>
      <c r="J93" s="89">
        <v>46113</v>
      </c>
      <c r="K93" s="214">
        <v>-4</v>
      </c>
    </row>
    <row r="94" spans="1:11" ht="12.75" customHeight="1" x14ac:dyDescent="0.25">
      <c r="A94" s="34" t="s">
        <v>53</v>
      </c>
      <c r="B94" s="89">
        <v>46113</v>
      </c>
      <c r="C94" s="46" t="s">
        <v>479</v>
      </c>
      <c r="D94" s="46"/>
      <c r="E94" s="46" t="s">
        <v>161</v>
      </c>
      <c r="F94" s="46" t="s">
        <v>242</v>
      </c>
      <c r="G94" s="76">
        <v>673.96</v>
      </c>
      <c r="H94" s="218"/>
      <c r="I94" s="220">
        <v>259981.31</v>
      </c>
      <c r="J94" s="89">
        <v>46113</v>
      </c>
      <c r="K94" s="214">
        <v>4</v>
      </c>
    </row>
    <row r="95" spans="1:11" ht="12.75" customHeight="1" x14ac:dyDescent="0.25">
      <c r="A95" s="34" t="s">
        <v>53</v>
      </c>
      <c r="B95" s="89">
        <v>46113</v>
      </c>
      <c r="C95" s="46" t="s">
        <v>479</v>
      </c>
      <c r="D95" s="46"/>
      <c r="E95" s="46" t="s">
        <v>161</v>
      </c>
      <c r="F95" s="46" t="s">
        <v>242</v>
      </c>
      <c r="H95" s="218">
        <v>-673.96</v>
      </c>
      <c r="I95" s="220">
        <v>259307.35</v>
      </c>
      <c r="J95" s="89">
        <v>46113</v>
      </c>
      <c r="K95" s="214">
        <v>-4</v>
      </c>
    </row>
    <row r="96" spans="1:11" ht="12.75" customHeight="1" x14ac:dyDescent="0.25">
      <c r="A96" s="34" t="s">
        <v>53</v>
      </c>
      <c r="B96" s="89">
        <v>46113</v>
      </c>
      <c r="C96" s="46" t="s">
        <v>480</v>
      </c>
      <c r="D96" s="46"/>
      <c r="E96" s="46" t="s">
        <v>126</v>
      </c>
      <c r="F96" s="46" t="s">
        <v>242</v>
      </c>
      <c r="G96" s="76">
        <v>79.94</v>
      </c>
      <c r="H96" s="218"/>
      <c r="I96" s="220">
        <v>259387.29</v>
      </c>
      <c r="J96" s="89">
        <v>46113</v>
      </c>
      <c r="K96" s="214">
        <v>4</v>
      </c>
    </row>
    <row r="97" spans="1:11" ht="12.75" customHeight="1" x14ac:dyDescent="0.25">
      <c r="A97" s="34" t="s">
        <v>53</v>
      </c>
      <c r="B97" s="89">
        <v>46113</v>
      </c>
      <c r="C97" s="46" t="s">
        <v>480</v>
      </c>
      <c r="D97" s="46"/>
      <c r="E97" s="46" t="s">
        <v>126</v>
      </c>
      <c r="F97" s="46" t="s">
        <v>242</v>
      </c>
      <c r="H97" s="218">
        <v>-79.94</v>
      </c>
      <c r="I97" s="220">
        <v>259307.35</v>
      </c>
      <c r="J97" s="89">
        <v>46113</v>
      </c>
      <c r="K97" s="214">
        <v>-4</v>
      </c>
    </row>
    <row r="98" spans="1:11" ht="12.75" customHeight="1" x14ac:dyDescent="0.25">
      <c r="A98" s="34" t="s">
        <v>68</v>
      </c>
      <c r="B98" s="89">
        <v>46113</v>
      </c>
      <c r="C98" s="46" t="s">
        <v>481</v>
      </c>
      <c r="D98" s="46"/>
      <c r="E98" s="46" t="s">
        <v>279</v>
      </c>
      <c r="F98" s="46" t="s">
        <v>242</v>
      </c>
      <c r="G98" s="76">
        <v>1004.53</v>
      </c>
      <c r="H98" s="218"/>
      <c r="I98" s="220">
        <v>260311.88</v>
      </c>
      <c r="J98" s="89">
        <v>46113</v>
      </c>
      <c r="K98" s="214">
        <v>4</v>
      </c>
    </row>
    <row r="99" spans="1:11" ht="12.75" customHeight="1" x14ac:dyDescent="0.25">
      <c r="A99" s="34" t="s">
        <v>68</v>
      </c>
      <c r="B99" s="89">
        <v>46113</v>
      </c>
      <c r="C99" s="46" t="s">
        <v>481</v>
      </c>
      <c r="D99" s="46"/>
      <c r="E99" s="46" t="s">
        <v>279</v>
      </c>
      <c r="F99" s="46" t="s">
        <v>242</v>
      </c>
      <c r="G99" s="76">
        <v>49.52</v>
      </c>
      <c r="H99" s="218"/>
      <c r="I99" s="220">
        <v>260361.4</v>
      </c>
      <c r="J99" s="89">
        <v>46113</v>
      </c>
      <c r="K99" s="214">
        <v>4</v>
      </c>
    </row>
    <row r="100" spans="1:11" ht="12.75" customHeight="1" x14ac:dyDescent="0.25">
      <c r="A100" s="34" t="s">
        <v>68</v>
      </c>
      <c r="B100" s="89">
        <v>46113</v>
      </c>
      <c r="C100" s="46" t="s">
        <v>481</v>
      </c>
      <c r="D100" s="46"/>
      <c r="E100" s="46" t="s">
        <v>279</v>
      </c>
      <c r="F100" s="46" t="s">
        <v>242</v>
      </c>
      <c r="H100" s="218">
        <v>-1054.05</v>
      </c>
      <c r="I100" s="220">
        <v>259307.35</v>
      </c>
      <c r="J100" s="89">
        <v>46113</v>
      </c>
      <c r="K100" s="214">
        <v>-4</v>
      </c>
    </row>
    <row r="101" spans="1:11" ht="12.75" customHeight="1" x14ac:dyDescent="0.25">
      <c r="A101" s="34" t="s">
        <v>68</v>
      </c>
      <c r="B101" s="89">
        <v>46113</v>
      </c>
      <c r="C101" s="46" t="s">
        <v>482</v>
      </c>
      <c r="D101" s="46"/>
      <c r="E101" s="46" t="s">
        <v>75</v>
      </c>
      <c r="F101" s="46" t="s">
        <v>242</v>
      </c>
      <c r="G101" s="76">
        <v>1004.04</v>
      </c>
      <c r="H101" s="218"/>
      <c r="I101" s="220">
        <v>260311.39</v>
      </c>
      <c r="J101" s="89">
        <v>46113</v>
      </c>
      <c r="K101" s="214">
        <v>4</v>
      </c>
    </row>
    <row r="102" spans="1:11" ht="12.75" customHeight="1" x14ac:dyDescent="0.25">
      <c r="A102" s="34" t="s">
        <v>68</v>
      </c>
      <c r="B102" s="89">
        <v>46113</v>
      </c>
      <c r="C102" s="46" t="s">
        <v>482</v>
      </c>
      <c r="D102" s="46"/>
      <c r="E102" s="46" t="s">
        <v>75</v>
      </c>
      <c r="F102" s="46" t="s">
        <v>242</v>
      </c>
      <c r="G102" s="76">
        <v>49.52</v>
      </c>
      <c r="H102" s="218"/>
      <c r="I102" s="220">
        <v>260360.91</v>
      </c>
      <c r="J102" s="89">
        <v>46113</v>
      </c>
      <c r="K102" s="214">
        <v>4</v>
      </c>
    </row>
    <row r="103" spans="1:11" ht="12.75" customHeight="1" x14ac:dyDescent="0.25">
      <c r="A103" s="34" t="s">
        <v>68</v>
      </c>
      <c r="B103" s="89">
        <v>46113</v>
      </c>
      <c r="C103" s="46" t="s">
        <v>482</v>
      </c>
      <c r="D103" s="46"/>
      <c r="E103" s="46" t="s">
        <v>75</v>
      </c>
      <c r="F103" s="46" t="s">
        <v>242</v>
      </c>
      <c r="H103" s="218">
        <v>-1053.56</v>
      </c>
      <c r="I103" s="220">
        <v>259307.35</v>
      </c>
      <c r="J103" s="89">
        <v>46113</v>
      </c>
      <c r="K103" s="214">
        <v>-4</v>
      </c>
    </row>
    <row r="104" spans="1:11" ht="12.75" customHeight="1" x14ac:dyDescent="0.25">
      <c r="A104" s="34" t="s">
        <v>68</v>
      </c>
      <c r="B104" s="89">
        <v>46113</v>
      </c>
      <c r="C104" s="46" t="s">
        <v>483</v>
      </c>
      <c r="D104" s="46" t="s">
        <v>289</v>
      </c>
      <c r="E104" s="46" t="s">
        <v>143</v>
      </c>
      <c r="F104" s="46" t="s">
        <v>276</v>
      </c>
      <c r="H104" s="218">
        <v>-379.4</v>
      </c>
      <c r="I104" s="220">
        <v>258927.95</v>
      </c>
      <c r="J104" s="89">
        <v>46113</v>
      </c>
      <c r="K104" s="214">
        <v>-4</v>
      </c>
    </row>
    <row r="105" spans="1:11" ht="12.75" customHeight="1" x14ac:dyDescent="0.25">
      <c r="A105" s="34" t="s">
        <v>68</v>
      </c>
      <c r="B105" s="89">
        <v>46113</v>
      </c>
      <c r="C105" s="46" t="s">
        <v>483</v>
      </c>
      <c r="D105" s="46" t="s">
        <v>289</v>
      </c>
      <c r="E105" s="46" t="s">
        <v>143</v>
      </c>
      <c r="F105" s="46" t="s">
        <v>276</v>
      </c>
      <c r="G105" s="76">
        <v>379.4</v>
      </c>
      <c r="H105" s="218"/>
      <c r="I105" s="220">
        <v>259307.35</v>
      </c>
      <c r="J105" s="89">
        <v>46113</v>
      </c>
      <c r="K105" s="214">
        <v>4</v>
      </c>
    </row>
    <row r="106" spans="1:11" ht="12.75" customHeight="1" x14ac:dyDescent="0.25">
      <c r="A106" s="34" t="s">
        <v>68</v>
      </c>
      <c r="B106" s="89">
        <v>46113</v>
      </c>
      <c r="C106" s="46" t="s">
        <v>484</v>
      </c>
      <c r="D106" s="46" t="s">
        <v>289</v>
      </c>
      <c r="E106" s="46" t="s">
        <v>143</v>
      </c>
      <c r="F106" s="46" t="s">
        <v>276</v>
      </c>
      <c r="H106" s="218">
        <v>-10</v>
      </c>
      <c r="I106" s="220">
        <v>259297.35</v>
      </c>
      <c r="J106" s="89">
        <v>46113</v>
      </c>
      <c r="K106" s="214">
        <v>-4</v>
      </c>
    </row>
    <row r="107" spans="1:11" ht="12.75" customHeight="1" x14ac:dyDescent="0.25">
      <c r="A107" s="34" t="s">
        <v>68</v>
      </c>
      <c r="B107" s="89">
        <v>46113</v>
      </c>
      <c r="C107" s="46" t="s">
        <v>484</v>
      </c>
      <c r="D107" s="46" t="s">
        <v>289</v>
      </c>
      <c r="E107" s="46" t="s">
        <v>143</v>
      </c>
      <c r="F107" s="46" t="s">
        <v>276</v>
      </c>
      <c r="G107" s="76">
        <v>10</v>
      </c>
      <c r="H107" s="218"/>
      <c r="I107" s="220">
        <v>259307.35</v>
      </c>
      <c r="J107" s="89">
        <v>46113</v>
      </c>
      <c r="K107" s="214">
        <v>4</v>
      </c>
    </row>
    <row r="108" spans="1:11" ht="12.75" customHeight="1" x14ac:dyDescent="0.25">
      <c r="A108" s="34" t="s">
        <v>68</v>
      </c>
      <c r="B108" s="89">
        <v>46113</v>
      </c>
      <c r="C108" s="46" t="s">
        <v>485</v>
      </c>
      <c r="D108" s="46" t="s">
        <v>486</v>
      </c>
      <c r="E108" s="46" t="s">
        <v>108</v>
      </c>
      <c r="F108" s="46" t="s">
        <v>84</v>
      </c>
      <c r="G108" s="76">
        <v>1020</v>
      </c>
      <c r="H108" s="218"/>
      <c r="I108" s="220">
        <v>260327.35</v>
      </c>
      <c r="J108" s="53" t="s">
        <v>375</v>
      </c>
      <c r="K108" s="214">
        <v>2</v>
      </c>
    </row>
    <row r="109" spans="1:11" ht="12.75" customHeight="1" x14ac:dyDescent="0.25">
      <c r="A109" s="34" t="s">
        <v>68</v>
      </c>
      <c r="B109" s="89">
        <v>46113</v>
      </c>
      <c r="C109" s="46" t="s">
        <v>485</v>
      </c>
      <c r="D109" s="46" t="s">
        <v>486</v>
      </c>
      <c r="E109" s="46" t="s">
        <v>108</v>
      </c>
      <c r="F109" s="46" t="s">
        <v>84</v>
      </c>
      <c r="G109" s="76">
        <v>49.52</v>
      </c>
      <c r="H109" s="218"/>
      <c r="I109" s="220">
        <v>260376.87</v>
      </c>
      <c r="J109" s="53" t="s">
        <v>375</v>
      </c>
      <c r="K109" s="214">
        <v>2</v>
      </c>
    </row>
    <row r="110" spans="1:11" ht="12.75" customHeight="1" x14ac:dyDescent="0.25">
      <c r="A110" s="34" t="s">
        <v>68</v>
      </c>
      <c r="B110" s="89">
        <v>46113</v>
      </c>
      <c r="C110" s="46" t="s">
        <v>487</v>
      </c>
      <c r="D110" s="46" t="s">
        <v>488</v>
      </c>
      <c r="E110" s="46" t="s">
        <v>91</v>
      </c>
      <c r="F110" s="46" t="s">
        <v>84</v>
      </c>
      <c r="G110" s="76">
        <v>1005</v>
      </c>
      <c r="H110" s="218"/>
      <c r="I110" s="220">
        <v>261381.87</v>
      </c>
      <c r="J110" s="53" t="s">
        <v>375</v>
      </c>
      <c r="K110" s="214">
        <v>2</v>
      </c>
    </row>
    <row r="111" spans="1:11" ht="12.75" customHeight="1" x14ac:dyDescent="0.25">
      <c r="A111" s="34" t="s">
        <v>68</v>
      </c>
      <c r="B111" s="89">
        <v>46113</v>
      </c>
      <c r="C111" s="46" t="s">
        <v>487</v>
      </c>
      <c r="D111" s="46" t="s">
        <v>488</v>
      </c>
      <c r="E111" s="46" t="s">
        <v>91</v>
      </c>
      <c r="F111" s="46" t="s">
        <v>84</v>
      </c>
      <c r="G111" s="76">
        <v>49.52</v>
      </c>
      <c r="H111" s="218"/>
      <c r="I111" s="220">
        <v>261431.39</v>
      </c>
      <c r="J111" s="53" t="s">
        <v>375</v>
      </c>
      <c r="K111" s="214">
        <v>2</v>
      </c>
    </row>
    <row r="112" spans="1:11" ht="12.75" customHeight="1" x14ac:dyDescent="0.25">
      <c r="A112" s="34" t="s">
        <v>68</v>
      </c>
      <c r="B112" s="89">
        <v>46113</v>
      </c>
      <c r="C112" s="46" t="s">
        <v>489</v>
      </c>
      <c r="D112" s="46" t="s">
        <v>490</v>
      </c>
      <c r="E112" s="46" t="s">
        <v>92</v>
      </c>
      <c r="F112" s="46" t="s">
        <v>84</v>
      </c>
      <c r="G112" s="76">
        <v>1005</v>
      </c>
      <c r="H112" s="218"/>
      <c r="I112" s="220">
        <v>262436.39</v>
      </c>
      <c r="J112" s="53" t="s">
        <v>375</v>
      </c>
      <c r="K112" s="214">
        <v>2</v>
      </c>
    </row>
    <row r="113" spans="1:11" ht="12.75" customHeight="1" x14ac:dyDescent="0.25">
      <c r="A113" s="34" t="s">
        <v>68</v>
      </c>
      <c r="B113" s="89">
        <v>46113</v>
      </c>
      <c r="C113" s="46" t="s">
        <v>489</v>
      </c>
      <c r="D113" s="46" t="s">
        <v>490</v>
      </c>
      <c r="E113" s="46" t="s">
        <v>92</v>
      </c>
      <c r="F113" s="46" t="s">
        <v>84</v>
      </c>
      <c r="G113" s="76">
        <v>49.52</v>
      </c>
      <c r="H113" s="218"/>
      <c r="I113" s="220">
        <v>262485.90999999997</v>
      </c>
      <c r="J113" s="53" t="s">
        <v>375</v>
      </c>
      <c r="K113" s="214">
        <v>2</v>
      </c>
    </row>
    <row r="114" spans="1:11" ht="12.75" customHeight="1" x14ac:dyDescent="0.25">
      <c r="A114" s="34" t="s">
        <v>68</v>
      </c>
      <c r="B114" s="89">
        <v>46113</v>
      </c>
      <c r="C114" s="46" t="s">
        <v>491</v>
      </c>
      <c r="D114" s="46" t="s">
        <v>492</v>
      </c>
      <c r="E114" s="46" t="s">
        <v>246</v>
      </c>
      <c r="F114" s="46" t="s">
        <v>84</v>
      </c>
      <c r="G114" s="76">
        <v>1005</v>
      </c>
      <c r="H114" s="218"/>
      <c r="I114" s="220">
        <v>263490.90999999997</v>
      </c>
      <c r="J114" s="217" t="s">
        <v>375</v>
      </c>
      <c r="K114" s="214">
        <v>2</v>
      </c>
    </row>
    <row r="115" spans="1:11" ht="12.75" customHeight="1" x14ac:dyDescent="0.25">
      <c r="A115" s="34" t="s">
        <v>68</v>
      </c>
      <c r="B115" s="89">
        <v>46113</v>
      </c>
      <c r="C115" s="46" t="s">
        <v>491</v>
      </c>
      <c r="D115" s="46" t="s">
        <v>492</v>
      </c>
      <c r="E115" s="46" t="s">
        <v>246</v>
      </c>
      <c r="F115" s="46" t="s">
        <v>84</v>
      </c>
      <c r="G115" s="76">
        <v>49.52</v>
      </c>
      <c r="H115" s="218"/>
      <c r="I115" s="220">
        <v>263540.43</v>
      </c>
      <c r="J115" s="217" t="s">
        <v>375</v>
      </c>
      <c r="K115" s="214">
        <v>2</v>
      </c>
    </row>
    <row r="116" spans="1:11" ht="12.75" customHeight="1" x14ac:dyDescent="0.25">
      <c r="A116" s="34" t="s">
        <v>68</v>
      </c>
      <c r="B116" s="89">
        <v>46113</v>
      </c>
      <c r="C116" s="46" t="s">
        <v>493</v>
      </c>
      <c r="D116" s="46" t="s">
        <v>494</v>
      </c>
      <c r="E116" s="46" t="s">
        <v>248</v>
      </c>
      <c r="F116" s="46" t="s">
        <v>84</v>
      </c>
      <c r="G116" s="76">
        <v>1005</v>
      </c>
      <c r="H116" s="218"/>
      <c r="I116" s="220">
        <v>264545.43</v>
      </c>
      <c r="J116" s="53" t="s">
        <v>375</v>
      </c>
      <c r="K116" s="214">
        <v>2</v>
      </c>
    </row>
    <row r="117" spans="1:11" ht="12.75" customHeight="1" x14ac:dyDescent="0.25">
      <c r="A117" s="34" t="s">
        <v>68</v>
      </c>
      <c r="B117" s="89">
        <v>46113</v>
      </c>
      <c r="C117" s="46" t="s">
        <v>493</v>
      </c>
      <c r="D117" s="46" t="s">
        <v>494</v>
      </c>
      <c r="E117" s="46" t="s">
        <v>248</v>
      </c>
      <c r="F117" s="46" t="s">
        <v>84</v>
      </c>
      <c r="G117" s="76">
        <v>49.52</v>
      </c>
      <c r="H117" s="218"/>
      <c r="I117" s="220">
        <v>264594.95</v>
      </c>
      <c r="J117" s="53" t="s">
        <v>375</v>
      </c>
      <c r="K117" s="214">
        <v>2</v>
      </c>
    </row>
    <row r="118" spans="1:11" ht="12.75" customHeight="1" x14ac:dyDescent="0.25">
      <c r="A118" s="34" t="s">
        <v>68</v>
      </c>
      <c r="B118" s="89">
        <v>46113</v>
      </c>
      <c r="C118" s="46" t="s">
        <v>495</v>
      </c>
      <c r="D118" s="46" t="s">
        <v>496</v>
      </c>
      <c r="E118" s="46" t="s">
        <v>93</v>
      </c>
      <c r="F118" s="46" t="s">
        <v>84</v>
      </c>
      <c r="G118" s="76">
        <v>1005</v>
      </c>
      <c r="H118" s="218"/>
      <c r="I118" s="220">
        <v>265599.95</v>
      </c>
      <c r="J118" s="217" t="s">
        <v>375</v>
      </c>
      <c r="K118" s="214">
        <v>2</v>
      </c>
    </row>
    <row r="119" spans="1:11" ht="12.75" customHeight="1" x14ac:dyDescent="0.25">
      <c r="A119" s="34" t="s">
        <v>68</v>
      </c>
      <c r="B119" s="89">
        <v>46113</v>
      </c>
      <c r="C119" s="46" t="s">
        <v>495</v>
      </c>
      <c r="D119" s="46" t="s">
        <v>496</v>
      </c>
      <c r="E119" s="46" t="s">
        <v>93</v>
      </c>
      <c r="F119" s="46" t="s">
        <v>84</v>
      </c>
      <c r="G119" s="76">
        <v>49.52</v>
      </c>
      <c r="H119" s="218"/>
      <c r="I119" s="220">
        <v>265649.46999999997</v>
      </c>
      <c r="J119" s="217" t="s">
        <v>375</v>
      </c>
      <c r="K119" s="214">
        <v>2</v>
      </c>
    </row>
    <row r="120" spans="1:11" ht="12.75" customHeight="1" x14ac:dyDescent="0.25">
      <c r="A120" s="34" t="s">
        <v>68</v>
      </c>
      <c r="B120" s="89">
        <v>46113</v>
      </c>
      <c r="C120" s="46" t="s">
        <v>497</v>
      </c>
      <c r="D120" s="46" t="s">
        <v>498</v>
      </c>
      <c r="E120" s="46" t="s">
        <v>273</v>
      </c>
      <c r="F120" s="46" t="s">
        <v>84</v>
      </c>
      <c r="G120" s="76">
        <v>1005</v>
      </c>
      <c r="H120" s="218"/>
      <c r="I120" s="220">
        <v>266654.46999999997</v>
      </c>
      <c r="J120" s="217" t="s">
        <v>375</v>
      </c>
      <c r="K120" s="214">
        <v>2</v>
      </c>
    </row>
    <row r="121" spans="1:11" ht="12.75" customHeight="1" x14ac:dyDescent="0.25">
      <c r="A121" s="34" t="s">
        <v>68</v>
      </c>
      <c r="B121" s="89">
        <v>46113</v>
      </c>
      <c r="C121" s="46" t="s">
        <v>497</v>
      </c>
      <c r="D121" s="46" t="s">
        <v>498</v>
      </c>
      <c r="E121" s="46" t="s">
        <v>273</v>
      </c>
      <c r="F121" s="46" t="s">
        <v>84</v>
      </c>
      <c r="G121" s="76">
        <v>49.52</v>
      </c>
      <c r="H121" s="218"/>
      <c r="I121" s="220">
        <v>266703.99</v>
      </c>
      <c r="J121" s="217" t="s">
        <v>375</v>
      </c>
      <c r="K121" s="214">
        <v>2</v>
      </c>
    </row>
    <row r="122" spans="1:11" ht="12.75" customHeight="1" x14ac:dyDescent="0.25">
      <c r="A122" s="34" t="s">
        <v>68</v>
      </c>
      <c r="B122" s="89">
        <v>46113</v>
      </c>
      <c r="C122" s="46" t="s">
        <v>499</v>
      </c>
      <c r="D122" s="46" t="s">
        <v>500</v>
      </c>
      <c r="E122" s="46" t="s">
        <v>94</v>
      </c>
      <c r="F122" s="46" t="s">
        <v>84</v>
      </c>
      <c r="G122" s="76">
        <v>1005</v>
      </c>
      <c r="H122" s="218"/>
      <c r="I122" s="220">
        <v>267708.99</v>
      </c>
      <c r="J122" s="53" t="s">
        <v>375</v>
      </c>
      <c r="K122" s="214">
        <v>2</v>
      </c>
    </row>
    <row r="123" spans="1:11" ht="12.75" customHeight="1" x14ac:dyDescent="0.25">
      <c r="A123" s="34" t="s">
        <v>68</v>
      </c>
      <c r="B123" s="89">
        <v>46113</v>
      </c>
      <c r="C123" s="46" t="s">
        <v>499</v>
      </c>
      <c r="D123" s="46" t="s">
        <v>500</v>
      </c>
      <c r="E123" s="46" t="s">
        <v>94</v>
      </c>
      <c r="F123" s="46" t="s">
        <v>84</v>
      </c>
      <c r="G123" s="76">
        <v>49.52</v>
      </c>
      <c r="H123" s="218"/>
      <c r="I123" s="220">
        <v>267758.51</v>
      </c>
      <c r="J123" s="53" t="s">
        <v>375</v>
      </c>
      <c r="K123" s="214">
        <v>2</v>
      </c>
    </row>
    <row r="124" spans="1:11" ht="12.75" customHeight="1" x14ac:dyDescent="0.25">
      <c r="A124" s="34" t="s">
        <v>68</v>
      </c>
      <c r="B124" s="89">
        <v>46113</v>
      </c>
      <c r="C124" s="46" t="s">
        <v>501</v>
      </c>
      <c r="D124" s="46" t="s">
        <v>502</v>
      </c>
      <c r="E124" s="46" t="s">
        <v>95</v>
      </c>
      <c r="F124" s="46" t="s">
        <v>90</v>
      </c>
      <c r="G124" s="76">
        <v>49.52</v>
      </c>
      <c r="H124" s="218"/>
      <c r="I124" s="220">
        <v>267808.03000000003</v>
      </c>
      <c r="J124" s="217" t="s">
        <v>372</v>
      </c>
      <c r="K124" s="214">
        <v>2</v>
      </c>
    </row>
    <row r="125" spans="1:11" ht="12.75" customHeight="1" x14ac:dyDescent="0.25">
      <c r="A125" s="34" t="s">
        <v>68</v>
      </c>
      <c r="B125" s="89">
        <v>46113</v>
      </c>
      <c r="C125" s="46" t="s">
        <v>501</v>
      </c>
      <c r="D125" s="46" t="s">
        <v>502</v>
      </c>
      <c r="E125" s="46" t="s">
        <v>95</v>
      </c>
      <c r="F125" s="46" t="s">
        <v>90</v>
      </c>
      <c r="G125" s="76">
        <v>1005</v>
      </c>
      <c r="H125" s="218"/>
      <c r="I125" s="220">
        <v>268813.03000000003</v>
      </c>
      <c r="J125" s="217" t="s">
        <v>372</v>
      </c>
      <c r="K125" s="214">
        <v>2</v>
      </c>
    </row>
    <row r="126" spans="1:11" ht="12.75" customHeight="1" x14ac:dyDescent="0.25">
      <c r="A126" s="34" t="s">
        <v>68</v>
      </c>
      <c r="B126" s="89">
        <v>46113</v>
      </c>
      <c r="C126" s="46" t="s">
        <v>503</v>
      </c>
      <c r="D126" s="46" t="s">
        <v>504</v>
      </c>
      <c r="E126" s="46" t="s">
        <v>245</v>
      </c>
      <c r="F126" s="46" t="s">
        <v>90</v>
      </c>
      <c r="G126" s="76">
        <v>49.52</v>
      </c>
      <c r="H126" s="218"/>
      <c r="I126" s="220">
        <v>268862.55</v>
      </c>
      <c r="J126" s="217" t="s">
        <v>372</v>
      </c>
      <c r="K126" s="214">
        <v>2</v>
      </c>
    </row>
    <row r="127" spans="1:11" ht="12.75" customHeight="1" x14ac:dyDescent="0.25">
      <c r="A127" s="34" t="s">
        <v>68</v>
      </c>
      <c r="B127" s="89">
        <v>46113</v>
      </c>
      <c r="C127" s="46" t="s">
        <v>503</v>
      </c>
      <c r="D127" s="46" t="s">
        <v>504</v>
      </c>
      <c r="E127" s="46" t="s">
        <v>245</v>
      </c>
      <c r="F127" s="46" t="s">
        <v>90</v>
      </c>
      <c r="G127" s="76">
        <v>1005</v>
      </c>
      <c r="H127" s="218"/>
      <c r="I127" s="220">
        <v>269867.55</v>
      </c>
      <c r="J127" s="217" t="s">
        <v>372</v>
      </c>
      <c r="K127" s="214">
        <v>2</v>
      </c>
    </row>
    <row r="128" spans="1:11" ht="12.75" customHeight="1" x14ac:dyDescent="0.25">
      <c r="A128" s="34" t="s">
        <v>53</v>
      </c>
      <c r="B128" s="89">
        <v>46113</v>
      </c>
      <c r="C128" s="46" t="s">
        <v>505</v>
      </c>
      <c r="D128" s="46" t="s">
        <v>506</v>
      </c>
      <c r="E128" s="46" t="s">
        <v>258</v>
      </c>
      <c r="F128" s="46" t="s">
        <v>84</v>
      </c>
      <c r="G128" s="76">
        <v>1000</v>
      </c>
      <c r="H128" s="218"/>
      <c r="I128" s="220">
        <v>270867.55</v>
      </c>
      <c r="J128" s="217" t="s">
        <v>375</v>
      </c>
      <c r="K128" s="214">
        <v>2</v>
      </c>
    </row>
    <row r="129" spans="1:11" ht="12.75" customHeight="1" x14ac:dyDescent="0.25">
      <c r="A129" s="34" t="s">
        <v>53</v>
      </c>
      <c r="B129" s="89">
        <v>46113</v>
      </c>
      <c r="C129" s="46" t="s">
        <v>505</v>
      </c>
      <c r="D129" s="46" t="s">
        <v>506</v>
      </c>
      <c r="E129" s="46" t="s">
        <v>258</v>
      </c>
      <c r="F129" s="46" t="s">
        <v>84</v>
      </c>
      <c r="G129" s="76">
        <v>48.96</v>
      </c>
      <c r="H129" s="218"/>
      <c r="I129" s="220">
        <v>270916.51</v>
      </c>
      <c r="J129" s="217" t="s">
        <v>375</v>
      </c>
      <c r="K129" s="214">
        <v>2</v>
      </c>
    </row>
    <row r="130" spans="1:11" ht="12.75" customHeight="1" x14ac:dyDescent="0.25">
      <c r="A130" s="34" t="s">
        <v>53</v>
      </c>
      <c r="B130" s="89">
        <v>46113</v>
      </c>
      <c r="C130" s="46" t="s">
        <v>507</v>
      </c>
      <c r="D130" s="46" t="s">
        <v>508</v>
      </c>
      <c r="E130" s="46" t="s">
        <v>265</v>
      </c>
      <c r="F130" s="46" t="s">
        <v>84</v>
      </c>
      <c r="G130" s="76">
        <v>745</v>
      </c>
      <c r="H130" s="218"/>
      <c r="I130" s="220">
        <v>271661.51</v>
      </c>
      <c r="J130" s="217" t="s">
        <v>375</v>
      </c>
      <c r="K130" s="214">
        <v>2</v>
      </c>
    </row>
    <row r="131" spans="1:11" ht="12.75" customHeight="1" x14ac:dyDescent="0.25">
      <c r="A131" s="34" t="s">
        <v>53</v>
      </c>
      <c r="B131" s="89">
        <v>46113</v>
      </c>
      <c r="C131" s="46" t="s">
        <v>507</v>
      </c>
      <c r="D131" s="46" t="s">
        <v>508</v>
      </c>
      <c r="E131" s="46" t="s">
        <v>265</v>
      </c>
      <c r="F131" s="46" t="s">
        <v>84</v>
      </c>
      <c r="G131" s="76">
        <v>955</v>
      </c>
      <c r="H131" s="218"/>
      <c r="I131" s="220">
        <v>272616.51</v>
      </c>
      <c r="J131" s="217" t="s">
        <v>375</v>
      </c>
      <c r="K131" s="214">
        <v>2</v>
      </c>
    </row>
    <row r="132" spans="1:11" ht="12.75" customHeight="1" x14ac:dyDescent="0.25">
      <c r="A132" s="34" t="s">
        <v>53</v>
      </c>
      <c r="B132" s="89">
        <v>46113</v>
      </c>
      <c r="C132" s="46" t="s">
        <v>509</v>
      </c>
      <c r="D132" s="46" t="s">
        <v>510</v>
      </c>
      <c r="E132" s="46" t="s">
        <v>87</v>
      </c>
      <c r="F132" s="46" t="s">
        <v>84</v>
      </c>
      <c r="G132" s="76">
        <v>1000</v>
      </c>
      <c r="H132" s="218"/>
      <c r="I132" s="220">
        <v>273616.51</v>
      </c>
      <c r="J132" s="217" t="s">
        <v>375</v>
      </c>
      <c r="K132" s="214">
        <v>2</v>
      </c>
    </row>
    <row r="133" spans="1:11" ht="12.75" customHeight="1" x14ac:dyDescent="0.25">
      <c r="A133" s="34" t="s">
        <v>53</v>
      </c>
      <c r="B133" s="89">
        <v>46113</v>
      </c>
      <c r="C133" s="46" t="s">
        <v>509</v>
      </c>
      <c r="D133" s="46" t="s">
        <v>510</v>
      </c>
      <c r="E133" s="46" t="s">
        <v>87</v>
      </c>
      <c r="F133" s="46" t="s">
        <v>84</v>
      </c>
      <c r="G133" s="76">
        <v>48.96</v>
      </c>
      <c r="H133" s="218"/>
      <c r="I133" s="220">
        <v>273665.46999999997</v>
      </c>
      <c r="J133" s="217" t="s">
        <v>375</v>
      </c>
      <c r="K133" s="214">
        <v>2</v>
      </c>
    </row>
    <row r="134" spans="1:11" ht="12.75" customHeight="1" x14ac:dyDescent="0.25">
      <c r="A134" s="34" t="s">
        <v>53</v>
      </c>
      <c r="B134" s="89">
        <v>46113</v>
      </c>
      <c r="C134" s="46" t="s">
        <v>511</v>
      </c>
      <c r="D134" s="46" t="s">
        <v>512</v>
      </c>
      <c r="E134" s="46" t="s">
        <v>88</v>
      </c>
      <c r="F134" s="46" t="s">
        <v>84</v>
      </c>
      <c r="G134" s="76">
        <v>670</v>
      </c>
      <c r="H134" s="218"/>
      <c r="I134" s="220">
        <v>274335.46999999997</v>
      </c>
      <c r="J134" s="217" t="s">
        <v>375</v>
      </c>
      <c r="K134" s="214">
        <v>2</v>
      </c>
    </row>
    <row r="135" spans="1:11" ht="12.75" customHeight="1" x14ac:dyDescent="0.25">
      <c r="A135" s="34" t="s">
        <v>53</v>
      </c>
      <c r="B135" s="89">
        <v>46113</v>
      </c>
      <c r="C135" s="46" t="s">
        <v>511</v>
      </c>
      <c r="D135" s="46" t="s">
        <v>512</v>
      </c>
      <c r="E135" s="46" t="s">
        <v>88</v>
      </c>
      <c r="F135" s="46" t="s">
        <v>84</v>
      </c>
      <c r="G135" s="76">
        <v>1000</v>
      </c>
      <c r="H135" s="218"/>
      <c r="I135" s="220">
        <v>275335.46999999997</v>
      </c>
      <c r="J135" s="217" t="s">
        <v>375</v>
      </c>
      <c r="K135" s="214">
        <v>2</v>
      </c>
    </row>
    <row r="136" spans="1:11" ht="12.75" customHeight="1" x14ac:dyDescent="0.25">
      <c r="A136" s="34" t="s">
        <v>53</v>
      </c>
      <c r="B136" s="89">
        <v>46113</v>
      </c>
      <c r="C136" s="46" t="s">
        <v>511</v>
      </c>
      <c r="D136" s="46" t="s">
        <v>512</v>
      </c>
      <c r="E136" s="46" t="s">
        <v>88</v>
      </c>
      <c r="F136" s="46" t="s">
        <v>84</v>
      </c>
      <c r="G136" s="76">
        <v>48.96</v>
      </c>
      <c r="H136" s="218"/>
      <c r="I136" s="220">
        <v>275384.43</v>
      </c>
      <c r="J136" s="217" t="s">
        <v>375</v>
      </c>
      <c r="K136" s="214">
        <v>2</v>
      </c>
    </row>
    <row r="137" spans="1:11" ht="12.75" customHeight="1" x14ac:dyDescent="0.25">
      <c r="A137" s="34" t="s">
        <v>53</v>
      </c>
      <c r="B137" s="89">
        <v>46113</v>
      </c>
      <c r="C137" s="46" t="s">
        <v>513</v>
      </c>
      <c r="D137" s="46" t="s">
        <v>514</v>
      </c>
      <c r="E137" s="46" t="s">
        <v>89</v>
      </c>
      <c r="F137" s="46" t="s">
        <v>90</v>
      </c>
      <c r="G137" s="76">
        <v>48.96</v>
      </c>
      <c r="H137" s="218"/>
      <c r="I137" s="220">
        <v>275433.39</v>
      </c>
      <c r="J137" s="217" t="s">
        <v>372</v>
      </c>
      <c r="K137" s="214">
        <v>2</v>
      </c>
    </row>
    <row r="138" spans="1:11" ht="12.75" customHeight="1" x14ac:dyDescent="0.25">
      <c r="A138" s="34" t="s">
        <v>53</v>
      </c>
      <c r="B138" s="89">
        <v>46113</v>
      </c>
      <c r="C138" s="46" t="s">
        <v>513</v>
      </c>
      <c r="D138" s="46" t="s">
        <v>514</v>
      </c>
      <c r="E138" s="46" t="s">
        <v>89</v>
      </c>
      <c r="F138" s="46" t="s">
        <v>90</v>
      </c>
      <c r="G138" s="76">
        <v>1000</v>
      </c>
      <c r="H138" s="218"/>
      <c r="I138" s="220">
        <v>276433.39</v>
      </c>
      <c r="J138" s="217" t="s">
        <v>372</v>
      </c>
      <c r="K138" s="214">
        <v>2</v>
      </c>
    </row>
    <row r="139" spans="1:11" ht="12.75" customHeight="1" x14ac:dyDescent="0.25">
      <c r="A139" s="34" t="s">
        <v>53</v>
      </c>
      <c r="B139" s="89">
        <v>46113</v>
      </c>
      <c r="C139" s="46" t="s">
        <v>515</v>
      </c>
      <c r="D139" s="46" t="s">
        <v>55</v>
      </c>
      <c r="E139" s="46" t="s">
        <v>110</v>
      </c>
      <c r="F139" s="46" t="s">
        <v>22</v>
      </c>
      <c r="G139" s="76">
        <v>1000</v>
      </c>
      <c r="H139" s="218"/>
      <c r="I139" s="220">
        <v>277433.39</v>
      </c>
      <c r="J139" s="217" t="s">
        <v>375</v>
      </c>
      <c r="K139" s="214">
        <v>2</v>
      </c>
    </row>
    <row r="140" spans="1:11" ht="12.75" customHeight="1" x14ac:dyDescent="0.25">
      <c r="A140" s="34" t="s">
        <v>53</v>
      </c>
      <c r="B140" s="89">
        <v>46113</v>
      </c>
      <c r="C140" s="46" t="s">
        <v>515</v>
      </c>
      <c r="D140" s="46" t="s">
        <v>55</v>
      </c>
      <c r="E140" s="46" t="s">
        <v>110</v>
      </c>
      <c r="F140" s="46" t="s">
        <v>22</v>
      </c>
      <c r="G140" s="76">
        <v>48.96</v>
      </c>
      <c r="H140" s="218"/>
      <c r="I140" s="220">
        <v>277482.34999999998</v>
      </c>
      <c r="J140" s="217" t="s">
        <v>375</v>
      </c>
      <c r="K140" s="214">
        <v>2</v>
      </c>
    </row>
    <row r="141" spans="1:11" ht="12.75" customHeight="1" x14ac:dyDescent="0.25">
      <c r="A141" s="34" t="s">
        <v>53</v>
      </c>
      <c r="B141" s="89">
        <v>46113</v>
      </c>
      <c r="C141" s="46" t="s">
        <v>516</v>
      </c>
      <c r="D141" s="46" t="s">
        <v>517</v>
      </c>
      <c r="E141" s="46" t="s">
        <v>56</v>
      </c>
      <c r="F141" s="46" t="s">
        <v>17</v>
      </c>
      <c r="G141" s="76">
        <v>48.96</v>
      </c>
      <c r="H141" s="218"/>
      <c r="I141" s="220">
        <v>277531.31</v>
      </c>
      <c r="J141" s="217" t="s">
        <v>372</v>
      </c>
      <c r="K141" s="214">
        <v>2</v>
      </c>
    </row>
    <row r="142" spans="1:11" ht="12.75" customHeight="1" x14ac:dyDescent="0.25">
      <c r="A142" s="34" t="s">
        <v>53</v>
      </c>
      <c r="B142" s="89">
        <v>46113</v>
      </c>
      <c r="C142" s="46" t="s">
        <v>516</v>
      </c>
      <c r="D142" s="46" t="s">
        <v>517</v>
      </c>
      <c r="E142" s="46" t="s">
        <v>56</v>
      </c>
      <c r="F142" s="46" t="s">
        <v>17</v>
      </c>
      <c r="G142" s="76">
        <v>1000</v>
      </c>
      <c r="H142" s="218"/>
      <c r="I142" s="220">
        <v>278531.31</v>
      </c>
      <c r="J142" s="217" t="s">
        <v>372</v>
      </c>
      <c r="K142" s="214">
        <v>2</v>
      </c>
    </row>
    <row r="143" spans="1:11" ht="12.75" customHeight="1" x14ac:dyDescent="0.25">
      <c r="A143" s="34" t="s">
        <v>53</v>
      </c>
      <c r="B143" s="89">
        <v>46113</v>
      </c>
      <c r="C143" s="46" t="s">
        <v>518</v>
      </c>
      <c r="D143" s="46" t="s">
        <v>519</v>
      </c>
      <c r="E143" s="46" t="s">
        <v>262</v>
      </c>
      <c r="F143" s="46" t="s">
        <v>129</v>
      </c>
      <c r="G143" s="76">
        <v>48.96</v>
      </c>
      <c r="H143" s="218"/>
      <c r="I143" s="220">
        <v>278580.27</v>
      </c>
      <c r="J143" s="217" t="s">
        <v>372</v>
      </c>
      <c r="K143" s="214">
        <v>2</v>
      </c>
    </row>
    <row r="144" spans="1:11" ht="12.75" customHeight="1" x14ac:dyDescent="0.25">
      <c r="A144" s="34" t="s">
        <v>53</v>
      </c>
      <c r="B144" s="89">
        <v>46113</v>
      </c>
      <c r="C144" s="46" t="s">
        <v>518</v>
      </c>
      <c r="D144" s="46" t="s">
        <v>519</v>
      </c>
      <c r="E144" s="46" t="s">
        <v>262</v>
      </c>
      <c r="F144" s="46" t="s">
        <v>129</v>
      </c>
      <c r="G144" s="76">
        <v>1000</v>
      </c>
      <c r="H144" s="218"/>
      <c r="I144" s="220">
        <v>279580.27</v>
      </c>
      <c r="J144" s="217" t="s">
        <v>372</v>
      </c>
      <c r="K144" s="214">
        <v>2</v>
      </c>
    </row>
    <row r="145" spans="1:11" ht="12.75" customHeight="1" x14ac:dyDescent="0.25">
      <c r="A145" s="34" t="s">
        <v>68</v>
      </c>
      <c r="B145" s="89">
        <v>46113</v>
      </c>
      <c r="C145" s="46" t="s">
        <v>520</v>
      </c>
      <c r="D145" s="46" t="s">
        <v>55</v>
      </c>
      <c r="E145" s="46" t="s">
        <v>257</v>
      </c>
      <c r="F145" s="46" t="s">
        <v>57</v>
      </c>
      <c r="G145" s="76">
        <v>1020</v>
      </c>
      <c r="H145" s="218"/>
      <c r="I145" s="220">
        <v>280600.27</v>
      </c>
      <c r="J145" s="217" t="s">
        <v>375</v>
      </c>
      <c r="K145" s="214">
        <v>2</v>
      </c>
    </row>
    <row r="146" spans="1:11" ht="12.75" customHeight="1" x14ac:dyDescent="0.25">
      <c r="A146" s="34" t="s">
        <v>68</v>
      </c>
      <c r="B146" s="89">
        <v>46113</v>
      </c>
      <c r="C146" s="46" t="s">
        <v>520</v>
      </c>
      <c r="D146" s="46" t="s">
        <v>55</v>
      </c>
      <c r="E146" s="46" t="s">
        <v>257</v>
      </c>
      <c r="F146" s="46" t="s">
        <v>57</v>
      </c>
      <c r="G146" s="76">
        <v>49.52</v>
      </c>
      <c r="H146" s="218"/>
      <c r="I146" s="220">
        <v>280649.78999999998</v>
      </c>
      <c r="J146" s="217" t="s">
        <v>375</v>
      </c>
      <c r="K146" s="214">
        <v>2</v>
      </c>
    </row>
    <row r="147" spans="1:11" ht="12.75" customHeight="1" x14ac:dyDescent="0.25">
      <c r="A147" s="34" t="s">
        <v>68</v>
      </c>
      <c r="B147" s="89">
        <v>46113</v>
      </c>
      <c r="C147" s="46" t="s">
        <v>521</v>
      </c>
      <c r="D147" s="46" t="s">
        <v>522</v>
      </c>
      <c r="E147" s="46" t="s">
        <v>166</v>
      </c>
      <c r="F147" s="46" t="s">
        <v>129</v>
      </c>
      <c r="G147" s="76">
        <v>49.52</v>
      </c>
      <c r="H147" s="218"/>
      <c r="I147" s="220">
        <v>280699.31</v>
      </c>
      <c r="J147" s="217" t="s">
        <v>372</v>
      </c>
      <c r="K147" s="214">
        <v>2</v>
      </c>
    </row>
    <row r="148" spans="1:11" ht="12.75" customHeight="1" x14ac:dyDescent="0.25">
      <c r="A148" s="34" t="s">
        <v>68</v>
      </c>
      <c r="B148" s="89">
        <v>46113</v>
      </c>
      <c r="C148" s="46" t="s">
        <v>521</v>
      </c>
      <c r="D148" s="46" t="s">
        <v>522</v>
      </c>
      <c r="E148" s="46" t="s">
        <v>166</v>
      </c>
      <c r="F148" s="46" t="s">
        <v>129</v>
      </c>
      <c r="G148" s="76">
        <v>1005</v>
      </c>
      <c r="H148" s="218"/>
      <c r="I148" s="220">
        <v>281704.31</v>
      </c>
      <c r="J148" s="217" t="s">
        <v>372</v>
      </c>
      <c r="K148" s="214">
        <v>2</v>
      </c>
    </row>
    <row r="149" spans="1:11" ht="12.75" customHeight="1" x14ac:dyDescent="0.25">
      <c r="A149" s="34" t="s">
        <v>53</v>
      </c>
      <c r="B149" s="89">
        <v>46113</v>
      </c>
      <c r="C149" s="46" t="s">
        <v>523</v>
      </c>
      <c r="D149" s="46" t="s">
        <v>55</v>
      </c>
      <c r="E149" s="46" t="s">
        <v>77</v>
      </c>
      <c r="F149" s="46" t="s">
        <v>22</v>
      </c>
      <c r="G149" s="76">
        <v>1000</v>
      </c>
      <c r="H149" s="218"/>
      <c r="I149" s="220">
        <v>282704.31</v>
      </c>
      <c r="J149" s="217" t="s">
        <v>375</v>
      </c>
      <c r="K149" s="214">
        <v>2</v>
      </c>
    </row>
    <row r="150" spans="1:11" ht="12.75" customHeight="1" x14ac:dyDescent="0.25">
      <c r="A150" s="34" t="s">
        <v>53</v>
      </c>
      <c r="B150" s="89">
        <v>46113</v>
      </c>
      <c r="C150" s="46" t="s">
        <v>523</v>
      </c>
      <c r="D150" s="46" t="s">
        <v>55</v>
      </c>
      <c r="E150" s="46" t="s">
        <v>77</v>
      </c>
      <c r="F150" s="46" t="s">
        <v>22</v>
      </c>
      <c r="G150" s="76">
        <v>48.96</v>
      </c>
      <c r="H150" s="218"/>
      <c r="I150" s="220">
        <v>282753.27</v>
      </c>
      <c r="J150" s="217" t="s">
        <v>375</v>
      </c>
      <c r="K150" s="214">
        <v>2</v>
      </c>
    </row>
    <row r="151" spans="1:11" ht="12.75" customHeight="1" x14ac:dyDescent="0.25">
      <c r="A151" s="34" t="s">
        <v>53</v>
      </c>
      <c r="B151" s="89">
        <v>46113</v>
      </c>
      <c r="C151" s="46" t="s">
        <v>524</v>
      </c>
      <c r="D151" s="46" t="s">
        <v>55</v>
      </c>
      <c r="E151" s="46" t="s">
        <v>97</v>
      </c>
      <c r="F151" s="46" t="s">
        <v>19</v>
      </c>
      <c r="G151" s="76">
        <v>1000</v>
      </c>
      <c r="H151" s="218"/>
      <c r="I151" s="220">
        <v>283753.27</v>
      </c>
      <c r="J151" s="217" t="s">
        <v>375</v>
      </c>
      <c r="K151" s="214">
        <v>2</v>
      </c>
    </row>
    <row r="152" spans="1:11" ht="12.75" customHeight="1" x14ac:dyDescent="0.25">
      <c r="A152" s="34" t="s">
        <v>53</v>
      </c>
      <c r="B152" s="89">
        <v>46113</v>
      </c>
      <c r="C152" s="46" t="s">
        <v>524</v>
      </c>
      <c r="D152" s="46" t="s">
        <v>55</v>
      </c>
      <c r="E152" s="46" t="s">
        <v>97</v>
      </c>
      <c r="F152" s="46" t="s">
        <v>19</v>
      </c>
      <c r="G152" s="76">
        <v>48.96</v>
      </c>
      <c r="H152" s="218"/>
      <c r="I152" s="220">
        <v>283802.23</v>
      </c>
      <c r="J152" s="217" t="s">
        <v>375</v>
      </c>
      <c r="K152" s="214">
        <v>2</v>
      </c>
    </row>
    <row r="153" spans="1:11" ht="12.75" customHeight="1" x14ac:dyDescent="0.25">
      <c r="A153" s="34" t="s">
        <v>53</v>
      </c>
      <c r="B153" s="89">
        <v>46113</v>
      </c>
      <c r="C153" s="46" t="s">
        <v>525</v>
      </c>
      <c r="D153" s="46" t="s">
        <v>526</v>
      </c>
      <c r="E153" s="46" t="s">
        <v>112</v>
      </c>
      <c r="F153" s="46" t="s">
        <v>17</v>
      </c>
      <c r="G153" s="76">
        <v>48.96</v>
      </c>
      <c r="H153" s="218"/>
      <c r="I153" s="220">
        <v>283851.19</v>
      </c>
      <c r="J153" s="217" t="s">
        <v>372</v>
      </c>
      <c r="K153" s="214">
        <v>2</v>
      </c>
    </row>
    <row r="154" spans="1:11" ht="12.75" customHeight="1" x14ac:dyDescent="0.25">
      <c r="A154" s="34" t="s">
        <v>53</v>
      </c>
      <c r="B154" s="89">
        <v>46113</v>
      </c>
      <c r="C154" s="46" t="s">
        <v>525</v>
      </c>
      <c r="D154" s="46" t="s">
        <v>526</v>
      </c>
      <c r="E154" s="46" t="s">
        <v>112</v>
      </c>
      <c r="F154" s="46" t="s">
        <v>17</v>
      </c>
      <c r="G154" s="76">
        <v>1000</v>
      </c>
      <c r="H154" s="218"/>
      <c r="I154" s="220">
        <v>284851.19</v>
      </c>
      <c r="J154" s="217" t="s">
        <v>372</v>
      </c>
      <c r="K154" s="214">
        <v>2</v>
      </c>
    </row>
    <row r="155" spans="1:11" ht="12.75" customHeight="1" x14ac:dyDescent="0.25">
      <c r="A155" s="34" t="s">
        <v>53</v>
      </c>
      <c r="B155" s="89">
        <v>46113</v>
      </c>
      <c r="C155" s="46" t="s">
        <v>527</v>
      </c>
      <c r="D155" s="46" t="s">
        <v>55</v>
      </c>
      <c r="E155" s="46" t="s">
        <v>107</v>
      </c>
      <c r="F155" s="46" t="s">
        <v>19</v>
      </c>
      <c r="G155" s="76">
        <v>1000</v>
      </c>
      <c r="H155" s="218"/>
      <c r="I155" s="220">
        <v>285851.19</v>
      </c>
      <c r="J155" s="217" t="s">
        <v>375</v>
      </c>
      <c r="K155" s="214">
        <v>2</v>
      </c>
    </row>
    <row r="156" spans="1:11" ht="12.75" customHeight="1" x14ac:dyDescent="0.25">
      <c r="A156" s="34" t="s">
        <v>53</v>
      </c>
      <c r="B156" s="89">
        <v>46113</v>
      </c>
      <c r="C156" s="46" t="s">
        <v>527</v>
      </c>
      <c r="D156" s="46" t="s">
        <v>55</v>
      </c>
      <c r="E156" s="46" t="s">
        <v>107</v>
      </c>
      <c r="F156" s="46" t="s">
        <v>19</v>
      </c>
      <c r="G156" s="76">
        <v>48.96</v>
      </c>
      <c r="H156" s="218"/>
      <c r="I156" s="220">
        <v>285900.15000000002</v>
      </c>
      <c r="J156" s="217" t="s">
        <v>375</v>
      </c>
      <c r="K156" s="214">
        <v>2</v>
      </c>
    </row>
    <row r="157" spans="1:11" ht="12.75" customHeight="1" x14ac:dyDescent="0.25">
      <c r="A157" s="34" t="s">
        <v>53</v>
      </c>
      <c r="B157" s="89">
        <v>46113</v>
      </c>
      <c r="C157" s="46" t="s">
        <v>528</v>
      </c>
      <c r="D157" s="46" t="s">
        <v>529</v>
      </c>
      <c r="E157" s="46" t="s">
        <v>82</v>
      </c>
      <c r="F157" s="46" t="s">
        <v>17</v>
      </c>
      <c r="G157" s="76">
        <v>48.96</v>
      </c>
      <c r="H157" s="218"/>
      <c r="I157" s="220">
        <v>285949.11</v>
      </c>
      <c r="J157" s="217" t="s">
        <v>372</v>
      </c>
      <c r="K157" s="214">
        <v>2</v>
      </c>
    </row>
    <row r="158" spans="1:11" ht="12.75" customHeight="1" x14ac:dyDescent="0.25">
      <c r="A158" s="34" t="s">
        <v>53</v>
      </c>
      <c r="B158" s="89">
        <v>46113</v>
      </c>
      <c r="C158" s="46" t="s">
        <v>528</v>
      </c>
      <c r="D158" s="46" t="s">
        <v>529</v>
      </c>
      <c r="E158" s="46" t="s">
        <v>82</v>
      </c>
      <c r="F158" s="46" t="s">
        <v>17</v>
      </c>
      <c r="G158" s="76">
        <v>1000</v>
      </c>
      <c r="H158" s="218"/>
      <c r="I158" s="220">
        <v>286949.11</v>
      </c>
      <c r="J158" s="217" t="s">
        <v>372</v>
      </c>
      <c r="K158" s="214">
        <v>2</v>
      </c>
    </row>
    <row r="159" spans="1:11" ht="12.75" customHeight="1" x14ac:dyDescent="0.25">
      <c r="A159" s="34" t="s">
        <v>53</v>
      </c>
      <c r="B159" s="89">
        <v>46113</v>
      </c>
      <c r="C159" s="46" t="s">
        <v>530</v>
      </c>
      <c r="D159" s="46" t="s">
        <v>531</v>
      </c>
      <c r="E159" s="46" t="s">
        <v>132</v>
      </c>
      <c r="F159" s="46" t="s">
        <v>21</v>
      </c>
      <c r="G159" s="76">
        <v>48.96</v>
      </c>
      <c r="H159" s="218"/>
      <c r="I159" s="220">
        <v>286998.07</v>
      </c>
      <c r="J159" s="217" t="s">
        <v>372</v>
      </c>
      <c r="K159" s="214">
        <v>2</v>
      </c>
    </row>
    <row r="160" spans="1:11" ht="12.75" customHeight="1" x14ac:dyDescent="0.25">
      <c r="A160" s="34" t="s">
        <v>53</v>
      </c>
      <c r="B160" s="89">
        <v>46113</v>
      </c>
      <c r="C160" s="46" t="s">
        <v>530</v>
      </c>
      <c r="D160" s="46" t="s">
        <v>531</v>
      </c>
      <c r="E160" s="46" t="s">
        <v>132</v>
      </c>
      <c r="F160" s="46" t="s">
        <v>21</v>
      </c>
      <c r="G160" s="76">
        <v>1000</v>
      </c>
      <c r="H160" s="218"/>
      <c r="I160" s="220">
        <v>287998.07</v>
      </c>
      <c r="J160" s="217" t="s">
        <v>372</v>
      </c>
      <c r="K160" s="214">
        <v>2</v>
      </c>
    </row>
    <row r="161" spans="1:11" ht="12.75" customHeight="1" x14ac:dyDescent="0.25">
      <c r="A161" s="34" t="s">
        <v>68</v>
      </c>
      <c r="B161" s="89">
        <v>46113</v>
      </c>
      <c r="C161" s="46" t="s">
        <v>532</v>
      </c>
      <c r="D161" s="46" t="s">
        <v>55</v>
      </c>
      <c r="E161" s="46" t="s">
        <v>96</v>
      </c>
      <c r="F161" s="46" t="s">
        <v>57</v>
      </c>
      <c r="G161" s="76">
        <v>1005</v>
      </c>
      <c r="H161" s="218"/>
      <c r="I161" s="220">
        <v>289003.07</v>
      </c>
      <c r="J161" s="217" t="s">
        <v>375</v>
      </c>
      <c r="K161" s="214">
        <v>2</v>
      </c>
    </row>
    <row r="162" spans="1:11" ht="12.75" customHeight="1" x14ac:dyDescent="0.25">
      <c r="A162" s="34" t="s">
        <v>68</v>
      </c>
      <c r="B162" s="89">
        <v>46113</v>
      </c>
      <c r="C162" s="46" t="s">
        <v>532</v>
      </c>
      <c r="D162" s="46" t="s">
        <v>55</v>
      </c>
      <c r="E162" s="46" t="s">
        <v>96</v>
      </c>
      <c r="F162" s="46" t="s">
        <v>57</v>
      </c>
      <c r="G162" s="76">
        <v>49.52</v>
      </c>
      <c r="H162" s="218"/>
      <c r="I162" s="220">
        <v>289052.59000000003</v>
      </c>
      <c r="J162" s="217" t="s">
        <v>375</v>
      </c>
      <c r="K162" s="214">
        <v>2</v>
      </c>
    </row>
    <row r="163" spans="1:11" ht="12.75" customHeight="1" x14ac:dyDescent="0.25">
      <c r="A163" s="34" t="s">
        <v>53</v>
      </c>
      <c r="B163" s="89">
        <v>46113</v>
      </c>
      <c r="C163" s="46" t="s">
        <v>533</v>
      </c>
      <c r="D163" s="46" t="s">
        <v>55</v>
      </c>
      <c r="E163" s="46" t="s">
        <v>102</v>
      </c>
      <c r="F163" s="46" t="s">
        <v>22</v>
      </c>
      <c r="G163" s="76">
        <v>1000</v>
      </c>
      <c r="H163" s="218"/>
      <c r="I163" s="220">
        <v>290052.59000000003</v>
      </c>
      <c r="J163" s="217" t="s">
        <v>375</v>
      </c>
      <c r="K163" s="214">
        <v>2</v>
      </c>
    </row>
    <row r="164" spans="1:11" ht="12.75" customHeight="1" x14ac:dyDescent="0.25">
      <c r="A164" s="34" t="s">
        <v>53</v>
      </c>
      <c r="B164" s="89">
        <v>46113</v>
      </c>
      <c r="C164" s="46" t="s">
        <v>533</v>
      </c>
      <c r="D164" s="46" t="s">
        <v>55</v>
      </c>
      <c r="E164" s="46" t="s">
        <v>102</v>
      </c>
      <c r="F164" s="46" t="s">
        <v>22</v>
      </c>
      <c r="G164" s="76">
        <v>48.96</v>
      </c>
      <c r="H164" s="218"/>
      <c r="I164" s="220">
        <v>290101.55</v>
      </c>
      <c r="J164" s="217" t="s">
        <v>375</v>
      </c>
      <c r="K164" s="214">
        <v>2</v>
      </c>
    </row>
    <row r="165" spans="1:11" ht="12.75" customHeight="1" x14ac:dyDescent="0.25">
      <c r="A165" s="34" t="s">
        <v>53</v>
      </c>
      <c r="B165" s="89">
        <v>46113</v>
      </c>
      <c r="C165" s="46" t="s">
        <v>534</v>
      </c>
      <c r="D165" s="46" t="s">
        <v>55</v>
      </c>
      <c r="E165" s="46" t="s">
        <v>247</v>
      </c>
      <c r="F165" s="46" t="s">
        <v>19</v>
      </c>
      <c r="G165" s="76">
        <v>1040</v>
      </c>
      <c r="H165" s="218"/>
      <c r="I165" s="220">
        <v>291141.55</v>
      </c>
      <c r="J165" s="217" t="s">
        <v>375</v>
      </c>
      <c r="K165" s="214">
        <v>2</v>
      </c>
    </row>
    <row r="166" spans="1:11" ht="12.75" customHeight="1" x14ac:dyDescent="0.25">
      <c r="A166" s="34" t="s">
        <v>53</v>
      </c>
      <c r="B166" s="89">
        <v>46113</v>
      </c>
      <c r="C166" s="46" t="s">
        <v>534</v>
      </c>
      <c r="D166" s="46" t="s">
        <v>55</v>
      </c>
      <c r="E166" s="46" t="s">
        <v>247</v>
      </c>
      <c r="F166" s="46" t="s">
        <v>19</v>
      </c>
      <c r="G166" s="76">
        <v>48.96</v>
      </c>
      <c r="H166" s="218"/>
      <c r="I166" s="220">
        <v>291190.51</v>
      </c>
      <c r="J166" s="217" t="s">
        <v>375</v>
      </c>
      <c r="K166" s="214">
        <v>2</v>
      </c>
    </row>
    <row r="167" spans="1:11" ht="12.75" customHeight="1" x14ac:dyDescent="0.25">
      <c r="A167" s="34" t="s">
        <v>53</v>
      </c>
      <c r="B167" s="89">
        <v>46113</v>
      </c>
      <c r="C167" s="46" t="s">
        <v>535</v>
      </c>
      <c r="D167" s="46" t="s">
        <v>55</v>
      </c>
      <c r="E167" s="46" t="s">
        <v>125</v>
      </c>
      <c r="F167" s="46" t="s">
        <v>19</v>
      </c>
      <c r="G167" s="76">
        <v>1000</v>
      </c>
      <c r="H167" s="218"/>
      <c r="I167" s="220">
        <v>292190.51</v>
      </c>
      <c r="J167" s="217" t="s">
        <v>375</v>
      </c>
      <c r="K167" s="214">
        <v>2</v>
      </c>
    </row>
    <row r="168" spans="1:11" ht="12.75" customHeight="1" x14ac:dyDescent="0.25">
      <c r="A168" s="34" t="s">
        <v>53</v>
      </c>
      <c r="B168" s="89">
        <v>46113</v>
      </c>
      <c r="C168" s="46" t="s">
        <v>535</v>
      </c>
      <c r="D168" s="46" t="s">
        <v>55</v>
      </c>
      <c r="E168" s="46" t="s">
        <v>125</v>
      </c>
      <c r="F168" s="46" t="s">
        <v>19</v>
      </c>
      <c r="G168" s="76">
        <v>48.96</v>
      </c>
      <c r="H168" s="218"/>
      <c r="I168" s="220">
        <v>292239.46999999997</v>
      </c>
      <c r="J168" s="217" t="s">
        <v>375</v>
      </c>
      <c r="K168" s="214">
        <v>2</v>
      </c>
    </row>
    <row r="169" spans="1:11" ht="12.75" customHeight="1" x14ac:dyDescent="0.25">
      <c r="A169" s="34" t="s">
        <v>68</v>
      </c>
      <c r="B169" s="89">
        <v>46113</v>
      </c>
      <c r="C169" s="46" t="s">
        <v>536</v>
      </c>
      <c r="D169" s="46" t="s">
        <v>537</v>
      </c>
      <c r="E169" s="46" t="s">
        <v>79</v>
      </c>
      <c r="F169" s="46" t="s">
        <v>17</v>
      </c>
      <c r="G169" s="76">
        <v>49.52</v>
      </c>
      <c r="H169" s="218"/>
      <c r="I169" s="220">
        <v>292288.99</v>
      </c>
      <c r="J169" s="217" t="s">
        <v>372</v>
      </c>
      <c r="K169" s="214">
        <v>2</v>
      </c>
    </row>
    <row r="170" spans="1:11" ht="12.75" customHeight="1" x14ac:dyDescent="0.25">
      <c r="A170" s="34" t="s">
        <v>68</v>
      </c>
      <c r="B170" s="89">
        <v>46113</v>
      </c>
      <c r="C170" s="46" t="s">
        <v>536</v>
      </c>
      <c r="D170" s="46" t="s">
        <v>537</v>
      </c>
      <c r="E170" s="46" t="s">
        <v>79</v>
      </c>
      <c r="F170" s="46" t="s">
        <v>17</v>
      </c>
      <c r="G170" s="76">
        <v>1005</v>
      </c>
      <c r="H170" s="218"/>
      <c r="I170" s="220">
        <v>293293.99</v>
      </c>
      <c r="J170" s="217" t="s">
        <v>372</v>
      </c>
      <c r="K170" s="214">
        <v>2</v>
      </c>
    </row>
    <row r="171" spans="1:11" ht="12.75" customHeight="1" x14ac:dyDescent="0.25">
      <c r="A171" s="34" t="s">
        <v>53</v>
      </c>
      <c r="B171" s="89">
        <v>46113</v>
      </c>
      <c r="C171" s="46" t="s">
        <v>538</v>
      </c>
      <c r="D171" s="46" t="s">
        <v>55</v>
      </c>
      <c r="E171" s="46" t="s">
        <v>158</v>
      </c>
      <c r="F171" s="46" t="s">
        <v>22</v>
      </c>
      <c r="G171" s="76">
        <v>1000</v>
      </c>
      <c r="H171" s="218"/>
      <c r="I171" s="220">
        <v>294293.99</v>
      </c>
      <c r="J171" s="217" t="s">
        <v>374</v>
      </c>
      <c r="K171" s="214">
        <v>2</v>
      </c>
    </row>
    <row r="172" spans="1:11" ht="12.75" customHeight="1" x14ac:dyDescent="0.25">
      <c r="A172" s="34" t="s">
        <v>53</v>
      </c>
      <c r="B172" s="89">
        <v>46113</v>
      </c>
      <c r="C172" s="46" t="s">
        <v>538</v>
      </c>
      <c r="D172" s="46" t="s">
        <v>55</v>
      </c>
      <c r="E172" s="46" t="s">
        <v>158</v>
      </c>
      <c r="F172" s="46" t="s">
        <v>22</v>
      </c>
      <c r="G172" s="76">
        <v>48.96</v>
      </c>
      <c r="H172" s="218"/>
      <c r="I172" s="220">
        <v>294342.95</v>
      </c>
      <c r="J172" s="217" t="s">
        <v>374</v>
      </c>
      <c r="K172" s="214">
        <v>2</v>
      </c>
    </row>
    <row r="173" spans="1:11" ht="12.75" customHeight="1" x14ac:dyDescent="0.25">
      <c r="A173" s="34" t="s">
        <v>68</v>
      </c>
      <c r="B173" s="89">
        <v>46113</v>
      </c>
      <c r="C173" s="46" t="s">
        <v>539</v>
      </c>
      <c r="D173" s="46" t="s">
        <v>55</v>
      </c>
      <c r="E173" s="46" t="s">
        <v>76</v>
      </c>
      <c r="F173" s="46" t="s">
        <v>19</v>
      </c>
      <c r="G173" s="76">
        <v>1005</v>
      </c>
      <c r="H173" s="218"/>
      <c r="I173" s="220">
        <v>295347.95</v>
      </c>
      <c r="J173" s="217" t="s">
        <v>374</v>
      </c>
      <c r="K173" s="214">
        <v>2</v>
      </c>
    </row>
    <row r="174" spans="1:11" ht="12.75" customHeight="1" x14ac:dyDescent="0.25">
      <c r="A174" s="34" t="s">
        <v>68</v>
      </c>
      <c r="B174" s="89">
        <v>46113</v>
      </c>
      <c r="C174" s="46" t="s">
        <v>539</v>
      </c>
      <c r="D174" s="46" t="s">
        <v>55</v>
      </c>
      <c r="E174" s="46" t="s">
        <v>76</v>
      </c>
      <c r="F174" s="46" t="s">
        <v>19</v>
      </c>
      <c r="G174" s="76">
        <v>49.52</v>
      </c>
      <c r="H174" s="218"/>
      <c r="I174" s="220">
        <v>295397.46999999997</v>
      </c>
      <c r="J174" s="217" t="s">
        <v>374</v>
      </c>
      <c r="K174" s="214">
        <v>2</v>
      </c>
    </row>
    <row r="175" spans="1:11" ht="12.75" customHeight="1" x14ac:dyDescent="0.25">
      <c r="A175" s="34" t="s">
        <v>68</v>
      </c>
      <c r="B175" s="89">
        <v>46113</v>
      </c>
      <c r="C175" s="46" t="s">
        <v>540</v>
      </c>
      <c r="D175" s="46" t="s">
        <v>541</v>
      </c>
      <c r="E175" s="46" t="s">
        <v>98</v>
      </c>
      <c r="F175" s="46" t="s">
        <v>18</v>
      </c>
      <c r="G175" s="76">
        <v>49.52</v>
      </c>
      <c r="H175" s="218"/>
      <c r="I175" s="220">
        <v>295446.99</v>
      </c>
      <c r="J175" s="217" t="s">
        <v>372</v>
      </c>
      <c r="K175" s="214">
        <v>2</v>
      </c>
    </row>
    <row r="176" spans="1:11" ht="12.75" customHeight="1" x14ac:dyDescent="0.25">
      <c r="A176" s="34" t="s">
        <v>68</v>
      </c>
      <c r="B176" s="89">
        <v>46113</v>
      </c>
      <c r="C176" s="46" t="s">
        <v>540</v>
      </c>
      <c r="D176" s="46" t="s">
        <v>541</v>
      </c>
      <c r="E176" s="46" t="s">
        <v>98</v>
      </c>
      <c r="F176" s="46" t="s">
        <v>18</v>
      </c>
      <c r="G176" s="76">
        <v>1005</v>
      </c>
      <c r="H176" s="218"/>
      <c r="I176" s="220">
        <v>296451.99</v>
      </c>
      <c r="J176" s="217" t="s">
        <v>372</v>
      </c>
      <c r="K176" s="214">
        <v>2</v>
      </c>
    </row>
    <row r="177" spans="1:11" ht="12.75" customHeight="1" x14ac:dyDescent="0.25">
      <c r="A177" s="34" t="s">
        <v>68</v>
      </c>
      <c r="B177" s="89">
        <v>46113</v>
      </c>
      <c r="C177" s="46" t="s">
        <v>542</v>
      </c>
      <c r="D177" s="46" t="s">
        <v>543</v>
      </c>
      <c r="E177" s="46" t="s">
        <v>80</v>
      </c>
      <c r="F177" s="46" t="s">
        <v>17</v>
      </c>
      <c r="G177" s="76">
        <v>49.52</v>
      </c>
      <c r="H177" s="218"/>
      <c r="I177" s="220">
        <v>296501.51</v>
      </c>
      <c r="J177" s="217" t="s">
        <v>372</v>
      </c>
      <c r="K177" s="214">
        <v>2</v>
      </c>
    </row>
    <row r="178" spans="1:11" ht="12.75" customHeight="1" x14ac:dyDescent="0.25">
      <c r="A178" s="34" t="s">
        <v>68</v>
      </c>
      <c r="B178" s="89">
        <v>46113</v>
      </c>
      <c r="C178" s="46" t="s">
        <v>542</v>
      </c>
      <c r="D178" s="46" t="s">
        <v>543</v>
      </c>
      <c r="E178" s="46" t="s">
        <v>80</v>
      </c>
      <c r="F178" s="46" t="s">
        <v>17</v>
      </c>
      <c r="G178" s="76">
        <v>1005</v>
      </c>
      <c r="H178" s="218"/>
      <c r="I178" s="220">
        <v>297506.51</v>
      </c>
      <c r="J178" s="217" t="s">
        <v>372</v>
      </c>
      <c r="K178" s="214">
        <v>2</v>
      </c>
    </row>
    <row r="179" spans="1:11" ht="12.75" customHeight="1" x14ac:dyDescent="0.25">
      <c r="A179" s="34" t="s">
        <v>53</v>
      </c>
      <c r="B179" s="89">
        <v>46113</v>
      </c>
      <c r="C179" s="46" t="s">
        <v>544</v>
      </c>
      <c r="D179" s="46" t="s">
        <v>55</v>
      </c>
      <c r="E179" s="46" t="s">
        <v>109</v>
      </c>
      <c r="F179" s="46" t="s">
        <v>19</v>
      </c>
      <c r="G179" s="76">
        <v>1000</v>
      </c>
      <c r="H179" s="218"/>
      <c r="I179" s="220">
        <v>298506.51</v>
      </c>
      <c r="J179" s="217" t="s">
        <v>374</v>
      </c>
      <c r="K179" s="214">
        <v>2</v>
      </c>
    </row>
    <row r="180" spans="1:11" ht="12.75" customHeight="1" x14ac:dyDescent="0.25">
      <c r="A180" s="34" t="s">
        <v>53</v>
      </c>
      <c r="B180" s="89">
        <v>46113</v>
      </c>
      <c r="C180" s="46" t="s">
        <v>544</v>
      </c>
      <c r="D180" s="46" t="s">
        <v>55</v>
      </c>
      <c r="E180" s="46" t="s">
        <v>109</v>
      </c>
      <c r="F180" s="46" t="s">
        <v>19</v>
      </c>
      <c r="G180" s="76">
        <v>48.96</v>
      </c>
      <c r="H180" s="218"/>
      <c r="I180" s="220">
        <v>298555.46999999997</v>
      </c>
      <c r="J180" s="217" t="s">
        <v>374</v>
      </c>
      <c r="K180" s="214">
        <v>2</v>
      </c>
    </row>
    <row r="181" spans="1:11" ht="12.75" customHeight="1" x14ac:dyDescent="0.25">
      <c r="A181" s="34" t="s">
        <v>68</v>
      </c>
      <c r="B181" s="89">
        <v>46113</v>
      </c>
      <c r="C181" s="46" t="s">
        <v>545</v>
      </c>
      <c r="D181" s="46" t="s">
        <v>546</v>
      </c>
      <c r="E181" s="46" t="s">
        <v>256</v>
      </c>
      <c r="F181" s="46" t="s">
        <v>129</v>
      </c>
      <c r="G181" s="76">
        <v>49.52</v>
      </c>
      <c r="H181" s="218"/>
      <c r="I181" s="220">
        <v>298604.99</v>
      </c>
      <c r="J181" s="217" t="s">
        <v>371</v>
      </c>
      <c r="K181" s="214">
        <v>2</v>
      </c>
    </row>
    <row r="182" spans="1:11" ht="12.75" customHeight="1" x14ac:dyDescent="0.25">
      <c r="A182" s="34" t="s">
        <v>68</v>
      </c>
      <c r="B182" s="89">
        <v>46113</v>
      </c>
      <c r="C182" s="46" t="s">
        <v>545</v>
      </c>
      <c r="D182" s="46" t="s">
        <v>546</v>
      </c>
      <c r="E182" s="46" t="s">
        <v>256</v>
      </c>
      <c r="F182" s="46" t="s">
        <v>129</v>
      </c>
      <c r="G182" s="76">
        <v>1020</v>
      </c>
      <c r="H182" s="218"/>
      <c r="I182" s="220">
        <v>299624.99</v>
      </c>
      <c r="J182" s="53" t="s">
        <v>371</v>
      </c>
      <c r="K182" s="214">
        <v>2</v>
      </c>
    </row>
    <row r="183" spans="1:11" ht="12.75" customHeight="1" x14ac:dyDescent="0.25">
      <c r="A183" s="34" t="s">
        <v>53</v>
      </c>
      <c r="B183" s="89">
        <v>46113</v>
      </c>
      <c r="C183" s="46" t="s">
        <v>547</v>
      </c>
      <c r="D183" s="46" t="s">
        <v>548</v>
      </c>
      <c r="E183" s="46" t="s">
        <v>135</v>
      </c>
      <c r="F183" s="46" t="s">
        <v>17</v>
      </c>
      <c r="G183" s="76">
        <v>48.96</v>
      </c>
      <c r="H183" s="218"/>
      <c r="I183" s="220">
        <v>299673.95</v>
      </c>
      <c r="J183" s="217" t="s">
        <v>371</v>
      </c>
      <c r="K183" s="214">
        <v>2</v>
      </c>
    </row>
    <row r="184" spans="1:11" ht="12.75" customHeight="1" x14ac:dyDescent="0.25">
      <c r="A184" s="34" t="s">
        <v>53</v>
      </c>
      <c r="B184" s="89">
        <v>46113</v>
      </c>
      <c r="C184" s="46" t="s">
        <v>547</v>
      </c>
      <c r="D184" s="46" t="s">
        <v>548</v>
      </c>
      <c r="E184" s="46" t="s">
        <v>135</v>
      </c>
      <c r="F184" s="46" t="s">
        <v>17</v>
      </c>
      <c r="G184" s="76">
        <v>1000</v>
      </c>
      <c r="H184" s="218"/>
      <c r="I184" s="220">
        <v>300673.95</v>
      </c>
      <c r="J184" s="217" t="s">
        <v>371</v>
      </c>
      <c r="K184" s="214">
        <v>2</v>
      </c>
    </row>
    <row r="185" spans="1:11" ht="12.75" customHeight="1" x14ac:dyDescent="0.25">
      <c r="A185" s="34" t="s">
        <v>68</v>
      </c>
      <c r="B185" s="89">
        <v>46113</v>
      </c>
      <c r="C185" s="46" t="s">
        <v>549</v>
      </c>
      <c r="D185" s="46" t="s">
        <v>55</v>
      </c>
      <c r="E185" s="46" t="s">
        <v>99</v>
      </c>
      <c r="F185" s="46" t="s">
        <v>19</v>
      </c>
      <c r="G185" s="76">
        <v>1005</v>
      </c>
      <c r="H185" s="218"/>
      <c r="I185" s="220">
        <v>301678.95</v>
      </c>
      <c r="J185" s="53" t="s">
        <v>374</v>
      </c>
      <c r="K185" s="214">
        <v>2</v>
      </c>
    </row>
    <row r="186" spans="1:11" ht="12.75" customHeight="1" x14ac:dyDescent="0.25">
      <c r="A186" s="34" t="s">
        <v>68</v>
      </c>
      <c r="B186" s="89">
        <v>46113</v>
      </c>
      <c r="C186" s="46" t="s">
        <v>549</v>
      </c>
      <c r="D186" s="46" t="s">
        <v>55</v>
      </c>
      <c r="E186" s="46" t="s">
        <v>99</v>
      </c>
      <c r="F186" s="46" t="s">
        <v>19</v>
      </c>
      <c r="G186" s="76">
        <v>49.52</v>
      </c>
      <c r="H186" s="218"/>
      <c r="I186" s="220">
        <v>301728.46999999997</v>
      </c>
      <c r="J186" s="53" t="s">
        <v>374</v>
      </c>
      <c r="K186" s="214">
        <v>2</v>
      </c>
    </row>
    <row r="187" spans="1:11" ht="12.75" customHeight="1" x14ac:dyDescent="0.25">
      <c r="A187" s="34" t="s">
        <v>68</v>
      </c>
      <c r="B187" s="89">
        <v>46113</v>
      </c>
      <c r="C187" s="46" t="s">
        <v>550</v>
      </c>
      <c r="D187" s="46" t="s">
        <v>55</v>
      </c>
      <c r="E187" s="46" t="s">
        <v>116</v>
      </c>
      <c r="F187" s="46" t="s">
        <v>22</v>
      </c>
      <c r="G187" s="76">
        <v>1005</v>
      </c>
      <c r="H187" s="218"/>
      <c r="I187" s="220">
        <v>302733.46999999997</v>
      </c>
      <c r="J187" s="217" t="s">
        <v>374</v>
      </c>
      <c r="K187" s="214">
        <v>2</v>
      </c>
    </row>
    <row r="188" spans="1:11" ht="12.75" customHeight="1" x14ac:dyDescent="0.25">
      <c r="A188" s="34" t="s">
        <v>68</v>
      </c>
      <c r="B188" s="89">
        <v>46113</v>
      </c>
      <c r="C188" s="46" t="s">
        <v>550</v>
      </c>
      <c r="D188" s="46" t="s">
        <v>55</v>
      </c>
      <c r="E188" s="46" t="s">
        <v>116</v>
      </c>
      <c r="F188" s="46" t="s">
        <v>22</v>
      </c>
      <c r="G188" s="76">
        <v>49.52</v>
      </c>
      <c r="H188" s="218"/>
      <c r="I188" s="220">
        <v>302782.99</v>
      </c>
      <c r="J188" s="217" t="s">
        <v>374</v>
      </c>
      <c r="K188" s="214">
        <v>2</v>
      </c>
    </row>
    <row r="189" spans="1:11" ht="12.75" customHeight="1" x14ac:dyDescent="0.25">
      <c r="A189" s="34" t="s">
        <v>68</v>
      </c>
      <c r="B189" s="89">
        <v>46113</v>
      </c>
      <c r="C189" s="46" t="s">
        <v>551</v>
      </c>
      <c r="D189" s="46" t="s">
        <v>55</v>
      </c>
      <c r="E189" s="46" t="s">
        <v>101</v>
      </c>
      <c r="F189" s="46" t="s">
        <v>22</v>
      </c>
      <c r="G189" s="76">
        <v>1005</v>
      </c>
      <c r="H189" s="218"/>
      <c r="I189" s="220">
        <v>303787.99</v>
      </c>
      <c r="J189" s="53" t="s">
        <v>374</v>
      </c>
      <c r="K189" s="214">
        <v>2</v>
      </c>
    </row>
    <row r="190" spans="1:11" ht="12.75" customHeight="1" x14ac:dyDescent="0.25">
      <c r="A190" s="34" t="s">
        <v>68</v>
      </c>
      <c r="B190" s="89">
        <v>46113</v>
      </c>
      <c r="C190" s="46" t="s">
        <v>551</v>
      </c>
      <c r="D190" s="46" t="s">
        <v>55</v>
      </c>
      <c r="E190" s="46" t="s">
        <v>101</v>
      </c>
      <c r="F190" s="46" t="s">
        <v>22</v>
      </c>
      <c r="G190" s="76">
        <v>735</v>
      </c>
      <c r="H190" s="218"/>
      <c r="I190" s="220">
        <v>304522.99</v>
      </c>
      <c r="J190" s="53" t="s">
        <v>374</v>
      </c>
      <c r="K190" s="214">
        <v>2</v>
      </c>
    </row>
    <row r="191" spans="1:11" ht="12.75" customHeight="1" x14ac:dyDescent="0.25">
      <c r="A191" s="34" t="s">
        <v>68</v>
      </c>
      <c r="B191" s="89">
        <v>46113</v>
      </c>
      <c r="C191" s="46" t="s">
        <v>551</v>
      </c>
      <c r="D191" s="46" t="s">
        <v>55</v>
      </c>
      <c r="E191" s="46" t="s">
        <v>101</v>
      </c>
      <c r="F191" s="46" t="s">
        <v>22</v>
      </c>
      <c r="G191" s="76">
        <v>49.52</v>
      </c>
      <c r="H191" s="218"/>
      <c r="I191" s="220">
        <v>304572.51</v>
      </c>
      <c r="J191" s="217" t="s">
        <v>374</v>
      </c>
      <c r="K191" s="214">
        <v>2</v>
      </c>
    </row>
    <row r="192" spans="1:11" ht="12.75" customHeight="1" x14ac:dyDescent="0.25">
      <c r="A192" s="34" t="s">
        <v>68</v>
      </c>
      <c r="B192" s="89">
        <v>46113</v>
      </c>
      <c r="C192" s="46" t="s">
        <v>552</v>
      </c>
      <c r="D192" s="46" t="s">
        <v>553</v>
      </c>
      <c r="E192" s="46" t="s">
        <v>179</v>
      </c>
      <c r="F192" s="46" t="s">
        <v>16</v>
      </c>
      <c r="G192" s="76">
        <v>49.52</v>
      </c>
      <c r="H192" s="218"/>
      <c r="I192" s="220">
        <v>304622.03000000003</v>
      </c>
      <c r="J192" s="217" t="s">
        <v>371</v>
      </c>
      <c r="K192" s="214">
        <v>2</v>
      </c>
    </row>
    <row r="193" spans="1:11" ht="12.75" customHeight="1" x14ac:dyDescent="0.25">
      <c r="A193" s="34" t="s">
        <v>68</v>
      </c>
      <c r="B193" s="89">
        <v>46113</v>
      </c>
      <c r="C193" s="46" t="s">
        <v>552</v>
      </c>
      <c r="D193" s="46" t="s">
        <v>553</v>
      </c>
      <c r="E193" s="46" t="s">
        <v>179</v>
      </c>
      <c r="F193" s="46" t="s">
        <v>16</v>
      </c>
      <c r="G193" s="76">
        <v>1020</v>
      </c>
      <c r="H193" s="218"/>
      <c r="I193" s="220">
        <v>305642.03000000003</v>
      </c>
      <c r="J193" s="53" t="s">
        <v>371</v>
      </c>
      <c r="K193" s="214">
        <v>2</v>
      </c>
    </row>
    <row r="194" spans="1:11" ht="12.75" customHeight="1" x14ac:dyDescent="0.25">
      <c r="A194" s="34" t="s">
        <v>53</v>
      </c>
      <c r="B194" s="89">
        <v>46113</v>
      </c>
      <c r="C194" s="46" t="s">
        <v>554</v>
      </c>
      <c r="D194" s="46" t="s">
        <v>555</v>
      </c>
      <c r="E194" s="46" t="s">
        <v>555</v>
      </c>
      <c r="F194" s="46" t="s">
        <v>339</v>
      </c>
      <c r="H194" s="218">
        <v>-10807.57</v>
      </c>
      <c r="I194" s="220">
        <v>294834.46000000002</v>
      </c>
      <c r="J194" s="89">
        <v>46112</v>
      </c>
      <c r="K194" s="214">
        <v>-4</v>
      </c>
    </row>
    <row r="195" spans="1:11" ht="12.75" customHeight="1" x14ac:dyDescent="0.25">
      <c r="A195" s="34" t="s">
        <v>68</v>
      </c>
      <c r="B195" s="89">
        <v>46113</v>
      </c>
      <c r="C195" s="46" t="s">
        <v>554</v>
      </c>
      <c r="D195" s="46" t="s">
        <v>555</v>
      </c>
      <c r="E195" s="46" t="s">
        <v>555</v>
      </c>
      <c r="F195" s="46" t="s">
        <v>340</v>
      </c>
      <c r="H195" s="218">
        <v>-8824.7199999999993</v>
      </c>
      <c r="I195" s="220">
        <v>286009.74</v>
      </c>
      <c r="J195" s="89">
        <v>46112</v>
      </c>
      <c r="K195" s="214">
        <v>-4</v>
      </c>
    </row>
    <row r="196" spans="1:11" ht="12.75" customHeight="1" x14ac:dyDescent="0.25">
      <c r="A196" s="34" t="s">
        <v>53</v>
      </c>
      <c r="B196" s="89">
        <v>46113</v>
      </c>
      <c r="C196" s="46" t="s">
        <v>556</v>
      </c>
      <c r="D196" s="46" t="s">
        <v>557</v>
      </c>
      <c r="E196" s="46" t="s">
        <v>557</v>
      </c>
      <c r="F196" s="46" t="s">
        <v>557</v>
      </c>
      <c r="G196" s="76">
        <v>4122.76</v>
      </c>
      <c r="H196" s="218"/>
      <c r="I196" s="220">
        <v>290132.5</v>
      </c>
      <c r="J196" s="89">
        <v>46112</v>
      </c>
      <c r="K196" s="214">
        <v>4</v>
      </c>
    </row>
    <row r="197" spans="1:11" ht="12.75" customHeight="1" x14ac:dyDescent="0.25">
      <c r="A197" s="34" t="s">
        <v>68</v>
      </c>
      <c r="B197" s="89">
        <v>46113</v>
      </c>
      <c r="C197" s="46" t="s">
        <v>558</v>
      </c>
      <c r="D197" s="46" t="s">
        <v>559</v>
      </c>
      <c r="E197" s="46" t="s">
        <v>559</v>
      </c>
      <c r="F197" s="46" t="s">
        <v>559</v>
      </c>
      <c r="G197" s="76">
        <v>3994.34</v>
      </c>
      <c r="H197" s="218"/>
      <c r="I197" s="220">
        <v>294126.84000000003</v>
      </c>
      <c r="J197" s="89">
        <v>46112</v>
      </c>
      <c r="K197" s="214">
        <v>4</v>
      </c>
    </row>
    <row r="198" spans="1:11" ht="12.75" customHeight="1" x14ac:dyDescent="0.25">
      <c r="A198" s="34" t="s">
        <v>53</v>
      </c>
      <c r="B198" s="89">
        <v>46113</v>
      </c>
      <c r="C198" s="46" t="s">
        <v>560</v>
      </c>
      <c r="D198" s="46" t="s">
        <v>561</v>
      </c>
      <c r="E198" s="46" t="s">
        <v>561</v>
      </c>
      <c r="F198" s="46" t="s">
        <v>561</v>
      </c>
      <c r="G198" s="76">
        <v>829.13</v>
      </c>
      <c r="H198" s="218"/>
      <c r="I198" s="220">
        <v>294955.96999999997</v>
      </c>
      <c r="J198" s="217" t="s">
        <v>376</v>
      </c>
      <c r="K198" s="214">
        <v>2</v>
      </c>
    </row>
    <row r="199" spans="1:11" ht="12.75" customHeight="1" x14ac:dyDescent="0.25">
      <c r="A199" s="34" t="s">
        <v>53</v>
      </c>
      <c r="B199" s="89">
        <v>46113</v>
      </c>
      <c r="C199" s="46" t="s">
        <v>562</v>
      </c>
      <c r="D199" s="46" t="s">
        <v>563</v>
      </c>
      <c r="E199" s="46" t="s">
        <v>563</v>
      </c>
      <c r="F199" s="46" t="s">
        <v>346</v>
      </c>
      <c r="G199" s="76">
        <v>1415</v>
      </c>
      <c r="H199" s="218"/>
      <c r="I199" s="220">
        <v>296370.96999999997</v>
      </c>
      <c r="J199" s="89">
        <v>46112</v>
      </c>
      <c r="K199" s="214">
        <v>4</v>
      </c>
    </row>
    <row r="200" spans="1:11" ht="12.75" customHeight="1" x14ac:dyDescent="0.25">
      <c r="A200" s="34" t="s">
        <v>68</v>
      </c>
      <c r="B200" s="89">
        <v>46113</v>
      </c>
      <c r="C200" s="46" t="s">
        <v>564</v>
      </c>
      <c r="D200" s="46" t="s">
        <v>565</v>
      </c>
      <c r="E200" s="46" t="s">
        <v>565</v>
      </c>
      <c r="F200" s="46" t="s">
        <v>346</v>
      </c>
      <c r="G200" s="76">
        <v>834</v>
      </c>
      <c r="H200" s="218"/>
      <c r="I200" s="220">
        <v>297204.96999999997</v>
      </c>
      <c r="J200" s="89">
        <v>46112</v>
      </c>
      <c r="K200" s="214">
        <v>4</v>
      </c>
    </row>
    <row r="201" spans="1:11" ht="12.75" customHeight="1" x14ac:dyDescent="0.25">
      <c r="A201" s="34" t="s">
        <v>68</v>
      </c>
      <c r="B201" s="89">
        <v>46114</v>
      </c>
      <c r="C201" s="46" t="s">
        <v>566</v>
      </c>
      <c r="D201" s="46" t="s">
        <v>368</v>
      </c>
      <c r="E201" s="46" t="s">
        <v>27</v>
      </c>
      <c r="F201" s="46" t="s">
        <v>936</v>
      </c>
      <c r="H201" s="218">
        <v>-78.650000000000006</v>
      </c>
      <c r="I201" s="220">
        <v>297126.32</v>
      </c>
      <c r="J201" s="217" t="s">
        <v>366</v>
      </c>
      <c r="K201" s="214">
        <v>-2</v>
      </c>
    </row>
    <row r="202" spans="1:11" ht="12.75" customHeight="1" x14ac:dyDescent="0.25">
      <c r="A202" s="34" t="s">
        <v>68</v>
      </c>
      <c r="B202" s="89">
        <v>46114</v>
      </c>
      <c r="C202" s="46" t="s">
        <v>567</v>
      </c>
      <c r="D202" s="46" t="s">
        <v>568</v>
      </c>
      <c r="E202" s="46" t="s">
        <v>254</v>
      </c>
      <c r="F202" s="46" t="s">
        <v>937</v>
      </c>
      <c r="H202" s="218">
        <v>-487.79</v>
      </c>
      <c r="I202" s="220">
        <v>296638.53000000003</v>
      </c>
      <c r="J202" s="217" t="s">
        <v>374</v>
      </c>
      <c r="K202" s="214">
        <v>-2</v>
      </c>
    </row>
    <row r="203" spans="1:11" ht="12.75" customHeight="1" x14ac:dyDescent="0.25">
      <c r="A203" s="34" t="s">
        <v>53</v>
      </c>
      <c r="B203" s="89">
        <v>46114</v>
      </c>
      <c r="C203" s="46" t="s">
        <v>569</v>
      </c>
      <c r="D203" s="46" t="s">
        <v>369</v>
      </c>
      <c r="E203" s="46" t="s">
        <v>104</v>
      </c>
      <c r="F203" s="46" t="s">
        <v>938</v>
      </c>
      <c r="H203" s="218">
        <v>-28</v>
      </c>
      <c r="I203" s="220">
        <v>296610.53000000003</v>
      </c>
      <c r="J203" s="217" t="s">
        <v>366</v>
      </c>
      <c r="K203" s="214">
        <v>-2</v>
      </c>
    </row>
    <row r="204" spans="1:11" ht="12.75" customHeight="1" x14ac:dyDescent="0.25">
      <c r="A204" s="34" t="s">
        <v>68</v>
      </c>
      <c r="B204" s="89">
        <v>46114</v>
      </c>
      <c r="C204" s="46" t="s">
        <v>569</v>
      </c>
      <c r="D204" s="46" t="s">
        <v>369</v>
      </c>
      <c r="E204" s="46" t="s">
        <v>104</v>
      </c>
      <c r="F204" s="46" t="s">
        <v>938</v>
      </c>
      <c r="H204" s="218">
        <v>-10.5</v>
      </c>
      <c r="I204" s="220">
        <v>296600.03000000003</v>
      </c>
      <c r="J204" s="217" t="s">
        <v>366</v>
      </c>
      <c r="K204" s="214">
        <v>-2</v>
      </c>
    </row>
    <row r="205" spans="1:11" ht="12.75" customHeight="1" x14ac:dyDescent="0.25">
      <c r="A205" s="34" t="s">
        <v>53</v>
      </c>
      <c r="B205" s="89">
        <v>46114</v>
      </c>
      <c r="C205" s="46" t="s">
        <v>570</v>
      </c>
      <c r="D205" s="46" t="s">
        <v>571</v>
      </c>
      <c r="E205" s="46" t="s">
        <v>261</v>
      </c>
      <c r="F205" s="46" t="s">
        <v>118</v>
      </c>
      <c r="H205" s="218">
        <v>-824.55</v>
      </c>
      <c r="I205" s="220">
        <v>295775.48</v>
      </c>
      <c r="J205" s="53" t="s">
        <v>374</v>
      </c>
      <c r="K205" s="214">
        <v>-2</v>
      </c>
    </row>
    <row r="206" spans="1:11" ht="12.75" customHeight="1" x14ac:dyDescent="0.25">
      <c r="A206" s="34" t="s">
        <v>53</v>
      </c>
      <c r="B206" s="89">
        <v>46114</v>
      </c>
      <c r="C206" s="46" t="s">
        <v>570</v>
      </c>
      <c r="D206" s="46" t="s">
        <v>571</v>
      </c>
      <c r="E206" s="46" t="s">
        <v>261</v>
      </c>
      <c r="F206" s="46" t="s">
        <v>118</v>
      </c>
      <c r="H206" s="218">
        <v>-3298.21</v>
      </c>
      <c r="I206" s="220">
        <v>292477.27</v>
      </c>
      <c r="J206" s="217" t="s">
        <v>374</v>
      </c>
      <c r="K206" s="214">
        <v>-2</v>
      </c>
    </row>
    <row r="207" spans="1:11" ht="12.75" customHeight="1" x14ac:dyDescent="0.25">
      <c r="A207" s="34" t="s">
        <v>68</v>
      </c>
      <c r="B207" s="89">
        <v>46114</v>
      </c>
      <c r="C207" s="46" t="s">
        <v>570</v>
      </c>
      <c r="D207" s="46" t="s">
        <v>571</v>
      </c>
      <c r="E207" s="46" t="s">
        <v>261</v>
      </c>
      <c r="F207" s="46" t="s">
        <v>118</v>
      </c>
      <c r="H207" s="218">
        <v>-798.87</v>
      </c>
      <c r="I207" s="220">
        <v>291678.40000000002</v>
      </c>
      <c r="J207" s="217" t="s">
        <v>374</v>
      </c>
      <c r="K207" s="214">
        <v>-2</v>
      </c>
    </row>
    <row r="208" spans="1:11" ht="12.75" customHeight="1" x14ac:dyDescent="0.25">
      <c r="A208" s="34" t="s">
        <v>68</v>
      </c>
      <c r="B208" s="89">
        <v>46114</v>
      </c>
      <c r="C208" s="46" t="s">
        <v>570</v>
      </c>
      <c r="D208" s="46" t="s">
        <v>571</v>
      </c>
      <c r="E208" s="46" t="s">
        <v>261</v>
      </c>
      <c r="F208" s="46" t="s">
        <v>118</v>
      </c>
      <c r="H208" s="218">
        <v>-3195.47</v>
      </c>
      <c r="I208" s="220">
        <v>288482.93</v>
      </c>
      <c r="J208" s="53" t="s">
        <v>374</v>
      </c>
      <c r="K208" s="214">
        <v>-2</v>
      </c>
    </row>
    <row r="209" spans="1:11" ht="12.75" customHeight="1" x14ac:dyDescent="0.25">
      <c r="A209" s="34" t="s">
        <v>68</v>
      </c>
      <c r="B209" s="89">
        <v>46114</v>
      </c>
      <c r="C209" s="46" t="s">
        <v>572</v>
      </c>
      <c r="D209" s="46" t="s">
        <v>573</v>
      </c>
      <c r="E209" s="46" t="s">
        <v>144</v>
      </c>
      <c r="F209" s="46" t="s">
        <v>84</v>
      </c>
      <c r="G209" s="76">
        <v>1005</v>
      </c>
      <c r="H209" s="218"/>
      <c r="I209" s="220">
        <v>289487.93</v>
      </c>
      <c r="J209" s="53" t="s">
        <v>374</v>
      </c>
      <c r="K209" s="214">
        <v>2</v>
      </c>
    </row>
    <row r="210" spans="1:11" ht="12.75" customHeight="1" x14ac:dyDescent="0.25">
      <c r="A210" s="34" t="s">
        <v>68</v>
      </c>
      <c r="B210" s="89">
        <v>46114</v>
      </c>
      <c r="C210" s="46" t="s">
        <v>572</v>
      </c>
      <c r="D210" s="46" t="s">
        <v>573</v>
      </c>
      <c r="E210" s="46" t="s">
        <v>144</v>
      </c>
      <c r="F210" s="46" t="s">
        <v>84</v>
      </c>
      <c r="G210" s="76">
        <v>49.52</v>
      </c>
      <c r="H210" s="218"/>
      <c r="I210" s="220">
        <v>289537.45</v>
      </c>
      <c r="J210" s="217" t="s">
        <v>374</v>
      </c>
      <c r="K210" s="214">
        <v>2</v>
      </c>
    </row>
    <row r="211" spans="1:11" ht="12.75" customHeight="1" x14ac:dyDescent="0.25">
      <c r="A211" s="34" t="s">
        <v>68</v>
      </c>
      <c r="B211" s="89">
        <v>46114</v>
      </c>
      <c r="C211" s="46" t="s">
        <v>574</v>
      </c>
      <c r="D211" s="46" t="s">
        <v>575</v>
      </c>
      <c r="E211" s="46" t="s">
        <v>241</v>
      </c>
      <c r="F211" s="46" t="s">
        <v>84</v>
      </c>
      <c r="G211" s="76">
        <v>1005</v>
      </c>
      <c r="H211" s="218"/>
      <c r="I211" s="220">
        <v>290542.45</v>
      </c>
      <c r="J211" s="217" t="s">
        <v>374</v>
      </c>
      <c r="K211" s="214">
        <v>2</v>
      </c>
    </row>
    <row r="212" spans="1:11" ht="12.75" customHeight="1" x14ac:dyDescent="0.25">
      <c r="A212" s="34" t="s">
        <v>68</v>
      </c>
      <c r="B212" s="89">
        <v>46114</v>
      </c>
      <c r="C212" s="46" t="s">
        <v>574</v>
      </c>
      <c r="D212" s="46" t="s">
        <v>575</v>
      </c>
      <c r="E212" s="46" t="s">
        <v>241</v>
      </c>
      <c r="F212" s="46" t="s">
        <v>84</v>
      </c>
      <c r="G212" s="76">
        <v>49.52</v>
      </c>
      <c r="H212" s="218"/>
      <c r="I212" s="220">
        <v>290591.96999999997</v>
      </c>
      <c r="J212" s="217" t="s">
        <v>374</v>
      </c>
      <c r="K212" s="214">
        <v>2</v>
      </c>
    </row>
    <row r="213" spans="1:11" ht="12.75" customHeight="1" x14ac:dyDescent="0.25">
      <c r="A213" s="34" t="s">
        <v>68</v>
      </c>
      <c r="B213" s="89">
        <v>46114</v>
      </c>
      <c r="C213" s="46" t="s">
        <v>576</v>
      </c>
      <c r="D213" s="46" t="s">
        <v>577</v>
      </c>
      <c r="E213" s="46" t="s">
        <v>121</v>
      </c>
      <c r="F213" s="46" t="s">
        <v>90</v>
      </c>
      <c r="G213" s="76">
        <v>49.52</v>
      </c>
      <c r="H213" s="218"/>
      <c r="I213" s="220">
        <v>290641.49</v>
      </c>
      <c r="J213" s="217" t="s">
        <v>371</v>
      </c>
      <c r="K213" s="214">
        <v>2</v>
      </c>
    </row>
    <row r="214" spans="1:11" ht="12.75" customHeight="1" x14ac:dyDescent="0.25">
      <c r="A214" s="34" t="s">
        <v>68</v>
      </c>
      <c r="B214" s="89">
        <v>46114</v>
      </c>
      <c r="C214" s="46" t="s">
        <v>576</v>
      </c>
      <c r="D214" s="46" t="s">
        <v>577</v>
      </c>
      <c r="E214" s="46" t="s">
        <v>121</v>
      </c>
      <c r="F214" s="46" t="s">
        <v>90</v>
      </c>
      <c r="G214" s="76">
        <v>1020</v>
      </c>
      <c r="H214" s="218"/>
      <c r="I214" s="220">
        <v>291661.49</v>
      </c>
      <c r="J214" s="217" t="s">
        <v>371</v>
      </c>
      <c r="K214" s="214">
        <v>2</v>
      </c>
    </row>
    <row r="215" spans="1:11" ht="12.75" customHeight="1" x14ac:dyDescent="0.25">
      <c r="A215" s="34" t="s">
        <v>53</v>
      </c>
      <c r="B215" s="89">
        <v>46114</v>
      </c>
      <c r="C215" s="46" t="s">
        <v>578</v>
      </c>
      <c r="D215" s="46" t="s">
        <v>579</v>
      </c>
      <c r="E215" s="46" t="s">
        <v>64</v>
      </c>
      <c r="F215" s="46" t="s">
        <v>90</v>
      </c>
      <c r="G215" s="76">
        <v>48.96</v>
      </c>
      <c r="H215" s="218"/>
      <c r="I215" s="220">
        <v>291710.45</v>
      </c>
      <c r="J215" s="217" t="s">
        <v>371</v>
      </c>
      <c r="K215" s="214">
        <v>2</v>
      </c>
    </row>
    <row r="216" spans="1:11" ht="12.75" customHeight="1" x14ac:dyDescent="0.25">
      <c r="A216" s="34" t="s">
        <v>53</v>
      </c>
      <c r="B216" s="89">
        <v>46114</v>
      </c>
      <c r="C216" s="46" t="s">
        <v>578</v>
      </c>
      <c r="D216" s="46" t="s">
        <v>579</v>
      </c>
      <c r="E216" s="46" t="s">
        <v>64</v>
      </c>
      <c r="F216" s="46" t="s">
        <v>90</v>
      </c>
      <c r="G216" s="76">
        <v>1000</v>
      </c>
      <c r="H216" s="218"/>
      <c r="I216" s="220">
        <v>292710.45</v>
      </c>
      <c r="J216" s="217" t="s">
        <v>371</v>
      </c>
      <c r="K216" s="214">
        <v>2</v>
      </c>
    </row>
    <row r="217" spans="1:11" ht="12.75" customHeight="1" x14ac:dyDescent="0.25">
      <c r="A217" s="34" t="s">
        <v>53</v>
      </c>
      <c r="B217" s="89">
        <v>46114</v>
      </c>
      <c r="C217" s="46" t="s">
        <v>580</v>
      </c>
      <c r="D217" s="46" t="s">
        <v>581</v>
      </c>
      <c r="E217" s="46" t="s">
        <v>173</v>
      </c>
      <c r="F217" s="46" t="s">
        <v>90</v>
      </c>
      <c r="G217" s="76">
        <v>48.96</v>
      </c>
      <c r="H217" s="218"/>
      <c r="I217" s="220">
        <v>292759.40999999997</v>
      </c>
      <c r="J217" s="217" t="s">
        <v>371</v>
      </c>
      <c r="K217" s="214">
        <v>2</v>
      </c>
    </row>
    <row r="218" spans="1:11" ht="12.75" customHeight="1" x14ac:dyDescent="0.25">
      <c r="A218" s="34" t="s">
        <v>53</v>
      </c>
      <c r="B218" s="89">
        <v>46114</v>
      </c>
      <c r="C218" s="46" t="s">
        <v>580</v>
      </c>
      <c r="D218" s="46" t="s">
        <v>581</v>
      </c>
      <c r="E218" s="46" t="s">
        <v>173</v>
      </c>
      <c r="F218" s="46" t="s">
        <v>90</v>
      </c>
      <c r="G218" s="76">
        <v>1000</v>
      </c>
      <c r="H218" s="218"/>
      <c r="I218" s="220">
        <v>293759.40999999997</v>
      </c>
      <c r="J218" s="217" t="s">
        <v>371</v>
      </c>
      <c r="K218" s="214">
        <v>2</v>
      </c>
    </row>
    <row r="219" spans="1:11" ht="12.75" customHeight="1" x14ac:dyDescent="0.25">
      <c r="A219" s="34" t="s">
        <v>53</v>
      </c>
      <c r="B219" s="89">
        <v>46114</v>
      </c>
      <c r="C219" s="46" t="s">
        <v>582</v>
      </c>
      <c r="D219" s="46" t="s">
        <v>583</v>
      </c>
      <c r="E219" s="46" t="s">
        <v>252</v>
      </c>
      <c r="F219" s="46" t="s">
        <v>90</v>
      </c>
      <c r="G219" s="76">
        <v>48.96</v>
      </c>
      <c r="H219" s="218"/>
      <c r="I219" s="220">
        <v>293808.37</v>
      </c>
      <c r="J219" s="217" t="s">
        <v>371</v>
      </c>
      <c r="K219" s="214">
        <v>2</v>
      </c>
    </row>
    <row r="220" spans="1:11" ht="12.75" customHeight="1" x14ac:dyDescent="0.25">
      <c r="A220" s="34" t="s">
        <v>53</v>
      </c>
      <c r="B220" s="89">
        <v>46114</v>
      </c>
      <c r="C220" s="46" t="s">
        <v>582</v>
      </c>
      <c r="D220" s="46" t="s">
        <v>583</v>
      </c>
      <c r="E220" s="46" t="s">
        <v>252</v>
      </c>
      <c r="F220" s="46" t="s">
        <v>90</v>
      </c>
      <c r="G220" s="76">
        <v>1040</v>
      </c>
      <c r="H220" s="218"/>
      <c r="I220" s="220">
        <v>294848.37</v>
      </c>
      <c r="J220" s="53" t="s">
        <v>371</v>
      </c>
      <c r="K220" s="214">
        <v>2</v>
      </c>
    </row>
    <row r="221" spans="1:11" ht="12.75" customHeight="1" x14ac:dyDescent="0.25">
      <c r="A221" s="34" t="s">
        <v>53</v>
      </c>
      <c r="B221" s="89">
        <v>46114</v>
      </c>
      <c r="C221" s="46" t="s">
        <v>584</v>
      </c>
      <c r="D221" s="46" t="s">
        <v>55</v>
      </c>
      <c r="E221" s="46" t="s">
        <v>100</v>
      </c>
      <c r="F221" s="46" t="s">
        <v>19</v>
      </c>
      <c r="G221" s="76">
        <v>1000</v>
      </c>
      <c r="H221" s="218"/>
      <c r="I221" s="220">
        <v>295848.37</v>
      </c>
      <c r="J221" s="53" t="s">
        <v>374</v>
      </c>
      <c r="K221" s="214">
        <v>2</v>
      </c>
    </row>
    <row r="222" spans="1:11" ht="12.75" customHeight="1" x14ac:dyDescent="0.25">
      <c r="A222" s="34" t="s">
        <v>53</v>
      </c>
      <c r="B222" s="89">
        <v>46114</v>
      </c>
      <c r="C222" s="46" t="s">
        <v>584</v>
      </c>
      <c r="D222" s="46" t="s">
        <v>55</v>
      </c>
      <c r="E222" s="46" t="s">
        <v>100</v>
      </c>
      <c r="F222" s="46" t="s">
        <v>19</v>
      </c>
      <c r="G222" s="76">
        <v>48.96</v>
      </c>
      <c r="H222" s="218"/>
      <c r="I222" s="220">
        <v>295897.33</v>
      </c>
      <c r="J222" s="217" t="s">
        <v>374</v>
      </c>
      <c r="K222" s="214">
        <v>2</v>
      </c>
    </row>
    <row r="223" spans="1:11" ht="12.75" customHeight="1" x14ac:dyDescent="0.25">
      <c r="A223" s="34" t="s">
        <v>53</v>
      </c>
      <c r="B223" s="89">
        <v>46114</v>
      </c>
      <c r="C223" s="46" t="s">
        <v>585</v>
      </c>
      <c r="D223" s="46" t="s">
        <v>55</v>
      </c>
      <c r="E223" s="46" t="s">
        <v>85</v>
      </c>
      <c r="F223" s="46" t="s">
        <v>57</v>
      </c>
      <c r="G223" s="76">
        <v>1000</v>
      </c>
      <c r="H223" s="218"/>
      <c r="I223" s="220">
        <v>296897.33</v>
      </c>
      <c r="J223" s="217" t="s">
        <v>374</v>
      </c>
      <c r="K223" s="214">
        <v>2</v>
      </c>
    </row>
    <row r="224" spans="1:11" ht="12.75" customHeight="1" x14ac:dyDescent="0.25">
      <c r="A224" s="34" t="s">
        <v>53</v>
      </c>
      <c r="B224" s="89">
        <v>46114</v>
      </c>
      <c r="C224" s="46" t="s">
        <v>585</v>
      </c>
      <c r="D224" s="46" t="s">
        <v>55</v>
      </c>
      <c r="E224" s="46" t="s">
        <v>85</v>
      </c>
      <c r="F224" s="46" t="s">
        <v>57</v>
      </c>
      <c r="G224" s="76">
        <v>48.96</v>
      </c>
      <c r="H224" s="218"/>
      <c r="I224" s="220">
        <v>296946.28999999998</v>
      </c>
      <c r="J224" s="217" t="s">
        <v>374</v>
      </c>
      <c r="K224" s="214">
        <v>2</v>
      </c>
    </row>
    <row r="225" spans="1:11" ht="12.75" customHeight="1" x14ac:dyDescent="0.25">
      <c r="A225" s="34" t="s">
        <v>68</v>
      </c>
      <c r="B225" s="89">
        <v>46114</v>
      </c>
      <c r="C225" s="46" t="s">
        <v>586</v>
      </c>
      <c r="D225" s="46" t="s">
        <v>55</v>
      </c>
      <c r="E225" s="46" t="s">
        <v>169</v>
      </c>
      <c r="F225" s="46" t="s">
        <v>22</v>
      </c>
      <c r="G225" s="76">
        <v>1005</v>
      </c>
      <c r="H225" s="218"/>
      <c r="I225" s="220">
        <v>297951.28999999998</v>
      </c>
      <c r="J225" s="217" t="s">
        <v>374</v>
      </c>
      <c r="K225" s="214">
        <v>2</v>
      </c>
    </row>
    <row r="226" spans="1:11" ht="12.75" customHeight="1" x14ac:dyDescent="0.25">
      <c r="A226" s="34" t="s">
        <v>68</v>
      </c>
      <c r="B226" s="89">
        <v>46114</v>
      </c>
      <c r="C226" s="46" t="s">
        <v>586</v>
      </c>
      <c r="D226" s="46" t="s">
        <v>55</v>
      </c>
      <c r="E226" s="46" t="s">
        <v>169</v>
      </c>
      <c r="F226" s="46" t="s">
        <v>22</v>
      </c>
      <c r="G226" s="76">
        <v>49.52</v>
      </c>
      <c r="H226" s="218"/>
      <c r="I226" s="220">
        <v>298000.81</v>
      </c>
      <c r="J226" s="217" t="s">
        <v>374</v>
      </c>
      <c r="K226" s="214">
        <v>2</v>
      </c>
    </row>
    <row r="227" spans="1:11" ht="12.75" customHeight="1" x14ac:dyDescent="0.25">
      <c r="A227" s="34" t="s">
        <v>68</v>
      </c>
      <c r="B227" s="89">
        <v>46114</v>
      </c>
      <c r="C227" s="46" t="s">
        <v>587</v>
      </c>
      <c r="D227" s="46" t="s">
        <v>55</v>
      </c>
      <c r="E227" s="46" t="s">
        <v>164</v>
      </c>
      <c r="F227" s="46" t="s">
        <v>22</v>
      </c>
      <c r="G227" s="76">
        <v>1005</v>
      </c>
      <c r="H227" s="218"/>
      <c r="I227" s="220">
        <v>299005.81</v>
      </c>
      <c r="J227" s="217" t="s">
        <v>374</v>
      </c>
      <c r="K227" s="214">
        <v>2</v>
      </c>
    </row>
    <row r="228" spans="1:11" ht="12.75" customHeight="1" x14ac:dyDescent="0.25">
      <c r="A228" s="34" t="s">
        <v>68</v>
      </c>
      <c r="B228" s="89">
        <v>46114</v>
      </c>
      <c r="C228" s="46" t="s">
        <v>587</v>
      </c>
      <c r="D228" s="46" t="s">
        <v>55</v>
      </c>
      <c r="E228" s="46" t="s">
        <v>164</v>
      </c>
      <c r="F228" s="46" t="s">
        <v>22</v>
      </c>
      <c r="G228" s="76">
        <v>49.52</v>
      </c>
      <c r="H228" s="218"/>
      <c r="I228" s="220">
        <v>299055.33</v>
      </c>
      <c r="J228" s="53" t="s">
        <v>374</v>
      </c>
      <c r="K228" s="214">
        <v>2</v>
      </c>
    </row>
    <row r="229" spans="1:11" ht="12.75" customHeight="1" x14ac:dyDescent="0.25">
      <c r="A229" s="34" t="s">
        <v>68</v>
      </c>
      <c r="B229" s="89">
        <v>46114</v>
      </c>
      <c r="C229" s="46" t="s">
        <v>588</v>
      </c>
      <c r="D229" s="46" t="s">
        <v>55</v>
      </c>
      <c r="E229" s="46" t="s">
        <v>124</v>
      </c>
      <c r="F229" s="46" t="s">
        <v>19</v>
      </c>
      <c r="G229" s="76">
        <v>1005</v>
      </c>
      <c r="H229" s="218"/>
      <c r="I229" s="220">
        <v>300060.33</v>
      </c>
      <c r="J229" s="53" t="s">
        <v>374</v>
      </c>
      <c r="K229" s="214">
        <v>2</v>
      </c>
    </row>
    <row r="230" spans="1:11" ht="12.75" customHeight="1" x14ac:dyDescent="0.25">
      <c r="A230" s="34" t="s">
        <v>68</v>
      </c>
      <c r="B230" s="89">
        <v>46114</v>
      </c>
      <c r="C230" s="46" t="s">
        <v>588</v>
      </c>
      <c r="D230" s="46" t="s">
        <v>55</v>
      </c>
      <c r="E230" s="46" t="s">
        <v>124</v>
      </c>
      <c r="F230" s="46" t="s">
        <v>19</v>
      </c>
      <c r="G230" s="76">
        <v>49.52</v>
      </c>
      <c r="H230" s="218"/>
      <c r="I230" s="220">
        <v>300109.84999999998</v>
      </c>
      <c r="J230" s="53" t="s">
        <v>374</v>
      </c>
      <c r="K230" s="214">
        <v>2</v>
      </c>
    </row>
    <row r="231" spans="1:11" ht="12.75" customHeight="1" x14ac:dyDescent="0.25">
      <c r="A231" s="34" t="s">
        <v>53</v>
      </c>
      <c r="B231" s="89">
        <v>46114</v>
      </c>
      <c r="C231" s="46" t="s">
        <v>589</v>
      </c>
      <c r="D231" s="46" t="s">
        <v>590</v>
      </c>
      <c r="E231" s="46" t="s">
        <v>159</v>
      </c>
      <c r="F231" s="46" t="s">
        <v>18</v>
      </c>
      <c r="G231" s="76">
        <v>48.96</v>
      </c>
      <c r="H231" s="218"/>
      <c r="I231" s="220">
        <v>300158.81</v>
      </c>
      <c r="J231" s="53" t="s">
        <v>371</v>
      </c>
      <c r="K231" s="214">
        <v>2</v>
      </c>
    </row>
    <row r="232" spans="1:11" ht="12.75" customHeight="1" x14ac:dyDescent="0.25">
      <c r="A232" s="34" t="s">
        <v>53</v>
      </c>
      <c r="B232" s="89">
        <v>46114</v>
      </c>
      <c r="C232" s="46" t="s">
        <v>589</v>
      </c>
      <c r="D232" s="46" t="s">
        <v>590</v>
      </c>
      <c r="E232" s="46" t="s">
        <v>159</v>
      </c>
      <c r="F232" s="46" t="s">
        <v>18</v>
      </c>
      <c r="G232" s="76">
        <v>1000</v>
      </c>
      <c r="H232" s="218"/>
      <c r="I232" s="220">
        <v>301158.81</v>
      </c>
      <c r="J232" s="53" t="s">
        <v>371</v>
      </c>
      <c r="K232" s="214">
        <v>2</v>
      </c>
    </row>
    <row r="233" spans="1:11" ht="12.75" customHeight="1" x14ac:dyDescent="0.25">
      <c r="A233" s="34" t="s">
        <v>53</v>
      </c>
      <c r="B233" s="89">
        <v>46114</v>
      </c>
      <c r="C233" s="46" t="s">
        <v>591</v>
      </c>
      <c r="D233" s="46" t="s">
        <v>592</v>
      </c>
      <c r="E233" s="46" t="s">
        <v>66</v>
      </c>
      <c r="F233" s="46" t="s">
        <v>20</v>
      </c>
      <c r="G233" s="76">
        <v>1000</v>
      </c>
      <c r="H233" s="218"/>
      <c r="I233" s="220">
        <v>302158.81</v>
      </c>
      <c r="J233" s="53" t="s">
        <v>373</v>
      </c>
      <c r="K233" s="214">
        <v>2</v>
      </c>
    </row>
    <row r="234" spans="1:11" ht="12.75" customHeight="1" x14ac:dyDescent="0.25">
      <c r="A234" s="34" t="s">
        <v>53</v>
      </c>
      <c r="B234" s="89">
        <v>46114</v>
      </c>
      <c r="C234" s="46" t="s">
        <v>591</v>
      </c>
      <c r="D234" s="46" t="s">
        <v>592</v>
      </c>
      <c r="E234" s="46" t="s">
        <v>66</v>
      </c>
      <c r="F234" s="46" t="s">
        <v>20</v>
      </c>
      <c r="G234" s="76">
        <v>48.96</v>
      </c>
      <c r="H234" s="218"/>
      <c r="I234" s="220">
        <v>302207.77</v>
      </c>
      <c r="J234" s="53" t="s">
        <v>373</v>
      </c>
      <c r="K234" s="214">
        <v>2</v>
      </c>
    </row>
    <row r="235" spans="1:11" ht="12.75" customHeight="1" x14ac:dyDescent="0.25">
      <c r="A235" s="34" t="s">
        <v>68</v>
      </c>
      <c r="B235" s="89">
        <v>46114</v>
      </c>
      <c r="C235" s="46" t="s">
        <v>593</v>
      </c>
      <c r="D235" s="46" t="s">
        <v>594</v>
      </c>
      <c r="E235" s="46" t="s">
        <v>134</v>
      </c>
      <c r="F235" s="46" t="s">
        <v>20</v>
      </c>
      <c r="G235" s="76">
        <v>385</v>
      </c>
      <c r="H235" s="218"/>
      <c r="I235" s="220">
        <v>302592.77</v>
      </c>
      <c r="J235" s="53" t="s">
        <v>373</v>
      </c>
      <c r="K235" s="214">
        <v>2</v>
      </c>
    </row>
    <row r="236" spans="1:11" ht="12.75" customHeight="1" x14ac:dyDescent="0.25">
      <c r="A236" s="34" t="s">
        <v>68</v>
      </c>
      <c r="B236" s="89">
        <v>46114</v>
      </c>
      <c r="C236" s="46" t="s">
        <v>593</v>
      </c>
      <c r="D236" s="46" t="s">
        <v>594</v>
      </c>
      <c r="E236" s="46" t="s">
        <v>134</v>
      </c>
      <c r="F236" s="46" t="s">
        <v>20</v>
      </c>
      <c r="G236" s="76">
        <v>115</v>
      </c>
      <c r="H236" s="218"/>
      <c r="I236" s="220">
        <v>302707.77</v>
      </c>
      <c r="J236" s="53" t="s">
        <v>373</v>
      </c>
      <c r="K236" s="214">
        <v>2</v>
      </c>
    </row>
    <row r="237" spans="1:11" ht="12.75" customHeight="1" x14ac:dyDescent="0.25">
      <c r="A237" s="34" t="s">
        <v>68</v>
      </c>
      <c r="B237" s="89">
        <v>46114</v>
      </c>
      <c r="C237" s="46" t="s">
        <v>595</v>
      </c>
      <c r="D237" s="46" t="s">
        <v>596</v>
      </c>
      <c r="E237" s="46" t="s">
        <v>134</v>
      </c>
      <c r="F237" s="46" t="s">
        <v>20</v>
      </c>
      <c r="G237" s="76">
        <v>500</v>
      </c>
      <c r="H237" s="218"/>
      <c r="I237" s="220">
        <v>303207.77</v>
      </c>
      <c r="J237" s="53" t="s">
        <v>373</v>
      </c>
      <c r="K237" s="214">
        <v>2</v>
      </c>
    </row>
    <row r="238" spans="1:11" ht="12.75" customHeight="1" x14ac:dyDescent="0.25">
      <c r="A238" s="34" t="s">
        <v>68</v>
      </c>
      <c r="B238" s="89">
        <v>46114</v>
      </c>
      <c r="C238" s="46" t="s">
        <v>597</v>
      </c>
      <c r="D238" s="46" t="s">
        <v>598</v>
      </c>
      <c r="E238" s="46" t="s">
        <v>134</v>
      </c>
      <c r="F238" s="46" t="s">
        <v>20</v>
      </c>
      <c r="G238" s="76">
        <v>54.52</v>
      </c>
      <c r="H238" s="218"/>
      <c r="I238" s="220">
        <v>303262.28999999998</v>
      </c>
      <c r="J238" s="53" t="s">
        <v>373</v>
      </c>
      <c r="K238" s="214">
        <v>2</v>
      </c>
    </row>
    <row r="239" spans="1:11" ht="12.75" customHeight="1" x14ac:dyDescent="0.25">
      <c r="A239" s="34" t="s">
        <v>68</v>
      </c>
      <c r="B239" s="89">
        <v>46114</v>
      </c>
      <c r="C239" s="46" t="s">
        <v>599</v>
      </c>
      <c r="D239" s="46" t="s">
        <v>600</v>
      </c>
      <c r="E239" s="46" t="s">
        <v>149</v>
      </c>
      <c r="F239" s="46" t="s">
        <v>20</v>
      </c>
      <c r="G239" s="76">
        <v>30.48</v>
      </c>
      <c r="H239" s="218"/>
      <c r="I239" s="220">
        <v>303292.77</v>
      </c>
      <c r="J239" s="53" t="s">
        <v>373</v>
      </c>
      <c r="K239" s="214">
        <v>2</v>
      </c>
    </row>
    <row r="240" spans="1:11" ht="12.75" customHeight="1" x14ac:dyDescent="0.25">
      <c r="A240" s="34" t="s">
        <v>68</v>
      </c>
      <c r="B240" s="89">
        <v>46114</v>
      </c>
      <c r="C240" s="46" t="s">
        <v>599</v>
      </c>
      <c r="D240" s="46" t="s">
        <v>600</v>
      </c>
      <c r="E240" s="46" t="s">
        <v>149</v>
      </c>
      <c r="F240" s="46" t="s">
        <v>20</v>
      </c>
      <c r="G240" s="76">
        <v>49.52</v>
      </c>
      <c r="H240" s="218"/>
      <c r="I240" s="220">
        <v>303342.28999999998</v>
      </c>
      <c r="J240" s="217" t="s">
        <v>373</v>
      </c>
      <c r="K240" s="214">
        <v>2</v>
      </c>
    </row>
    <row r="241" spans="1:11" ht="12.75" customHeight="1" x14ac:dyDescent="0.25">
      <c r="A241" s="34" t="s">
        <v>68</v>
      </c>
      <c r="B241" s="89">
        <v>46114</v>
      </c>
      <c r="C241" s="46" t="s">
        <v>601</v>
      </c>
      <c r="D241" s="46" t="s">
        <v>602</v>
      </c>
      <c r="E241" s="46" t="s">
        <v>274</v>
      </c>
      <c r="F241" s="46" t="s">
        <v>17</v>
      </c>
      <c r="G241" s="76">
        <v>7.92</v>
      </c>
      <c r="H241" s="218"/>
      <c r="I241" s="220">
        <v>303350.21000000002</v>
      </c>
      <c r="J241" s="217" t="s">
        <v>371</v>
      </c>
      <c r="K241" s="214">
        <v>2</v>
      </c>
    </row>
    <row r="242" spans="1:11" ht="12.75" customHeight="1" x14ac:dyDescent="0.25">
      <c r="A242" s="34" t="s">
        <v>68</v>
      </c>
      <c r="B242" s="89">
        <v>46114</v>
      </c>
      <c r="C242" s="46" t="s">
        <v>601</v>
      </c>
      <c r="D242" s="46" t="s">
        <v>602</v>
      </c>
      <c r="E242" s="46" t="s">
        <v>274</v>
      </c>
      <c r="F242" s="46" t="s">
        <v>17</v>
      </c>
      <c r="G242" s="76">
        <v>957.56</v>
      </c>
      <c r="H242" s="218"/>
      <c r="I242" s="220">
        <v>304307.77</v>
      </c>
      <c r="J242" s="217" t="s">
        <v>371</v>
      </c>
      <c r="K242" s="214">
        <v>2</v>
      </c>
    </row>
    <row r="243" spans="1:11" ht="12.75" customHeight="1" x14ac:dyDescent="0.25">
      <c r="A243" s="34" t="s">
        <v>68</v>
      </c>
      <c r="B243" s="89">
        <v>46114</v>
      </c>
      <c r="C243" s="46" t="s">
        <v>601</v>
      </c>
      <c r="D243" s="46" t="s">
        <v>602</v>
      </c>
      <c r="E243" s="46" t="s">
        <v>274</v>
      </c>
      <c r="F243" s="46" t="s">
        <v>17</v>
      </c>
      <c r="G243" s="76">
        <v>49.52</v>
      </c>
      <c r="H243" s="218"/>
      <c r="I243" s="220">
        <v>304357.28999999998</v>
      </c>
      <c r="J243" s="217" t="s">
        <v>371</v>
      </c>
      <c r="K243" s="214">
        <v>2</v>
      </c>
    </row>
    <row r="244" spans="1:11" ht="12.75" customHeight="1" x14ac:dyDescent="0.25">
      <c r="A244" s="34" t="s">
        <v>53</v>
      </c>
      <c r="B244" s="89">
        <v>46114</v>
      </c>
      <c r="C244" s="46" t="s">
        <v>603</v>
      </c>
      <c r="D244" s="46" t="s">
        <v>55</v>
      </c>
      <c r="E244" s="46" t="s">
        <v>78</v>
      </c>
      <c r="F244" s="46" t="s">
        <v>22</v>
      </c>
      <c r="G244" s="76">
        <v>1000</v>
      </c>
      <c r="H244" s="218"/>
      <c r="I244" s="220">
        <v>305357.28999999998</v>
      </c>
      <c r="J244" s="217" t="s">
        <v>373</v>
      </c>
      <c r="K244" s="214">
        <v>2</v>
      </c>
    </row>
    <row r="245" spans="1:11" ht="12.75" customHeight="1" x14ac:dyDescent="0.25">
      <c r="A245" s="34" t="s">
        <v>53</v>
      </c>
      <c r="B245" s="89">
        <v>46114</v>
      </c>
      <c r="C245" s="46" t="s">
        <v>603</v>
      </c>
      <c r="D245" s="46" t="s">
        <v>55</v>
      </c>
      <c r="E245" s="46" t="s">
        <v>78</v>
      </c>
      <c r="F245" s="46" t="s">
        <v>22</v>
      </c>
      <c r="G245" s="218">
        <v>48.96</v>
      </c>
      <c r="H245" s="218"/>
      <c r="I245" s="220">
        <v>305406.25</v>
      </c>
      <c r="J245" s="53" t="s">
        <v>373</v>
      </c>
      <c r="K245" s="214">
        <v>2</v>
      </c>
    </row>
    <row r="246" spans="1:11" ht="12.75" customHeight="1" x14ac:dyDescent="0.25">
      <c r="A246" s="34" t="s">
        <v>53</v>
      </c>
      <c r="B246" s="89">
        <v>46114</v>
      </c>
      <c r="C246" s="46" t="s">
        <v>604</v>
      </c>
      <c r="D246" s="46" t="s">
        <v>605</v>
      </c>
      <c r="E246" s="46" t="s">
        <v>65</v>
      </c>
      <c r="F246" s="46" t="s">
        <v>17</v>
      </c>
      <c r="G246" s="218">
        <v>48.96</v>
      </c>
      <c r="H246" s="218"/>
      <c r="I246" s="220">
        <v>305455.21000000002</v>
      </c>
      <c r="J246" s="53" t="s">
        <v>371</v>
      </c>
      <c r="K246" s="214">
        <v>2</v>
      </c>
    </row>
    <row r="247" spans="1:11" ht="12.75" customHeight="1" x14ac:dyDescent="0.25">
      <c r="A247" s="34" t="s">
        <v>53</v>
      </c>
      <c r="B247" s="89">
        <v>46114</v>
      </c>
      <c r="C247" s="46" t="s">
        <v>604</v>
      </c>
      <c r="D247" s="46" t="s">
        <v>605</v>
      </c>
      <c r="E247" s="46" t="s">
        <v>65</v>
      </c>
      <c r="F247" s="46" t="s">
        <v>17</v>
      </c>
      <c r="G247" s="76">
        <v>1000</v>
      </c>
      <c r="H247" s="218"/>
      <c r="I247" s="220">
        <v>306455.21000000002</v>
      </c>
      <c r="J247" s="53" t="s">
        <v>371</v>
      </c>
      <c r="K247" s="214">
        <v>2</v>
      </c>
    </row>
    <row r="248" spans="1:11" ht="12.75" customHeight="1" x14ac:dyDescent="0.25">
      <c r="A248" s="34" t="s">
        <v>53</v>
      </c>
      <c r="B248" s="89">
        <v>46114</v>
      </c>
      <c r="C248" s="46" t="s">
        <v>606</v>
      </c>
      <c r="D248" s="46" t="s">
        <v>607</v>
      </c>
      <c r="E248" s="46" t="s">
        <v>153</v>
      </c>
      <c r="F248" s="46" t="s">
        <v>21</v>
      </c>
      <c r="G248" s="76">
        <v>48.96</v>
      </c>
      <c r="H248" s="218"/>
      <c r="I248" s="220">
        <v>306504.17</v>
      </c>
      <c r="J248" s="217" t="s">
        <v>371</v>
      </c>
      <c r="K248" s="214">
        <v>2</v>
      </c>
    </row>
    <row r="249" spans="1:11" ht="12.75" customHeight="1" x14ac:dyDescent="0.25">
      <c r="A249" s="34" t="s">
        <v>53</v>
      </c>
      <c r="B249" s="89">
        <v>46114</v>
      </c>
      <c r="C249" s="46" t="s">
        <v>606</v>
      </c>
      <c r="D249" s="46" t="s">
        <v>607</v>
      </c>
      <c r="E249" s="46" t="s">
        <v>153</v>
      </c>
      <c r="F249" s="46" t="s">
        <v>21</v>
      </c>
      <c r="G249" s="76">
        <v>1000</v>
      </c>
      <c r="H249" s="218"/>
      <c r="I249" s="220">
        <v>307504.17</v>
      </c>
      <c r="J249" s="217" t="s">
        <v>371</v>
      </c>
      <c r="K249" s="214">
        <v>2</v>
      </c>
    </row>
    <row r="250" spans="1:11" ht="12.75" customHeight="1" x14ac:dyDescent="0.25">
      <c r="A250" s="34" t="s">
        <v>53</v>
      </c>
      <c r="B250" s="89">
        <v>46114</v>
      </c>
      <c r="C250" s="46" t="s">
        <v>608</v>
      </c>
      <c r="D250" s="46" t="s">
        <v>609</v>
      </c>
      <c r="E250" s="46" t="s">
        <v>911</v>
      </c>
      <c r="F250" s="46" t="s">
        <v>284</v>
      </c>
      <c r="G250" s="76">
        <v>40</v>
      </c>
      <c r="H250" s="218"/>
      <c r="I250" s="220">
        <v>307544.17</v>
      </c>
      <c r="J250" s="217" t="s">
        <v>371</v>
      </c>
      <c r="K250" s="214">
        <v>2</v>
      </c>
    </row>
    <row r="251" spans="1:11" ht="12.75" customHeight="1" x14ac:dyDescent="0.25">
      <c r="A251" s="34" t="s">
        <v>53</v>
      </c>
      <c r="B251" s="89">
        <v>46114</v>
      </c>
      <c r="C251" s="46" t="s">
        <v>610</v>
      </c>
      <c r="D251" s="46" t="s">
        <v>55</v>
      </c>
      <c r="E251" s="46" t="s">
        <v>111</v>
      </c>
      <c r="F251" s="46" t="s">
        <v>57</v>
      </c>
      <c r="G251" s="76">
        <v>1000</v>
      </c>
      <c r="H251" s="218"/>
      <c r="I251" s="220">
        <v>308544.17</v>
      </c>
      <c r="J251" s="217" t="s">
        <v>373</v>
      </c>
      <c r="K251" s="214">
        <v>2</v>
      </c>
    </row>
    <row r="252" spans="1:11" ht="12.75" customHeight="1" x14ac:dyDescent="0.25">
      <c r="A252" s="34" t="s">
        <v>53</v>
      </c>
      <c r="B252" s="89">
        <v>46114</v>
      </c>
      <c r="C252" s="46" t="s">
        <v>610</v>
      </c>
      <c r="D252" s="46" t="s">
        <v>55</v>
      </c>
      <c r="E252" s="46" t="s">
        <v>111</v>
      </c>
      <c r="F252" s="46" t="s">
        <v>57</v>
      </c>
      <c r="G252" s="76">
        <v>48.96</v>
      </c>
      <c r="H252" s="218"/>
      <c r="I252" s="220">
        <v>308593.13</v>
      </c>
      <c r="J252" s="217" t="s">
        <v>373</v>
      </c>
      <c r="K252" s="214">
        <v>2</v>
      </c>
    </row>
    <row r="253" spans="1:11" ht="12.75" customHeight="1" x14ac:dyDescent="0.25">
      <c r="A253" s="34" t="s">
        <v>53</v>
      </c>
      <c r="B253" s="89">
        <v>46114</v>
      </c>
      <c r="C253" s="46" t="s">
        <v>611</v>
      </c>
      <c r="D253" s="46" t="s">
        <v>612</v>
      </c>
      <c r="E253" s="46" t="s">
        <v>184</v>
      </c>
      <c r="F253" s="46" t="s">
        <v>129</v>
      </c>
      <c r="G253" s="76">
        <v>48.96</v>
      </c>
      <c r="H253" s="218"/>
      <c r="I253" s="220">
        <v>308642.09000000003</v>
      </c>
      <c r="J253" s="217" t="s">
        <v>371</v>
      </c>
      <c r="K253" s="214">
        <v>2</v>
      </c>
    </row>
    <row r="254" spans="1:11" ht="12.75" customHeight="1" x14ac:dyDescent="0.25">
      <c r="A254" s="34" t="s">
        <v>53</v>
      </c>
      <c r="B254" s="89">
        <v>46114</v>
      </c>
      <c r="C254" s="46" t="s">
        <v>611</v>
      </c>
      <c r="D254" s="46" t="s">
        <v>612</v>
      </c>
      <c r="E254" s="46" t="s">
        <v>184</v>
      </c>
      <c r="F254" s="46" t="s">
        <v>129</v>
      </c>
      <c r="G254" s="76">
        <v>1000</v>
      </c>
      <c r="H254" s="218"/>
      <c r="I254" s="220">
        <v>309642.09000000003</v>
      </c>
      <c r="J254" s="217" t="s">
        <v>371</v>
      </c>
      <c r="K254" s="214">
        <v>2</v>
      </c>
    </row>
    <row r="255" spans="1:11" ht="12.75" customHeight="1" x14ac:dyDescent="0.25">
      <c r="A255" s="34" t="s">
        <v>68</v>
      </c>
      <c r="B255" s="89">
        <v>46114</v>
      </c>
      <c r="C255" s="46" t="s">
        <v>613</v>
      </c>
      <c r="D255" s="46" t="s">
        <v>614</v>
      </c>
      <c r="E255" s="46" t="s">
        <v>251</v>
      </c>
      <c r="F255" s="46" t="s">
        <v>249</v>
      </c>
      <c r="G255" s="76">
        <v>49.52</v>
      </c>
      <c r="H255" s="218"/>
      <c r="I255" s="220">
        <v>309691.61</v>
      </c>
      <c r="J255" s="217" t="s">
        <v>371</v>
      </c>
      <c r="K255" s="214">
        <v>2</v>
      </c>
    </row>
    <row r="256" spans="1:11" ht="12.75" customHeight="1" x14ac:dyDescent="0.25">
      <c r="A256" s="34" t="s">
        <v>68</v>
      </c>
      <c r="B256" s="89">
        <v>46114</v>
      </c>
      <c r="C256" s="46" t="s">
        <v>613</v>
      </c>
      <c r="D256" s="46" t="s">
        <v>614</v>
      </c>
      <c r="E256" s="46" t="s">
        <v>251</v>
      </c>
      <c r="F256" s="46" t="s">
        <v>249</v>
      </c>
      <c r="G256" s="76">
        <v>1005</v>
      </c>
      <c r="H256" s="218"/>
      <c r="I256" s="220">
        <v>310696.61</v>
      </c>
      <c r="J256" s="217" t="s">
        <v>371</v>
      </c>
      <c r="K256" s="214">
        <v>2</v>
      </c>
    </row>
    <row r="257" spans="1:11" ht="12.75" customHeight="1" x14ac:dyDescent="0.25">
      <c r="A257" s="34" t="s">
        <v>53</v>
      </c>
      <c r="B257" s="89">
        <v>46114</v>
      </c>
      <c r="C257" s="46" t="s">
        <v>615</v>
      </c>
      <c r="D257" s="46" t="s">
        <v>616</v>
      </c>
      <c r="E257" s="46" t="s">
        <v>912</v>
      </c>
      <c r="F257" s="46" t="s">
        <v>939</v>
      </c>
      <c r="G257" s="76">
        <v>10807.57</v>
      </c>
      <c r="H257" s="218"/>
      <c r="I257" s="220">
        <v>321504.18</v>
      </c>
      <c r="J257" s="217" t="s">
        <v>375</v>
      </c>
      <c r="K257" s="214">
        <v>2</v>
      </c>
    </row>
    <row r="258" spans="1:11" ht="12.75" customHeight="1" x14ac:dyDescent="0.25">
      <c r="A258" s="34" t="s">
        <v>68</v>
      </c>
      <c r="B258" s="89">
        <v>46114</v>
      </c>
      <c r="C258" s="46" t="s">
        <v>615</v>
      </c>
      <c r="D258" s="46" t="s">
        <v>616</v>
      </c>
      <c r="E258" s="46" t="s">
        <v>912</v>
      </c>
      <c r="F258" s="46" t="s">
        <v>940</v>
      </c>
      <c r="G258" s="76">
        <v>8824.7199999999993</v>
      </c>
      <c r="H258" s="218"/>
      <c r="I258" s="220">
        <v>330328.90000000002</v>
      </c>
      <c r="J258" s="217" t="s">
        <v>375</v>
      </c>
      <c r="K258" s="214">
        <v>2</v>
      </c>
    </row>
    <row r="259" spans="1:11" ht="12.75" customHeight="1" x14ac:dyDescent="0.25">
      <c r="A259" s="34" t="s">
        <v>68</v>
      </c>
      <c r="B259" s="89">
        <v>46115</v>
      </c>
      <c r="C259" s="46" t="s">
        <v>617</v>
      </c>
      <c r="D259" s="46" t="s">
        <v>618</v>
      </c>
      <c r="E259" s="46" t="s">
        <v>317</v>
      </c>
      <c r="F259" s="46" t="s">
        <v>941</v>
      </c>
      <c r="H259" s="218">
        <v>-64.19</v>
      </c>
      <c r="I259" s="220">
        <v>330264.71000000002</v>
      </c>
      <c r="J259" s="217" t="s">
        <v>372</v>
      </c>
      <c r="K259" s="214">
        <v>-2</v>
      </c>
    </row>
    <row r="260" spans="1:11" ht="12.75" customHeight="1" x14ac:dyDescent="0.25">
      <c r="A260" s="34" t="s">
        <v>53</v>
      </c>
      <c r="B260" s="89">
        <v>46115</v>
      </c>
      <c r="C260" s="46" t="s">
        <v>619</v>
      </c>
      <c r="D260" s="46" t="s">
        <v>620</v>
      </c>
      <c r="E260" s="46" t="s">
        <v>254</v>
      </c>
      <c r="F260" s="46" t="s">
        <v>942</v>
      </c>
      <c r="H260" s="218">
        <v>-27.48</v>
      </c>
      <c r="I260" s="220">
        <v>330237.23</v>
      </c>
      <c r="J260" s="53" t="s">
        <v>373</v>
      </c>
      <c r="K260" s="214">
        <v>-2</v>
      </c>
    </row>
    <row r="261" spans="1:11" ht="12.75" customHeight="1" x14ac:dyDescent="0.25">
      <c r="A261" s="34" t="s">
        <v>68</v>
      </c>
      <c r="B261" s="89">
        <v>46115</v>
      </c>
      <c r="C261" s="46" t="s">
        <v>621</v>
      </c>
      <c r="D261" s="46" t="s">
        <v>622</v>
      </c>
      <c r="E261" s="46" t="s">
        <v>145</v>
      </c>
      <c r="F261" s="46" t="s">
        <v>84</v>
      </c>
      <c r="G261" s="76">
        <v>1020</v>
      </c>
      <c r="H261" s="218"/>
      <c r="I261" s="220">
        <v>331257.23</v>
      </c>
      <c r="J261" s="217" t="s">
        <v>373</v>
      </c>
      <c r="K261" s="214">
        <v>2</v>
      </c>
    </row>
    <row r="262" spans="1:11" ht="12.75" customHeight="1" x14ac:dyDescent="0.25">
      <c r="A262" s="34" t="s">
        <v>68</v>
      </c>
      <c r="B262" s="89">
        <v>46115</v>
      </c>
      <c r="C262" s="46" t="s">
        <v>621</v>
      </c>
      <c r="D262" s="46" t="s">
        <v>622</v>
      </c>
      <c r="E262" s="46" t="s">
        <v>145</v>
      </c>
      <c r="F262" s="46" t="s">
        <v>84</v>
      </c>
      <c r="G262" s="76">
        <v>49.52</v>
      </c>
      <c r="H262" s="218"/>
      <c r="I262" s="220">
        <v>331306.75</v>
      </c>
      <c r="J262" s="217" t="s">
        <v>373</v>
      </c>
      <c r="K262" s="214">
        <v>2</v>
      </c>
    </row>
    <row r="263" spans="1:11" ht="12.75" customHeight="1" x14ac:dyDescent="0.25">
      <c r="A263" s="34" t="s">
        <v>68</v>
      </c>
      <c r="B263" s="89">
        <v>46115</v>
      </c>
      <c r="C263" s="46" t="s">
        <v>623</v>
      </c>
      <c r="D263" s="46" t="s">
        <v>624</v>
      </c>
      <c r="E263" s="46" t="s">
        <v>130</v>
      </c>
      <c r="F263" s="46" t="s">
        <v>21</v>
      </c>
      <c r="G263" s="76">
        <v>49.52</v>
      </c>
      <c r="H263" s="218"/>
      <c r="I263" s="220">
        <v>331356.27</v>
      </c>
      <c r="J263" s="217" t="s">
        <v>371</v>
      </c>
      <c r="K263" s="214">
        <v>2</v>
      </c>
    </row>
    <row r="264" spans="1:11" ht="12.75" customHeight="1" x14ac:dyDescent="0.25">
      <c r="A264" s="34" t="s">
        <v>68</v>
      </c>
      <c r="B264" s="89">
        <v>46115</v>
      </c>
      <c r="C264" s="46" t="s">
        <v>623</v>
      </c>
      <c r="D264" s="46" t="s">
        <v>624</v>
      </c>
      <c r="E264" s="46" t="s">
        <v>130</v>
      </c>
      <c r="F264" s="46" t="s">
        <v>21</v>
      </c>
      <c r="G264" s="76">
        <v>1005</v>
      </c>
      <c r="H264" s="218"/>
      <c r="I264" s="220">
        <v>332361.27</v>
      </c>
      <c r="J264" s="217" t="s">
        <v>371</v>
      </c>
      <c r="K264" s="214">
        <v>2</v>
      </c>
    </row>
    <row r="265" spans="1:11" ht="12.75" customHeight="1" x14ac:dyDescent="0.25">
      <c r="A265" s="34" t="s">
        <v>53</v>
      </c>
      <c r="B265" s="89">
        <v>46115</v>
      </c>
      <c r="C265" s="46" t="s">
        <v>625</v>
      </c>
      <c r="D265" s="46" t="s">
        <v>626</v>
      </c>
      <c r="E265" s="46" t="s">
        <v>142</v>
      </c>
      <c r="F265" s="46" t="s">
        <v>943</v>
      </c>
      <c r="G265" s="76">
        <v>48.96</v>
      </c>
      <c r="H265" s="218"/>
      <c r="I265" s="220">
        <v>332410.23</v>
      </c>
      <c r="J265" s="217" t="s">
        <v>371</v>
      </c>
      <c r="K265" s="214">
        <v>2</v>
      </c>
    </row>
    <row r="266" spans="1:11" ht="12.75" customHeight="1" x14ac:dyDescent="0.25">
      <c r="A266" s="34" t="s">
        <v>53</v>
      </c>
      <c r="B266" s="89">
        <v>46115</v>
      </c>
      <c r="C266" s="46" t="s">
        <v>625</v>
      </c>
      <c r="D266" s="46" t="s">
        <v>626</v>
      </c>
      <c r="E266" s="46" t="s">
        <v>142</v>
      </c>
      <c r="F266" s="46" t="s">
        <v>943</v>
      </c>
      <c r="G266" s="76">
        <v>999.92</v>
      </c>
      <c r="H266" s="218"/>
      <c r="I266" s="220">
        <v>333410.15000000002</v>
      </c>
      <c r="J266" s="217" t="s">
        <v>371</v>
      </c>
      <c r="K266" s="214">
        <v>2</v>
      </c>
    </row>
    <row r="267" spans="1:11" ht="12.75" customHeight="1" x14ac:dyDescent="0.25">
      <c r="A267" s="34" t="s">
        <v>53</v>
      </c>
      <c r="B267" s="89">
        <v>46115</v>
      </c>
      <c r="C267" s="46" t="s">
        <v>627</v>
      </c>
      <c r="D267" s="46" t="s">
        <v>628</v>
      </c>
      <c r="E267" s="46" t="s">
        <v>122</v>
      </c>
      <c r="F267" s="46" t="s">
        <v>90</v>
      </c>
      <c r="G267" s="76">
        <v>48.96</v>
      </c>
      <c r="H267" s="218"/>
      <c r="I267" s="220">
        <v>333459.11</v>
      </c>
      <c r="J267" s="217" t="s">
        <v>371</v>
      </c>
      <c r="K267" s="214">
        <v>2</v>
      </c>
    </row>
    <row r="268" spans="1:11" ht="12.75" customHeight="1" x14ac:dyDescent="0.25">
      <c r="A268" s="34" t="s">
        <v>53</v>
      </c>
      <c r="B268" s="89">
        <v>46115</v>
      </c>
      <c r="C268" s="46" t="s">
        <v>627</v>
      </c>
      <c r="D268" s="46" t="s">
        <v>628</v>
      </c>
      <c r="E268" s="46" t="s">
        <v>122</v>
      </c>
      <c r="F268" s="46" t="s">
        <v>90</v>
      </c>
      <c r="G268" s="76">
        <v>1000</v>
      </c>
      <c r="H268" s="218"/>
      <c r="I268" s="220">
        <v>334459.11</v>
      </c>
      <c r="J268" s="217" t="s">
        <v>371</v>
      </c>
      <c r="K268" s="214">
        <v>2</v>
      </c>
    </row>
    <row r="269" spans="1:11" ht="12.75" customHeight="1" x14ac:dyDescent="0.25">
      <c r="A269" s="34" t="s">
        <v>53</v>
      </c>
      <c r="B269" s="89">
        <v>46115</v>
      </c>
      <c r="C269" s="46" t="s">
        <v>629</v>
      </c>
      <c r="D269" s="46" t="s">
        <v>630</v>
      </c>
      <c r="E269" s="46" t="s">
        <v>123</v>
      </c>
      <c r="F269" s="46" t="s">
        <v>90</v>
      </c>
      <c r="G269" s="76">
        <v>48.96</v>
      </c>
      <c r="H269" s="218"/>
      <c r="I269" s="220">
        <v>334508.07</v>
      </c>
      <c r="J269" s="217" t="s">
        <v>371</v>
      </c>
      <c r="K269" s="214">
        <v>2</v>
      </c>
    </row>
    <row r="270" spans="1:11" ht="12.75" customHeight="1" x14ac:dyDescent="0.25">
      <c r="A270" s="34" t="s">
        <v>53</v>
      </c>
      <c r="B270" s="89">
        <v>46115</v>
      </c>
      <c r="C270" s="46" t="s">
        <v>629</v>
      </c>
      <c r="D270" s="46" t="s">
        <v>630</v>
      </c>
      <c r="E270" s="46" t="s">
        <v>123</v>
      </c>
      <c r="F270" s="46" t="s">
        <v>90</v>
      </c>
      <c r="G270" s="76">
        <v>1000</v>
      </c>
      <c r="H270" s="218"/>
      <c r="I270" s="220">
        <v>335508.07</v>
      </c>
      <c r="J270" s="217" t="s">
        <v>371</v>
      </c>
      <c r="K270" s="214">
        <v>2</v>
      </c>
    </row>
    <row r="271" spans="1:11" ht="12.75" customHeight="1" x14ac:dyDescent="0.25">
      <c r="A271" s="34" t="s">
        <v>53</v>
      </c>
      <c r="B271" s="89">
        <v>46115</v>
      </c>
      <c r="C271" s="46" t="s">
        <v>631</v>
      </c>
      <c r="D271" s="46" t="s">
        <v>55</v>
      </c>
      <c r="E271" s="46" t="s">
        <v>119</v>
      </c>
      <c r="F271" s="46" t="s">
        <v>57</v>
      </c>
      <c r="G271" s="76">
        <v>1000</v>
      </c>
      <c r="H271" s="218"/>
      <c r="I271" s="220">
        <v>336508.07</v>
      </c>
      <c r="J271" s="217" t="s">
        <v>373</v>
      </c>
      <c r="K271" s="214">
        <v>2</v>
      </c>
    </row>
    <row r="272" spans="1:11" ht="12.75" customHeight="1" x14ac:dyDescent="0.25">
      <c r="A272" s="34" t="s">
        <v>53</v>
      </c>
      <c r="B272" s="89">
        <v>46115</v>
      </c>
      <c r="C272" s="46" t="s">
        <v>631</v>
      </c>
      <c r="D272" s="46" t="s">
        <v>55</v>
      </c>
      <c r="E272" s="46" t="s">
        <v>119</v>
      </c>
      <c r="F272" s="46" t="s">
        <v>57</v>
      </c>
      <c r="G272" s="76">
        <v>48.96</v>
      </c>
      <c r="H272" s="218"/>
      <c r="I272" s="220">
        <v>336557.03</v>
      </c>
      <c r="J272" s="217" t="s">
        <v>373</v>
      </c>
      <c r="K272" s="214">
        <v>2</v>
      </c>
    </row>
    <row r="273" spans="1:11" ht="12.75" customHeight="1" x14ac:dyDescent="0.25">
      <c r="A273" s="34" t="s">
        <v>53</v>
      </c>
      <c r="B273" s="89">
        <v>46115</v>
      </c>
      <c r="C273" s="46" t="s">
        <v>632</v>
      </c>
      <c r="D273" s="46" t="s">
        <v>633</v>
      </c>
      <c r="E273" s="46" t="s">
        <v>175</v>
      </c>
      <c r="F273" s="46" t="s">
        <v>283</v>
      </c>
      <c r="G273" s="76">
        <v>48.96</v>
      </c>
      <c r="H273" s="218"/>
      <c r="I273" s="220">
        <v>336605.99</v>
      </c>
      <c r="J273" s="217" t="s">
        <v>371</v>
      </c>
      <c r="K273" s="214">
        <v>2</v>
      </c>
    </row>
    <row r="274" spans="1:11" ht="12.75" customHeight="1" x14ac:dyDescent="0.25">
      <c r="A274" s="34" t="s">
        <v>53</v>
      </c>
      <c r="B274" s="89">
        <v>46115</v>
      </c>
      <c r="C274" s="46" t="s">
        <v>632</v>
      </c>
      <c r="D274" s="46" t="s">
        <v>633</v>
      </c>
      <c r="E274" s="46" t="s">
        <v>175</v>
      </c>
      <c r="F274" s="46" t="s">
        <v>283</v>
      </c>
      <c r="G274" s="76">
        <v>1000</v>
      </c>
      <c r="H274" s="218"/>
      <c r="I274" s="220">
        <v>337605.99</v>
      </c>
      <c r="J274" s="217" t="s">
        <v>371</v>
      </c>
      <c r="K274" s="214">
        <v>2</v>
      </c>
    </row>
    <row r="275" spans="1:11" ht="12.75" customHeight="1" x14ac:dyDescent="0.25">
      <c r="A275" s="34" t="s">
        <v>68</v>
      </c>
      <c r="B275" s="89">
        <v>46115</v>
      </c>
      <c r="C275" s="46" t="s">
        <v>634</v>
      </c>
      <c r="D275" s="46" t="s">
        <v>55</v>
      </c>
      <c r="E275" s="46" t="s">
        <v>137</v>
      </c>
      <c r="F275" s="46" t="s">
        <v>22</v>
      </c>
      <c r="G275" s="76">
        <v>1005</v>
      </c>
      <c r="H275" s="218"/>
      <c r="I275" s="220">
        <v>338610.99</v>
      </c>
      <c r="J275" s="217" t="s">
        <v>373</v>
      </c>
      <c r="K275" s="214">
        <v>2</v>
      </c>
    </row>
    <row r="276" spans="1:11" ht="12.75" customHeight="1" x14ac:dyDescent="0.25">
      <c r="A276" s="34" t="s">
        <v>68</v>
      </c>
      <c r="B276" s="89">
        <v>46115</v>
      </c>
      <c r="C276" s="46" t="s">
        <v>634</v>
      </c>
      <c r="D276" s="46" t="s">
        <v>55</v>
      </c>
      <c r="E276" s="46" t="s">
        <v>137</v>
      </c>
      <c r="F276" s="46" t="s">
        <v>22</v>
      </c>
      <c r="G276" s="76">
        <v>49.52</v>
      </c>
      <c r="H276" s="218"/>
      <c r="I276" s="220">
        <v>338660.51</v>
      </c>
      <c r="J276" s="217" t="s">
        <v>373</v>
      </c>
      <c r="K276" s="214">
        <v>2</v>
      </c>
    </row>
    <row r="277" spans="1:11" ht="12.75" customHeight="1" x14ac:dyDescent="0.25">
      <c r="A277" s="34" t="s">
        <v>53</v>
      </c>
      <c r="B277" s="89">
        <v>46115</v>
      </c>
      <c r="C277" s="46" t="s">
        <v>635</v>
      </c>
      <c r="D277" s="46" t="s">
        <v>636</v>
      </c>
      <c r="E277" s="46" t="s">
        <v>172</v>
      </c>
      <c r="F277" s="46" t="s">
        <v>17</v>
      </c>
      <c r="G277" s="76">
        <v>48.96</v>
      </c>
      <c r="H277" s="218"/>
      <c r="I277" s="220">
        <v>338709.47</v>
      </c>
      <c r="J277" s="217" t="s">
        <v>371</v>
      </c>
      <c r="K277" s="214">
        <v>2</v>
      </c>
    </row>
    <row r="278" spans="1:11" ht="12.75" customHeight="1" x14ac:dyDescent="0.25">
      <c r="A278" s="34" t="s">
        <v>53</v>
      </c>
      <c r="B278" s="89">
        <v>46115</v>
      </c>
      <c r="C278" s="46" t="s">
        <v>635</v>
      </c>
      <c r="D278" s="46" t="s">
        <v>636</v>
      </c>
      <c r="E278" s="46" t="s">
        <v>172</v>
      </c>
      <c r="F278" s="46" t="s">
        <v>17</v>
      </c>
      <c r="G278" s="76">
        <v>1000</v>
      </c>
      <c r="H278" s="218"/>
      <c r="I278" s="220">
        <v>339709.47</v>
      </c>
      <c r="J278" s="217" t="s">
        <v>371</v>
      </c>
      <c r="K278" s="214">
        <v>2</v>
      </c>
    </row>
    <row r="279" spans="1:11" ht="12.75" customHeight="1" x14ac:dyDescent="0.25">
      <c r="A279" s="34" t="s">
        <v>68</v>
      </c>
      <c r="B279" s="89">
        <v>46115</v>
      </c>
      <c r="C279" s="46" t="s">
        <v>637</v>
      </c>
      <c r="D279" s="46" t="s">
        <v>638</v>
      </c>
      <c r="E279" s="46" t="s">
        <v>178</v>
      </c>
      <c r="F279" s="46" t="s">
        <v>21</v>
      </c>
      <c r="G279" s="76">
        <v>49.52</v>
      </c>
      <c r="H279" s="218"/>
      <c r="I279" s="220">
        <v>339758.99</v>
      </c>
      <c r="J279" s="217" t="s">
        <v>371</v>
      </c>
      <c r="K279" s="214">
        <v>2</v>
      </c>
    </row>
    <row r="280" spans="1:11" ht="12.75" customHeight="1" x14ac:dyDescent="0.25">
      <c r="A280" s="34" t="s">
        <v>68</v>
      </c>
      <c r="B280" s="89">
        <v>46115</v>
      </c>
      <c r="C280" s="46" t="s">
        <v>637</v>
      </c>
      <c r="D280" s="46" t="s">
        <v>638</v>
      </c>
      <c r="E280" s="46" t="s">
        <v>178</v>
      </c>
      <c r="F280" s="46" t="s">
        <v>21</v>
      </c>
      <c r="G280" s="76">
        <v>1020</v>
      </c>
      <c r="H280" s="218"/>
      <c r="I280" s="220">
        <v>340778.99</v>
      </c>
      <c r="J280" s="217" t="s">
        <v>371</v>
      </c>
      <c r="K280" s="214">
        <v>2</v>
      </c>
    </row>
    <row r="281" spans="1:11" ht="12.75" customHeight="1" x14ac:dyDescent="0.25">
      <c r="A281" s="34" t="s">
        <v>53</v>
      </c>
      <c r="B281" s="89">
        <v>46115</v>
      </c>
      <c r="C281" s="46" t="s">
        <v>639</v>
      </c>
      <c r="D281" s="46" t="s">
        <v>640</v>
      </c>
      <c r="E281" s="46" t="s">
        <v>61</v>
      </c>
      <c r="F281" s="46" t="s">
        <v>129</v>
      </c>
      <c r="G281" s="76">
        <v>48.96</v>
      </c>
      <c r="H281" s="218"/>
      <c r="I281" s="220">
        <v>340827.95</v>
      </c>
      <c r="J281" s="217" t="s">
        <v>371</v>
      </c>
      <c r="K281" s="214">
        <v>2</v>
      </c>
    </row>
    <row r="282" spans="1:11" ht="12.75" customHeight="1" x14ac:dyDescent="0.25">
      <c r="A282" s="34" t="s">
        <v>53</v>
      </c>
      <c r="B282" s="89">
        <v>46115</v>
      </c>
      <c r="C282" s="46" t="s">
        <v>639</v>
      </c>
      <c r="D282" s="46" t="s">
        <v>640</v>
      </c>
      <c r="E282" s="46" t="s">
        <v>61</v>
      </c>
      <c r="F282" s="46" t="s">
        <v>129</v>
      </c>
      <c r="G282" s="76">
        <v>1000</v>
      </c>
      <c r="H282" s="218"/>
      <c r="I282" s="220">
        <v>341827.95</v>
      </c>
      <c r="J282" s="217" t="s">
        <v>371</v>
      </c>
      <c r="K282" s="214">
        <v>2</v>
      </c>
    </row>
    <row r="283" spans="1:11" ht="12.75" customHeight="1" x14ac:dyDescent="0.25">
      <c r="A283" s="34" t="s">
        <v>68</v>
      </c>
      <c r="B283" s="89">
        <v>46115</v>
      </c>
      <c r="C283" s="46" t="s">
        <v>641</v>
      </c>
      <c r="D283" s="46" t="s">
        <v>642</v>
      </c>
      <c r="E283" s="46" t="s">
        <v>239</v>
      </c>
      <c r="F283" s="46" t="s">
        <v>17</v>
      </c>
      <c r="G283" s="76">
        <v>49.52</v>
      </c>
      <c r="H283" s="218"/>
      <c r="I283" s="220">
        <v>341877.47</v>
      </c>
      <c r="J283" s="217" t="s">
        <v>371</v>
      </c>
      <c r="K283" s="214">
        <v>2</v>
      </c>
    </row>
    <row r="284" spans="1:11" ht="12.75" customHeight="1" x14ac:dyDescent="0.25">
      <c r="A284" s="34" t="s">
        <v>68</v>
      </c>
      <c r="B284" s="89">
        <v>46115</v>
      </c>
      <c r="C284" s="46" t="s">
        <v>641</v>
      </c>
      <c r="D284" s="46" t="s">
        <v>642</v>
      </c>
      <c r="E284" s="46" t="s">
        <v>239</v>
      </c>
      <c r="F284" s="46" t="s">
        <v>17</v>
      </c>
      <c r="G284" s="76">
        <v>1005</v>
      </c>
      <c r="H284" s="218"/>
      <c r="I284" s="220">
        <v>342882.47</v>
      </c>
      <c r="J284" s="217" t="s">
        <v>371</v>
      </c>
      <c r="K284" s="214">
        <v>2</v>
      </c>
    </row>
    <row r="285" spans="1:11" ht="12.75" customHeight="1" x14ac:dyDescent="0.25">
      <c r="A285" s="34" t="s">
        <v>53</v>
      </c>
      <c r="B285" s="89">
        <v>46115</v>
      </c>
      <c r="C285" s="46" t="s">
        <v>643</v>
      </c>
      <c r="D285" s="46" t="s">
        <v>644</v>
      </c>
      <c r="E285" s="46" t="s">
        <v>154</v>
      </c>
      <c r="F285" s="46" t="s">
        <v>18</v>
      </c>
      <c r="G285" s="76">
        <v>48.96</v>
      </c>
      <c r="H285" s="218"/>
      <c r="I285" s="220">
        <v>342931.43</v>
      </c>
      <c r="J285" s="217" t="s">
        <v>371</v>
      </c>
      <c r="K285" s="214">
        <v>2</v>
      </c>
    </row>
    <row r="286" spans="1:11" ht="12.75" customHeight="1" x14ac:dyDescent="0.25">
      <c r="A286" s="34" t="s">
        <v>53</v>
      </c>
      <c r="B286" s="89">
        <v>46115</v>
      </c>
      <c r="C286" s="46" t="s">
        <v>643</v>
      </c>
      <c r="D286" s="46" t="s">
        <v>644</v>
      </c>
      <c r="E286" s="46" t="s">
        <v>154</v>
      </c>
      <c r="F286" s="46" t="s">
        <v>18</v>
      </c>
      <c r="G286" s="76">
        <v>1000</v>
      </c>
      <c r="H286" s="218"/>
      <c r="I286" s="220">
        <v>343931.43</v>
      </c>
      <c r="J286" s="217" t="s">
        <v>371</v>
      </c>
      <c r="K286" s="214">
        <v>2</v>
      </c>
    </row>
    <row r="287" spans="1:11" ht="12.75" customHeight="1" x14ac:dyDescent="0.25">
      <c r="A287" s="34" t="s">
        <v>53</v>
      </c>
      <c r="B287" s="89">
        <v>46115</v>
      </c>
      <c r="C287" s="46" t="s">
        <v>645</v>
      </c>
      <c r="D287" s="46" t="s">
        <v>55</v>
      </c>
      <c r="E287" s="46" t="s">
        <v>81</v>
      </c>
      <c r="F287" s="46" t="s">
        <v>19</v>
      </c>
      <c r="G287" s="76">
        <v>1040</v>
      </c>
      <c r="H287" s="218"/>
      <c r="I287" s="220">
        <v>344971.43</v>
      </c>
      <c r="J287" s="217" t="s">
        <v>373</v>
      </c>
      <c r="K287" s="214">
        <v>2</v>
      </c>
    </row>
    <row r="288" spans="1:11" ht="12.75" customHeight="1" x14ac:dyDescent="0.25">
      <c r="A288" s="34" t="s">
        <v>53</v>
      </c>
      <c r="B288" s="89">
        <v>46115</v>
      </c>
      <c r="C288" s="46" t="s">
        <v>645</v>
      </c>
      <c r="D288" s="46" t="s">
        <v>55</v>
      </c>
      <c r="E288" s="46" t="s">
        <v>81</v>
      </c>
      <c r="F288" s="46" t="s">
        <v>19</v>
      </c>
      <c r="G288" s="76">
        <v>48.96</v>
      </c>
      <c r="H288" s="218"/>
      <c r="I288" s="220">
        <v>345020.39</v>
      </c>
      <c r="J288" s="217" t="s">
        <v>373</v>
      </c>
      <c r="K288" s="214">
        <v>2</v>
      </c>
    </row>
    <row r="289" spans="1:11" ht="12.75" customHeight="1" x14ac:dyDescent="0.25">
      <c r="A289" s="34" t="s">
        <v>53</v>
      </c>
      <c r="B289" s="89">
        <v>46115</v>
      </c>
      <c r="C289" s="46" t="s">
        <v>646</v>
      </c>
      <c r="D289" s="46" t="s">
        <v>647</v>
      </c>
      <c r="E289" s="46" t="s">
        <v>913</v>
      </c>
      <c r="F289" s="46" t="s">
        <v>20</v>
      </c>
      <c r="G289" s="76">
        <v>0.24</v>
      </c>
      <c r="H289" s="218"/>
      <c r="I289" s="220">
        <v>345020.63</v>
      </c>
      <c r="J289" s="217" t="s">
        <v>373</v>
      </c>
      <c r="K289" s="214">
        <v>2</v>
      </c>
    </row>
    <row r="290" spans="1:11" ht="12.75" customHeight="1" x14ac:dyDescent="0.25">
      <c r="A290" s="34" t="s">
        <v>53</v>
      </c>
      <c r="B290" s="89">
        <v>46115</v>
      </c>
      <c r="C290" s="46" t="s">
        <v>646</v>
      </c>
      <c r="D290" s="46" t="s">
        <v>647</v>
      </c>
      <c r="E290" s="46" t="s">
        <v>913</v>
      </c>
      <c r="F290" s="46" t="s">
        <v>20</v>
      </c>
      <c r="G290" s="76">
        <v>990</v>
      </c>
      <c r="H290" s="218"/>
      <c r="I290" s="220">
        <v>346010.63</v>
      </c>
      <c r="J290" s="217" t="s">
        <v>373</v>
      </c>
      <c r="K290" s="214">
        <v>2</v>
      </c>
    </row>
    <row r="291" spans="1:11" ht="12.75" customHeight="1" x14ac:dyDescent="0.25">
      <c r="A291" s="34" t="s">
        <v>53</v>
      </c>
      <c r="B291" s="89">
        <v>46115</v>
      </c>
      <c r="C291" s="46" t="s">
        <v>646</v>
      </c>
      <c r="D291" s="46" t="s">
        <v>647</v>
      </c>
      <c r="E291" s="46" t="s">
        <v>913</v>
      </c>
      <c r="F291" s="46" t="s">
        <v>20</v>
      </c>
      <c r="G291" s="76">
        <v>35.81</v>
      </c>
      <c r="H291" s="218"/>
      <c r="I291" s="220">
        <v>346046.44</v>
      </c>
      <c r="J291" s="217" t="s">
        <v>373</v>
      </c>
      <c r="K291" s="214">
        <v>2</v>
      </c>
    </row>
    <row r="292" spans="1:11" ht="12.75" customHeight="1" x14ac:dyDescent="0.25">
      <c r="A292" s="34" t="s">
        <v>53</v>
      </c>
      <c r="B292" s="89">
        <v>46115</v>
      </c>
      <c r="C292" s="46" t="s">
        <v>646</v>
      </c>
      <c r="D292" s="46" t="s">
        <v>647</v>
      </c>
      <c r="E292" s="46" t="s">
        <v>913</v>
      </c>
      <c r="F292" s="46" t="s">
        <v>20</v>
      </c>
      <c r="G292" s="76">
        <v>990</v>
      </c>
      <c r="H292" s="218"/>
      <c r="I292" s="220">
        <v>347036.44</v>
      </c>
      <c r="J292" s="53" t="s">
        <v>373</v>
      </c>
      <c r="K292" s="214">
        <v>2</v>
      </c>
    </row>
    <row r="293" spans="1:11" ht="12.75" customHeight="1" x14ac:dyDescent="0.25">
      <c r="A293" s="34" t="s">
        <v>53</v>
      </c>
      <c r="B293" s="89">
        <v>46115</v>
      </c>
      <c r="C293" s="46" t="s">
        <v>646</v>
      </c>
      <c r="D293" s="46" t="s">
        <v>647</v>
      </c>
      <c r="E293" s="46" t="s">
        <v>913</v>
      </c>
      <c r="F293" s="46" t="s">
        <v>20</v>
      </c>
      <c r="G293" s="76">
        <v>35.81</v>
      </c>
      <c r="H293" s="218"/>
      <c r="I293" s="220">
        <v>347072.25</v>
      </c>
      <c r="J293" s="53" t="s">
        <v>373</v>
      </c>
      <c r="K293" s="214">
        <v>2</v>
      </c>
    </row>
    <row r="294" spans="1:11" ht="12.75" customHeight="1" x14ac:dyDescent="0.25">
      <c r="A294" s="34" t="s">
        <v>53</v>
      </c>
      <c r="B294" s="89">
        <v>46115</v>
      </c>
      <c r="C294" s="46" t="s">
        <v>646</v>
      </c>
      <c r="D294" s="46" t="s">
        <v>647</v>
      </c>
      <c r="E294" s="46" t="s">
        <v>913</v>
      </c>
      <c r="F294" s="46" t="s">
        <v>20</v>
      </c>
      <c r="G294" s="76">
        <v>75</v>
      </c>
      <c r="H294" s="218"/>
      <c r="I294" s="220">
        <v>347147.25</v>
      </c>
      <c r="J294" s="217" t="s">
        <v>373</v>
      </c>
      <c r="K294" s="214">
        <v>2</v>
      </c>
    </row>
    <row r="295" spans="1:11" ht="12.75" customHeight="1" x14ac:dyDescent="0.25">
      <c r="A295" s="34" t="s">
        <v>53</v>
      </c>
      <c r="B295" s="89">
        <v>46115</v>
      </c>
      <c r="C295" s="46" t="s">
        <v>646</v>
      </c>
      <c r="D295" s="46" t="s">
        <v>647</v>
      </c>
      <c r="E295" s="46" t="s">
        <v>913</v>
      </c>
      <c r="F295" s="46" t="s">
        <v>20</v>
      </c>
      <c r="G295" s="76">
        <v>75</v>
      </c>
      <c r="H295" s="218"/>
      <c r="I295" s="220">
        <v>347222.25</v>
      </c>
      <c r="J295" s="217" t="s">
        <v>373</v>
      </c>
      <c r="K295" s="214">
        <v>2</v>
      </c>
    </row>
    <row r="296" spans="1:11" ht="12.75" customHeight="1" x14ac:dyDescent="0.25">
      <c r="A296" s="34" t="s">
        <v>53</v>
      </c>
      <c r="B296" s="89">
        <v>46115</v>
      </c>
      <c r="C296" s="46" t="s">
        <v>646</v>
      </c>
      <c r="D296" s="46" t="s">
        <v>647</v>
      </c>
      <c r="E296" s="46" t="s">
        <v>913</v>
      </c>
      <c r="F296" s="46" t="s">
        <v>20</v>
      </c>
      <c r="G296" s="76">
        <v>75</v>
      </c>
      <c r="H296" s="218"/>
      <c r="I296" s="220">
        <v>347297.25</v>
      </c>
      <c r="J296" s="217" t="s">
        <v>373</v>
      </c>
      <c r="K296" s="214">
        <v>2</v>
      </c>
    </row>
    <row r="297" spans="1:11" ht="12.75" customHeight="1" x14ac:dyDescent="0.25">
      <c r="A297" s="34" t="s">
        <v>68</v>
      </c>
      <c r="B297" s="89">
        <v>46115</v>
      </c>
      <c r="C297" s="46" t="s">
        <v>648</v>
      </c>
      <c r="D297" s="46" t="s">
        <v>649</v>
      </c>
      <c r="E297" s="46" t="s">
        <v>114</v>
      </c>
      <c r="F297" s="46" t="s">
        <v>17</v>
      </c>
      <c r="G297" s="76">
        <v>49.52</v>
      </c>
      <c r="H297" s="218"/>
      <c r="I297" s="220">
        <v>347346.77</v>
      </c>
      <c r="J297" s="217" t="s">
        <v>371</v>
      </c>
      <c r="K297" s="214">
        <v>2</v>
      </c>
    </row>
    <row r="298" spans="1:11" ht="12.75" customHeight="1" x14ac:dyDescent="0.25">
      <c r="A298" s="34" t="s">
        <v>68</v>
      </c>
      <c r="B298" s="89">
        <v>46115</v>
      </c>
      <c r="C298" s="46" t="s">
        <v>648</v>
      </c>
      <c r="D298" s="46" t="s">
        <v>649</v>
      </c>
      <c r="E298" s="46" t="s">
        <v>114</v>
      </c>
      <c r="F298" s="46" t="s">
        <v>17</v>
      </c>
      <c r="G298" s="76">
        <v>1005</v>
      </c>
      <c r="H298" s="218"/>
      <c r="I298" s="220">
        <v>348351.77</v>
      </c>
      <c r="J298" s="53" t="s">
        <v>371</v>
      </c>
      <c r="K298" s="214">
        <v>2</v>
      </c>
    </row>
    <row r="299" spans="1:11" ht="12.75" customHeight="1" x14ac:dyDescent="0.25">
      <c r="A299" s="34" t="s">
        <v>68</v>
      </c>
      <c r="B299" s="89">
        <v>46115</v>
      </c>
      <c r="C299" s="46" t="s">
        <v>650</v>
      </c>
      <c r="D299" s="46" t="s">
        <v>651</v>
      </c>
      <c r="E299" s="46" t="s">
        <v>106</v>
      </c>
      <c r="F299" s="46" t="s">
        <v>17</v>
      </c>
      <c r="G299" s="76">
        <v>49.52</v>
      </c>
      <c r="H299" s="218"/>
      <c r="I299" s="220">
        <v>348401.29</v>
      </c>
      <c r="J299" s="53" t="s">
        <v>371</v>
      </c>
      <c r="K299" s="214">
        <v>2</v>
      </c>
    </row>
    <row r="300" spans="1:11" ht="12.75" customHeight="1" x14ac:dyDescent="0.25">
      <c r="A300" s="34" t="s">
        <v>68</v>
      </c>
      <c r="B300" s="89">
        <v>46115</v>
      </c>
      <c r="C300" s="46" t="s">
        <v>650</v>
      </c>
      <c r="D300" s="46" t="s">
        <v>651</v>
      </c>
      <c r="E300" s="46" t="s">
        <v>106</v>
      </c>
      <c r="F300" s="46" t="s">
        <v>17</v>
      </c>
      <c r="G300" s="76">
        <v>1020</v>
      </c>
      <c r="H300" s="218"/>
      <c r="I300" s="220">
        <v>349421.29</v>
      </c>
      <c r="J300" s="53" t="s">
        <v>371</v>
      </c>
      <c r="K300" s="214">
        <v>2</v>
      </c>
    </row>
    <row r="301" spans="1:11" ht="12.75" customHeight="1" x14ac:dyDescent="0.25">
      <c r="A301" s="34" t="s">
        <v>53</v>
      </c>
      <c r="B301" s="89">
        <v>46115</v>
      </c>
      <c r="C301" s="46" t="s">
        <v>652</v>
      </c>
      <c r="D301" s="46" t="s">
        <v>55</v>
      </c>
      <c r="E301" s="46" t="s">
        <v>185</v>
      </c>
      <c r="F301" s="46" t="s">
        <v>22</v>
      </c>
      <c r="G301" s="76">
        <v>1000</v>
      </c>
      <c r="H301" s="218"/>
      <c r="I301" s="220">
        <v>350421.29</v>
      </c>
      <c r="J301" s="53" t="s">
        <v>373</v>
      </c>
      <c r="K301" s="214">
        <v>2</v>
      </c>
    </row>
    <row r="302" spans="1:11" ht="12.75" customHeight="1" x14ac:dyDescent="0.25">
      <c r="A302" s="34" t="s">
        <v>53</v>
      </c>
      <c r="B302" s="89">
        <v>46115</v>
      </c>
      <c r="C302" s="46" t="s">
        <v>652</v>
      </c>
      <c r="D302" s="46" t="s">
        <v>55</v>
      </c>
      <c r="E302" s="46" t="s">
        <v>185</v>
      </c>
      <c r="F302" s="46" t="s">
        <v>22</v>
      </c>
      <c r="G302" s="76">
        <v>48.96</v>
      </c>
      <c r="H302" s="218"/>
      <c r="I302" s="220">
        <v>350470.25</v>
      </c>
      <c r="J302" s="217" t="s">
        <v>373</v>
      </c>
      <c r="K302" s="214">
        <v>2</v>
      </c>
    </row>
    <row r="303" spans="1:11" ht="12.75" customHeight="1" x14ac:dyDescent="0.25">
      <c r="A303" s="34" t="s">
        <v>68</v>
      </c>
      <c r="B303" s="89">
        <v>46115</v>
      </c>
      <c r="C303" s="46" t="s">
        <v>653</v>
      </c>
      <c r="D303" s="46" t="s">
        <v>654</v>
      </c>
      <c r="E303" s="46" t="s">
        <v>113</v>
      </c>
      <c r="F303" s="46" t="s">
        <v>17</v>
      </c>
      <c r="G303" s="76">
        <v>49.52</v>
      </c>
      <c r="H303" s="218"/>
      <c r="I303" s="220">
        <v>350519.77</v>
      </c>
      <c r="J303" s="217" t="s">
        <v>371</v>
      </c>
      <c r="K303" s="214">
        <v>2</v>
      </c>
    </row>
    <row r="304" spans="1:11" ht="12.75" customHeight="1" x14ac:dyDescent="0.25">
      <c r="A304" s="34" t="s">
        <v>68</v>
      </c>
      <c r="B304" s="89">
        <v>46115</v>
      </c>
      <c r="C304" s="46" t="s">
        <v>653</v>
      </c>
      <c r="D304" s="46" t="s">
        <v>654</v>
      </c>
      <c r="E304" s="46" t="s">
        <v>113</v>
      </c>
      <c r="F304" s="46" t="s">
        <v>17</v>
      </c>
      <c r="G304" s="76">
        <v>1005</v>
      </c>
      <c r="H304" s="218"/>
      <c r="I304" s="220">
        <v>351524.77</v>
      </c>
      <c r="J304" s="217" t="s">
        <v>371</v>
      </c>
      <c r="K304" s="214">
        <v>2</v>
      </c>
    </row>
    <row r="305" spans="1:11" ht="12.75" customHeight="1" x14ac:dyDescent="0.25">
      <c r="A305" s="34" t="s">
        <v>68</v>
      </c>
      <c r="B305" s="89">
        <v>46115</v>
      </c>
      <c r="C305" s="46" t="s">
        <v>655</v>
      </c>
      <c r="D305" s="46" t="s">
        <v>55</v>
      </c>
      <c r="E305" s="46" t="s">
        <v>115</v>
      </c>
      <c r="F305" s="46" t="s">
        <v>57</v>
      </c>
      <c r="G305" s="76">
        <v>1005</v>
      </c>
      <c r="H305" s="218"/>
      <c r="I305" s="220">
        <v>352529.77</v>
      </c>
      <c r="J305" s="217" t="s">
        <v>373</v>
      </c>
      <c r="K305" s="214">
        <v>2</v>
      </c>
    </row>
    <row r="306" spans="1:11" ht="12.75" customHeight="1" x14ac:dyDescent="0.25">
      <c r="A306" s="34" t="s">
        <v>68</v>
      </c>
      <c r="B306" s="89">
        <v>46115</v>
      </c>
      <c r="C306" s="46" t="s">
        <v>655</v>
      </c>
      <c r="D306" s="46" t="s">
        <v>55</v>
      </c>
      <c r="E306" s="46" t="s">
        <v>115</v>
      </c>
      <c r="F306" s="46" t="s">
        <v>57</v>
      </c>
      <c r="G306" s="76">
        <v>49.52</v>
      </c>
      <c r="H306" s="218"/>
      <c r="I306" s="220">
        <v>352579.29</v>
      </c>
      <c r="J306" s="217" t="s">
        <v>373</v>
      </c>
      <c r="K306" s="214">
        <v>2</v>
      </c>
    </row>
    <row r="307" spans="1:11" ht="12.75" customHeight="1" x14ac:dyDescent="0.25">
      <c r="A307" s="34" t="s">
        <v>53</v>
      </c>
      <c r="B307" s="89">
        <v>46115</v>
      </c>
      <c r="C307" s="46" t="s">
        <v>656</v>
      </c>
      <c r="D307" s="46" t="s">
        <v>55</v>
      </c>
      <c r="E307" s="46" t="s">
        <v>73</v>
      </c>
      <c r="F307" s="46" t="s">
        <v>57</v>
      </c>
      <c r="G307" s="76">
        <v>1000</v>
      </c>
      <c r="H307" s="218"/>
      <c r="I307" s="220">
        <v>353579.29</v>
      </c>
      <c r="J307" s="217" t="s">
        <v>373</v>
      </c>
      <c r="K307" s="214">
        <v>2</v>
      </c>
    </row>
    <row r="308" spans="1:11" ht="12.75" customHeight="1" x14ac:dyDescent="0.25">
      <c r="A308" s="34" t="s">
        <v>53</v>
      </c>
      <c r="B308" s="89">
        <v>46115</v>
      </c>
      <c r="C308" s="46" t="s">
        <v>656</v>
      </c>
      <c r="D308" s="46" t="s">
        <v>55</v>
      </c>
      <c r="E308" s="46" t="s">
        <v>73</v>
      </c>
      <c r="F308" s="46" t="s">
        <v>57</v>
      </c>
      <c r="G308" s="76">
        <v>48.96</v>
      </c>
      <c r="H308" s="218"/>
      <c r="I308" s="220">
        <v>353628.25</v>
      </c>
      <c r="J308" s="217" t="s">
        <v>373</v>
      </c>
      <c r="K308" s="214">
        <v>2</v>
      </c>
    </row>
    <row r="309" spans="1:11" ht="12.75" customHeight="1" x14ac:dyDescent="0.25">
      <c r="A309" s="34" t="s">
        <v>53</v>
      </c>
      <c r="B309" s="89">
        <v>46116</v>
      </c>
      <c r="C309" s="46" t="s">
        <v>657</v>
      </c>
      <c r="D309" s="46" t="s">
        <v>55</v>
      </c>
      <c r="E309" s="46" t="s">
        <v>282</v>
      </c>
      <c r="F309" s="46" t="s">
        <v>19</v>
      </c>
      <c r="G309" s="76">
        <v>1000</v>
      </c>
      <c r="H309" s="218"/>
      <c r="I309" s="220">
        <v>354628.25</v>
      </c>
      <c r="J309" s="217" t="s">
        <v>373</v>
      </c>
      <c r="K309" s="214">
        <v>2</v>
      </c>
    </row>
    <row r="310" spans="1:11" ht="12.75" customHeight="1" x14ac:dyDescent="0.25">
      <c r="A310" s="34" t="s">
        <v>53</v>
      </c>
      <c r="B310" s="89">
        <v>46116</v>
      </c>
      <c r="C310" s="46" t="s">
        <v>657</v>
      </c>
      <c r="D310" s="46" t="s">
        <v>55</v>
      </c>
      <c r="E310" s="46" t="s">
        <v>282</v>
      </c>
      <c r="F310" s="46" t="s">
        <v>19</v>
      </c>
      <c r="G310" s="76">
        <v>48.96</v>
      </c>
      <c r="H310" s="218"/>
      <c r="I310" s="220">
        <v>354677.21</v>
      </c>
      <c r="J310" s="217" t="s">
        <v>373</v>
      </c>
      <c r="K310" s="214">
        <v>2</v>
      </c>
    </row>
    <row r="311" spans="1:11" ht="12.75" customHeight="1" x14ac:dyDescent="0.25">
      <c r="A311" s="34" t="s">
        <v>68</v>
      </c>
      <c r="B311" s="89">
        <v>46116</v>
      </c>
      <c r="C311" s="46" t="s">
        <v>658</v>
      </c>
      <c r="D311" s="46" t="s">
        <v>55</v>
      </c>
      <c r="E311" s="46" t="s">
        <v>71</v>
      </c>
      <c r="F311" s="46" t="s">
        <v>57</v>
      </c>
      <c r="G311" s="76">
        <v>1005</v>
      </c>
      <c r="H311" s="218"/>
      <c r="I311" s="220">
        <v>355682.21</v>
      </c>
      <c r="J311" s="217" t="s">
        <v>373</v>
      </c>
      <c r="K311" s="214">
        <v>2</v>
      </c>
    </row>
    <row r="312" spans="1:11" ht="12.75" customHeight="1" x14ac:dyDescent="0.25">
      <c r="A312" s="34" t="s">
        <v>68</v>
      </c>
      <c r="B312" s="89">
        <v>46116</v>
      </c>
      <c r="C312" s="46" t="s">
        <v>658</v>
      </c>
      <c r="D312" s="46" t="s">
        <v>55</v>
      </c>
      <c r="E312" s="46" t="s">
        <v>71</v>
      </c>
      <c r="F312" s="46" t="s">
        <v>57</v>
      </c>
      <c r="G312" s="76">
        <v>49.52</v>
      </c>
      <c r="H312" s="218"/>
      <c r="I312" s="220">
        <v>355731.73</v>
      </c>
      <c r="J312" s="217" t="s">
        <v>373</v>
      </c>
      <c r="K312" s="214">
        <v>2</v>
      </c>
    </row>
    <row r="313" spans="1:11" ht="12.75" customHeight="1" x14ac:dyDescent="0.25">
      <c r="A313" s="34" t="s">
        <v>53</v>
      </c>
      <c r="B313" s="89">
        <v>46116</v>
      </c>
      <c r="C313" s="46" t="s">
        <v>659</v>
      </c>
      <c r="D313" s="46" t="s">
        <v>660</v>
      </c>
      <c r="E313" s="46" t="s">
        <v>83</v>
      </c>
      <c r="F313" s="46" t="s">
        <v>84</v>
      </c>
      <c r="G313" s="76">
        <v>1000</v>
      </c>
      <c r="H313" s="218"/>
      <c r="I313" s="220">
        <v>356731.73</v>
      </c>
      <c r="J313" s="217" t="s">
        <v>373</v>
      </c>
      <c r="K313" s="214">
        <v>2</v>
      </c>
    </row>
    <row r="314" spans="1:11" ht="12.75" customHeight="1" x14ac:dyDescent="0.25">
      <c r="A314" s="34" t="s">
        <v>53</v>
      </c>
      <c r="B314" s="89">
        <v>46116</v>
      </c>
      <c r="C314" s="46" t="s">
        <v>659</v>
      </c>
      <c r="D314" s="46" t="s">
        <v>660</v>
      </c>
      <c r="E314" s="46" t="s">
        <v>83</v>
      </c>
      <c r="F314" s="46" t="s">
        <v>84</v>
      </c>
      <c r="G314" s="76">
        <v>48.96</v>
      </c>
      <c r="H314" s="218"/>
      <c r="I314" s="220">
        <v>356780.69</v>
      </c>
      <c r="J314" s="217" t="s">
        <v>373</v>
      </c>
      <c r="K314" s="214">
        <v>2</v>
      </c>
    </row>
    <row r="315" spans="1:11" ht="12.75" customHeight="1" x14ac:dyDescent="0.25">
      <c r="A315" s="34" t="s">
        <v>68</v>
      </c>
      <c r="B315" s="89">
        <v>46116</v>
      </c>
      <c r="C315" s="46" t="s">
        <v>661</v>
      </c>
      <c r="D315" s="46" t="s">
        <v>662</v>
      </c>
      <c r="E315" s="46" t="s">
        <v>168</v>
      </c>
      <c r="F315" s="46" t="s">
        <v>84</v>
      </c>
      <c r="G315" s="76">
        <v>1020</v>
      </c>
      <c r="H315" s="218"/>
      <c r="I315" s="220">
        <v>357800.69</v>
      </c>
      <c r="J315" s="217" t="s">
        <v>373</v>
      </c>
      <c r="K315" s="214">
        <v>2</v>
      </c>
    </row>
    <row r="316" spans="1:11" ht="12.75" customHeight="1" x14ac:dyDescent="0.25">
      <c r="A316" s="34" t="s">
        <v>68</v>
      </c>
      <c r="B316" s="89">
        <v>46116</v>
      </c>
      <c r="C316" s="46" t="s">
        <v>661</v>
      </c>
      <c r="D316" s="46" t="s">
        <v>662</v>
      </c>
      <c r="E316" s="46" t="s">
        <v>168</v>
      </c>
      <c r="F316" s="46" t="s">
        <v>84</v>
      </c>
      <c r="G316" s="76">
        <v>49.52</v>
      </c>
      <c r="H316" s="218"/>
      <c r="I316" s="220">
        <v>357850.21</v>
      </c>
      <c r="J316" s="217" t="s">
        <v>373</v>
      </c>
      <c r="K316" s="214">
        <v>2</v>
      </c>
    </row>
    <row r="317" spans="1:11" ht="12.75" customHeight="1" x14ac:dyDescent="0.25">
      <c r="A317" s="34" t="s">
        <v>53</v>
      </c>
      <c r="B317" s="89">
        <v>46116</v>
      </c>
      <c r="C317" s="46" t="s">
        <v>663</v>
      </c>
      <c r="D317" s="46" t="s">
        <v>55</v>
      </c>
      <c r="E317" s="46" t="s">
        <v>138</v>
      </c>
      <c r="F317" s="46" t="s">
        <v>19</v>
      </c>
      <c r="G317" s="76">
        <v>1000</v>
      </c>
      <c r="H317" s="218"/>
      <c r="I317" s="220">
        <v>358850.21</v>
      </c>
      <c r="J317" s="217" t="s">
        <v>373</v>
      </c>
      <c r="K317" s="214">
        <v>2</v>
      </c>
    </row>
    <row r="318" spans="1:11" ht="12.75" customHeight="1" x14ac:dyDescent="0.25">
      <c r="A318" s="34" t="s">
        <v>53</v>
      </c>
      <c r="B318" s="89">
        <v>46116</v>
      </c>
      <c r="C318" s="46" t="s">
        <v>663</v>
      </c>
      <c r="D318" s="46" t="s">
        <v>55</v>
      </c>
      <c r="E318" s="46" t="s">
        <v>138</v>
      </c>
      <c r="F318" s="46" t="s">
        <v>19</v>
      </c>
      <c r="G318" s="76">
        <v>48.96</v>
      </c>
      <c r="H318" s="218"/>
      <c r="I318" s="220">
        <v>358899.17</v>
      </c>
      <c r="J318" s="217" t="s">
        <v>373</v>
      </c>
      <c r="K318" s="214">
        <v>2</v>
      </c>
    </row>
    <row r="319" spans="1:11" ht="12.75" customHeight="1" x14ac:dyDescent="0.25">
      <c r="A319" s="34" t="s">
        <v>53</v>
      </c>
      <c r="B319" s="89">
        <v>46116</v>
      </c>
      <c r="C319" s="46" t="s">
        <v>664</v>
      </c>
      <c r="D319" s="46" t="s">
        <v>55</v>
      </c>
      <c r="E319" s="46" t="s">
        <v>136</v>
      </c>
      <c r="F319" s="46" t="s">
        <v>57</v>
      </c>
      <c r="G319" s="76">
        <v>1000</v>
      </c>
      <c r="H319" s="218"/>
      <c r="I319" s="220">
        <v>359899.17</v>
      </c>
      <c r="J319" s="217" t="s">
        <v>373</v>
      </c>
      <c r="K319" s="214">
        <v>2</v>
      </c>
    </row>
    <row r="320" spans="1:11" ht="12.75" customHeight="1" x14ac:dyDescent="0.25">
      <c r="A320" s="34" t="s">
        <v>53</v>
      </c>
      <c r="B320" s="89">
        <v>46116</v>
      </c>
      <c r="C320" s="46" t="s">
        <v>664</v>
      </c>
      <c r="D320" s="46" t="s">
        <v>55</v>
      </c>
      <c r="E320" s="46" t="s">
        <v>136</v>
      </c>
      <c r="F320" s="46" t="s">
        <v>57</v>
      </c>
      <c r="G320" s="76">
        <v>48.96</v>
      </c>
      <c r="H320" s="218"/>
      <c r="I320" s="220">
        <v>359948.13</v>
      </c>
      <c r="J320" s="217" t="s">
        <v>373</v>
      </c>
      <c r="K320" s="214">
        <v>2</v>
      </c>
    </row>
    <row r="321" spans="1:11" ht="12.75" customHeight="1" x14ac:dyDescent="0.25">
      <c r="A321" s="34" t="s">
        <v>53</v>
      </c>
      <c r="B321" s="89">
        <v>46116</v>
      </c>
      <c r="C321" s="46" t="s">
        <v>665</v>
      </c>
      <c r="D321" s="46" t="s">
        <v>666</v>
      </c>
      <c r="E321" s="46" t="s">
        <v>157</v>
      </c>
      <c r="F321" s="46" t="s">
        <v>17</v>
      </c>
      <c r="G321" s="76">
        <v>48.96</v>
      </c>
      <c r="H321" s="218"/>
      <c r="I321" s="220">
        <v>359997.09</v>
      </c>
      <c r="J321" s="217" t="s">
        <v>370</v>
      </c>
      <c r="K321" s="214">
        <v>2</v>
      </c>
    </row>
    <row r="322" spans="1:11" ht="12.75" customHeight="1" x14ac:dyDescent="0.25">
      <c r="A322" s="34" t="s">
        <v>53</v>
      </c>
      <c r="B322" s="89">
        <v>46116</v>
      </c>
      <c r="C322" s="46" t="s">
        <v>665</v>
      </c>
      <c r="D322" s="46" t="s">
        <v>666</v>
      </c>
      <c r="E322" s="46" t="s">
        <v>157</v>
      </c>
      <c r="F322" s="46" t="s">
        <v>17</v>
      </c>
      <c r="G322" s="76">
        <v>1000</v>
      </c>
      <c r="H322" s="218"/>
      <c r="I322" s="220">
        <v>360997.09</v>
      </c>
      <c r="J322" s="217" t="s">
        <v>370</v>
      </c>
      <c r="K322" s="214">
        <v>2</v>
      </c>
    </row>
    <row r="323" spans="1:11" ht="12.75" customHeight="1" x14ac:dyDescent="0.25">
      <c r="A323" s="34" t="s">
        <v>53</v>
      </c>
      <c r="B323" s="89">
        <v>46117</v>
      </c>
      <c r="C323" s="46" t="s">
        <v>667</v>
      </c>
      <c r="D323" s="46" t="s">
        <v>668</v>
      </c>
      <c r="E323" s="46" t="s">
        <v>174</v>
      </c>
      <c r="F323" s="46" t="s">
        <v>84</v>
      </c>
      <c r="G323" s="76">
        <v>1000</v>
      </c>
      <c r="H323" s="218"/>
      <c r="I323" s="220">
        <v>361997.09</v>
      </c>
      <c r="J323" s="217" t="s">
        <v>373</v>
      </c>
      <c r="K323" s="214">
        <v>2</v>
      </c>
    </row>
    <row r="324" spans="1:11" ht="12.75" customHeight="1" x14ac:dyDescent="0.25">
      <c r="A324" s="34" t="s">
        <v>53</v>
      </c>
      <c r="B324" s="89">
        <v>46117</v>
      </c>
      <c r="C324" s="46" t="s">
        <v>667</v>
      </c>
      <c r="D324" s="46" t="s">
        <v>668</v>
      </c>
      <c r="E324" s="46" t="s">
        <v>174</v>
      </c>
      <c r="F324" s="46" t="s">
        <v>84</v>
      </c>
      <c r="G324" s="76">
        <v>48.96</v>
      </c>
      <c r="H324" s="218"/>
      <c r="I324" s="220">
        <v>362046.05</v>
      </c>
      <c r="J324" s="217" t="s">
        <v>373</v>
      </c>
      <c r="K324" s="214">
        <v>2</v>
      </c>
    </row>
    <row r="325" spans="1:11" ht="12.75" customHeight="1" x14ac:dyDescent="0.25">
      <c r="A325" s="34" t="s">
        <v>53</v>
      </c>
      <c r="B325" s="89">
        <v>46117</v>
      </c>
      <c r="C325" s="46" t="s">
        <v>669</v>
      </c>
      <c r="D325" s="46" t="s">
        <v>670</v>
      </c>
      <c r="E325" s="46" t="s">
        <v>139</v>
      </c>
      <c r="F325" s="46" t="s">
        <v>84</v>
      </c>
      <c r="G325" s="76">
        <v>1000</v>
      </c>
      <c r="H325" s="218"/>
      <c r="I325" s="220">
        <v>363046.05</v>
      </c>
      <c r="J325" s="217" t="s">
        <v>373</v>
      </c>
      <c r="K325" s="214">
        <v>2</v>
      </c>
    </row>
    <row r="326" spans="1:11" ht="12.75" customHeight="1" x14ac:dyDescent="0.25">
      <c r="A326" s="34" t="s">
        <v>53</v>
      </c>
      <c r="B326" s="89">
        <v>46117</v>
      </c>
      <c r="C326" s="46" t="s">
        <v>669</v>
      </c>
      <c r="D326" s="46" t="s">
        <v>670</v>
      </c>
      <c r="E326" s="46" t="s">
        <v>139</v>
      </c>
      <c r="F326" s="46" t="s">
        <v>84</v>
      </c>
      <c r="G326" s="76">
        <v>48.96</v>
      </c>
      <c r="H326" s="218"/>
      <c r="I326" s="220">
        <v>363095.01</v>
      </c>
      <c r="J326" s="217" t="s">
        <v>373</v>
      </c>
      <c r="K326" s="214">
        <v>2</v>
      </c>
    </row>
    <row r="327" spans="1:11" ht="12.75" customHeight="1" x14ac:dyDescent="0.25">
      <c r="A327" s="34" t="s">
        <v>53</v>
      </c>
      <c r="B327" s="89">
        <v>46117</v>
      </c>
      <c r="C327" s="46" t="s">
        <v>671</v>
      </c>
      <c r="D327" s="46" t="s">
        <v>672</v>
      </c>
      <c r="E327" s="46" t="s">
        <v>140</v>
      </c>
      <c r="F327" s="46" t="s">
        <v>84</v>
      </c>
      <c r="G327" s="76">
        <v>1000</v>
      </c>
      <c r="H327" s="218"/>
      <c r="I327" s="220">
        <v>364095.01</v>
      </c>
      <c r="J327" s="217" t="s">
        <v>373</v>
      </c>
      <c r="K327" s="214">
        <v>2</v>
      </c>
    </row>
    <row r="328" spans="1:11" ht="12.75" customHeight="1" x14ac:dyDescent="0.25">
      <c r="A328" s="34" t="s">
        <v>53</v>
      </c>
      <c r="B328" s="89">
        <v>46117</v>
      </c>
      <c r="C328" s="46" t="s">
        <v>671</v>
      </c>
      <c r="D328" s="46" t="s">
        <v>672</v>
      </c>
      <c r="E328" s="46" t="s">
        <v>140</v>
      </c>
      <c r="F328" s="46" t="s">
        <v>84</v>
      </c>
      <c r="G328" s="76">
        <v>48.96</v>
      </c>
      <c r="H328" s="218"/>
      <c r="I328" s="220">
        <v>364143.97</v>
      </c>
      <c r="J328" s="217" t="s">
        <v>373</v>
      </c>
      <c r="K328" s="214">
        <v>2</v>
      </c>
    </row>
    <row r="329" spans="1:11" ht="12.75" customHeight="1" x14ac:dyDescent="0.25">
      <c r="A329" s="34" t="s">
        <v>68</v>
      </c>
      <c r="B329" s="89">
        <v>46117</v>
      </c>
      <c r="C329" s="46" t="s">
        <v>673</v>
      </c>
      <c r="D329" s="46" t="s">
        <v>674</v>
      </c>
      <c r="E329" s="46" t="s">
        <v>143</v>
      </c>
      <c r="F329" s="46" t="s">
        <v>944</v>
      </c>
      <c r="G329" s="76">
        <v>390</v>
      </c>
      <c r="H329" s="218"/>
      <c r="I329" s="220">
        <v>364533.97</v>
      </c>
      <c r="J329" s="217" t="s">
        <v>373</v>
      </c>
      <c r="K329" s="214">
        <v>2</v>
      </c>
    </row>
    <row r="330" spans="1:11" ht="12.75" customHeight="1" x14ac:dyDescent="0.25">
      <c r="A330" s="34" t="s">
        <v>68</v>
      </c>
      <c r="B330" s="89">
        <v>46117</v>
      </c>
      <c r="C330" s="46" t="s">
        <v>673</v>
      </c>
      <c r="D330" s="46" t="s">
        <v>674</v>
      </c>
      <c r="E330" s="46" t="s">
        <v>143</v>
      </c>
      <c r="F330" s="46" t="s">
        <v>944</v>
      </c>
      <c r="G330" s="76">
        <v>615.6</v>
      </c>
      <c r="H330" s="218"/>
      <c r="I330" s="220">
        <v>365149.57</v>
      </c>
      <c r="J330" s="217" t="s">
        <v>373</v>
      </c>
      <c r="K330" s="214">
        <v>2</v>
      </c>
    </row>
    <row r="331" spans="1:11" ht="12.75" customHeight="1" x14ac:dyDescent="0.25">
      <c r="A331" s="34" t="s">
        <v>68</v>
      </c>
      <c r="B331" s="89">
        <v>46117</v>
      </c>
      <c r="C331" s="46" t="s">
        <v>673</v>
      </c>
      <c r="D331" s="46" t="s">
        <v>674</v>
      </c>
      <c r="E331" s="46" t="s">
        <v>143</v>
      </c>
      <c r="F331" s="46" t="s">
        <v>944</v>
      </c>
      <c r="G331" s="76">
        <v>49.52</v>
      </c>
      <c r="H331" s="218"/>
      <c r="I331" s="220">
        <v>365199.09</v>
      </c>
      <c r="J331" s="217" t="s">
        <v>373</v>
      </c>
      <c r="K331" s="214">
        <v>2</v>
      </c>
    </row>
    <row r="332" spans="1:11" ht="12.75" customHeight="1" x14ac:dyDescent="0.25">
      <c r="A332" s="34" t="s">
        <v>68</v>
      </c>
      <c r="B332" s="89">
        <v>46117</v>
      </c>
      <c r="C332" s="46" t="s">
        <v>675</v>
      </c>
      <c r="D332" s="46" t="s">
        <v>676</v>
      </c>
      <c r="E332" s="46" t="s">
        <v>155</v>
      </c>
      <c r="F332" s="46" t="s">
        <v>84</v>
      </c>
      <c r="G332" s="76">
        <v>1005</v>
      </c>
      <c r="H332" s="218"/>
      <c r="I332" s="220">
        <v>366204.09</v>
      </c>
      <c r="J332" s="217" t="s">
        <v>373</v>
      </c>
      <c r="K332" s="214">
        <v>2</v>
      </c>
    </row>
    <row r="333" spans="1:11" ht="12.75" customHeight="1" x14ac:dyDescent="0.25">
      <c r="A333" s="34" t="s">
        <v>68</v>
      </c>
      <c r="B333" s="89">
        <v>46117</v>
      </c>
      <c r="C333" s="46" t="s">
        <v>675</v>
      </c>
      <c r="D333" s="46" t="s">
        <v>676</v>
      </c>
      <c r="E333" s="46" t="s">
        <v>155</v>
      </c>
      <c r="F333" s="46" t="s">
        <v>84</v>
      </c>
      <c r="G333" s="76">
        <v>49.52</v>
      </c>
      <c r="H333" s="218"/>
      <c r="I333" s="220">
        <v>366253.61</v>
      </c>
      <c r="J333" s="217" t="s">
        <v>373</v>
      </c>
      <c r="K333" s="214">
        <v>2</v>
      </c>
    </row>
    <row r="334" spans="1:11" ht="12.75" customHeight="1" x14ac:dyDescent="0.25">
      <c r="A334" s="34" t="s">
        <v>68</v>
      </c>
      <c r="B334" s="89">
        <v>46117</v>
      </c>
      <c r="C334" s="46" t="s">
        <v>677</v>
      </c>
      <c r="D334" s="46" t="s">
        <v>678</v>
      </c>
      <c r="E334" s="46" t="s">
        <v>146</v>
      </c>
      <c r="F334" s="46" t="s">
        <v>84</v>
      </c>
      <c r="G334" s="76">
        <v>1005</v>
      </c>
      <c r="H334" s="218"/>
      <c r="I334" s="220">
        <v>367258.61</v>
      </c>
      <c r="J334" s="217" t="s">
        <v>373</v>
      </c>
      <c r="K334" s="214">
        <v>2</v>
      </c>
    </row>
    <row r="335" spans="1:11" ht="12.75" customHeight="1" x14ac:dyDescent="0.25">
      <c r="A335" s="34" t="s">
        <v>68</v>
      </c>
      <c r="B335" s="89">
        <v>46117</v>
      </c>
      <c r="C335" s="46" t="s">
        <v>677</v>
      </c>
      <c r="D335" s="46" t="s">
        <v>678</v>
      </c>
      <c r="E335" s="46" t="s">
        <v>146</v>
      </c>
      <c r="F335" s="46" t="s">
        <v>84</v>
      </c>
      <c r="G335" s="76">
        <v>49.52</v>
      </c>
      <c r="H335" s="218"/>
      <c r="I335" s="220">
        <v>367308.13</v>
      </c>
      <c r="J335" s="217" t="s">
        <v>373</v>
      </c>
      <c r="K335" s="214">
        <v>2</v>
      </c>
    </row>
    <row r="336" spans="1:11" ht="12.75" customHeight="1" x14ac:dyDescent="0.25">
      <c r="A336" s="34" t="s">
        <v>68</v>
      </c>
      <c r="B336" s="89">
        <v>46117</v>
      </c>
      <c r="C336" s="46" t="s">
        <v>679</v>
      </c>
      <c r="D336" s="46" t="s">
        <v>680</v>
      </c>
      <c r="E336" s="46" t="s">
        <v>147</v>
      </c>
      <c r="F336" s="46" t="s">
        <v>84</v>
      </c>
      <c r="G336" s="76">
        <v>1005</v>
      </c>
      <c r="H336" s="218"/>
      <c r="I336" s="220">
        <v>368313.13</v>
      </c>
      <c r="J336" s="217" t="s">
        <v>373</v>
      </c>
      <c r="K336" s="214">
        <v>2</v>
      </c>
    </row>
    <row r="337" spans="1:11" ht="12.75" customHeight="1" x14ac:dyDescent="0.25">
      <c r="A337" s="34" t="s">
        <v>68</v>
      </c>
      <c r="B337" s="89">
        <v>46117</v>
      </c>
      <c r="C337" s="46" t="s">
        <v>679</v>
      </c>
      <c r="D337" s="46" t="s">
        <v>680</v>
      </c>
      <c r="E337" s="46" t="s">
        <v>147</v>
      </c>
      <c r="F337" s="46" t="s">
        <v>84</v>
      </c>
      <c r="G337" s="76">
        <v>49.52</v>
      </c>
      <c r="H337" s="218"/>
      <c r="I337" s="220">
        <v>368362.65</v>
      </c>
      <c r="J337" s="217" t="s">
        <v>373</v>
      </c>
      <c r="K337" s="214">
        <v>2</v>
      </c>
    </row>
    <row r="338" spans="1:11" ht="12.75" customHeight="1" x14ac:dyDescent="0.25">
      <c r="A338" s="34" t="s">
        <v>68</v>
      </c>
      <c r="B338" s="89">
        <v>46117</v>
      </c>
      <c r="C338" s="46" t="s">
        <v>681</v>
      </c>
      <c r="D338" s="46" t="s">
        <v>682</v>
      </c>
      <c r="E338" s="46" t="s">
        <v>162</v>
      </c>
      <c r="F338" s="46" t="s">
        <v>84</v>
      </c>
      <c r="G338" s="76">
        <v>1005</v>
      </c>
      <c r="H338" s="218"/>
      <c r="I338" s="220">
        <v>369367.65</v>
      </c>
      <c r="J338" s="217" t="s">
        <v>373</v>
      </c>
      <c r="K338" s="214">
        <v>2</v>
      </c>
    </row>
    <row r="339" spans="1:11" ht="12.75" customHeight="1" x14ac:dyDescent="0.25">
      <c r="A339" s="34" t="s">
        <v>68</v>
      </c>
      <c r="B339" s="89">
        <v>46117</v>
      </c>
      <c r="C339" s="46" t="s">
        <v>681</v>
      </c>
      <c r="D339" s="46" t="s">
        <v>682</v>
      </c>
      <c r="E339" s="46" t="s">
        <v>162</v>
      </c>
      <c r="F339" s="46" t="s">
        <v>84</v>
      </c>
      <c r="G339" s="76">
        <v>49.52</v>
      </c>
      <c r="H339" s="218"/>
      <c r="I339" s="220">
        <v>369417.17</v>
      </c>
      <c r="J339" s="217" t="s">
        <v>373</v>
      </c>
      <c r="K339" s="214">
        <v>2</v>
      </c>
    </row>
    <row r="340" spans="1:11" ht="12.75" customHeight="1" x14ac:dyDescent="0.25">
      <c r="A340" s="34" t="s">
        <v>68</v>
      </c>
      <c r="B340" s="89">
        <v>46117</v>
      </c>
      <c r="C340" s="46" t="s">
        <v>683</v>
      </c>
      <c r="D340" s="46" t="s">
        <v>684</v>
      </c>
      <c r="E340" s="46" t="s">
        <v>148</v>
      </c>
      <c r="F340" s="46" t="s">
        <v>84</v>
      </c>
      <c r="G340" s="76">
        <v>1005</v>
      </c>
      <c r="H340" s="218"/>
      <c r="I340" s="220">
        <v>370422.17</v>
      </c>
      <c r="J340" s="217" t="s">
        <v>373</v>
      </c>
      <c r="K340" s="214">
        <v>2</v>
      </c>
    </row>
    <row r="341" spans="1:11" ht="12.75" customHeight="1" x14ac:dyDescent="0.25">
      <c r="A341" s="34" t="s">
        <v>68</v>
      </c>
      <c r="B341" s="89">
        <v>46117</v>
      </c>
      <c r="C341" s="46" t="s">
        <v>683</v>
      </c>
      <c r="D341" s="46" t="s">
        <v>684</v>
      </c>
      <c r="E341" s="46" t="s">
        <v>148</v>
      </c>
      <c r="F341" s="46" t="s">
        <v>84</v>
      </c>
      <c r="G341" s="76">
        <v>49.52</v>
      </c>
      <c r="H341" s="218"/>
      <c r="I341" s="220">
        <v>370471.69</v>
      </c>
      <c r="J341" s="217" t="s">
        <v>373</v>
      </c>
      <c r="K341" s="214">
        <v>2</v>
      </c>
    </row>
    <row r="342" spans="1:11" ht="12.75" customHeight="1" x14ac:dyDescent="0.25">
      <c r="A342" s="34" t="s">
        <v>68</v>
      </c>
      <c r="B342" s="89">
        <v>46117</v>
      </c>
      <c r="C342" s="46" t="s">
        <v>685</v>
      </c>
      <c r="D342" s="46" t="s">
        <v>686</v>
      </c>
      <c r="E342" s="46" t="s">
        <v>240</v>
      </c>
      <c r="F342" s="46" t="s">
        <v>84</v>
      </c>
      <c r="G342" s="76">
        <v>1005</v>
      </c>
      <c r="H342" s="218"/>
      <c r="I342" s="220">
        <v>371476.69</v>
      </c>
      <c r="J342" s="217" t="s">
        <v>373</v>
      </c>
      <c r="K342" s="214">
        <v>2</v>
      </c>
    </row>
    <row r="343" spans="1:11" ht="12.75" customHeight="1" x14ac:dyDescent="0.25">
      <c r="A343" s="34" t="s">
        <v>68</v>
      </c>
      <c r="B343" s="89">
        <v>46117</v>
      </c>
      <c r="C343" s="46" t="s">
        <v>685</v>
      </c>
      <c r="D343" s="46" t="s">
        <v>686</v>
      </c>
      <c r="E343" s="46" t="s">
        <v>240</v>
      </c>
      <c r="F343" s="46" t="s">
        <v>84</v>
      </c>
      <c r="G343" s="76">
        <v>49.52</v>
      </c>
      <c r="H343" s="218"/>
      <c r="I343" s="220">
        <v>371526.21</v>
      </c>
      <c r="J343" s="217" t="s">
        <v>373</v>
      </c>
      <c r="K343" s="214">
        <v>2</v>
      </c>
    </row>
    <row r="344" spans="1:11" ht="12.75" customHeight="1" x14ac:dyDescent="0.25">
      <c r="A344" s="34" t="s">
        <v>68</v>
      </c>
      <c r="B344" s="89">
        <v>46117</v>
      </c>
      <c r="C344" s="46" t="s">
        <v>687</v>
      </c>
      <c r="D344" s="46" t="s">
        <v>688</v>
      </c>
      <c r="E344" s="46" t="s">
        <v>163</v>
      </c>
      <c r="F344" s="46" t="s">
        <v>84</v>
      </c>
      <c r="G344" s="76">
        <v>1020</v>
      </c>
      <c r="H344" s="218"/>
      <c r="I344" s="220">
        <v>372546.21</v>
      </c>
      <c r="J344" s="217" t="s">
        <v>373</v>
      </c>
      <c r="K344" s="214">
        <v>2</v>
      </c>
    </row>
    <row r="345" spans="1:11" ht="12.75" customHeight="1" x14ac:dyDescent="0.25">
      <c r="A345" s="34" t="s">
        <v>68</v>
      </c>
      <c r="B345" s="89">
        <v>46117</v>
      </c>
      <c r="C345" s="46" t="s">
        <v>687</v>
      </c>
      <c r="D345" s="46" t="s">
        <v>688</v>
      </c>
      <c r="E345" s="46" t="s">
        <v>163</v>
      </c>
      <c r="F345" s="46" t="s">
        <v>84</v>
      </c>
      <c r="G345" s="76">
        <v>49.52</v>
      </c>
      <c r="H345" s="218"/>
      <c r="I345" s="220">
        <v>372595.73</v>
      </c>
      <c r="J345" s="217" t="s">
        <v>373</v>
      </c>
      <c r="K345" s="214">
        <v>2</v>
      </c>
    </row>
    <row r="346" spans="1:11" ht="12.75" customHeight="1" x14ac:dyDescent="0.25">
      <c r="A346" s="34" t="s">
        <v>68</v>
      </c>
      <c r="B346" s="89">
        <v>46117</v>
      </c>
      <c r="C346" s="46" t="s">
        <v>689</v>
      </c>
      <c r="D346" s="46" t="s">
        <v>690</v>
      </c>
      <c r="E346" s="46" t="s">
        <v>149</v>
      </c>
      <c r="F346" s="46" t="s">
        <v>84</v>
      </c>
      <c r="G346" s="76">
        <v>1005</v>
      </c>
      <c r="H346" s="218"/>
      <c r="I346" s="220">
        <v>373600.73</v>
      </c>
      <c r="J346" s="217" t="s">
        <v>373</v>
      </c>
      <c r="K346" s="214">
        <v>2</v>
      </c>
    </row>
    <row r="347" spans="1:11" ht="12.75" customHeight="1" x14ac:dyDescent="0.25">
      <c r="A347" s="34" t="s">
        <v>68</v>
      </c>
      <c r="B347" s="89">
        <v>46117</v>
      </c>
      <c r="C347" s="46" t="s">
        <v>689</v>
      </c>
      <c r="D347" s="46" t="s">
        <v>690</v>
      </c>
      <c r="E347" s="46" t="s">
        <v>149</v>
      </c>
      <c r="F347" s="46" t="s">
        <v>84</v>
      </c>
      <c r="G347" s="76">
        <v>49.52</v>
      </c>
      <c r="H347" s="218"/>
      <c r="I347" s="220">
        <v>373650.25</v>
      </c>
      <c r="J347" s="217" t="s">
        <v>373</v>
      </c>
      <c r="K347" s="214">
        <v>2</v>
      </c>
    </row>
    <row r="348" spans="1:11" ht="12.75" customHeight="1" x14ac:dyDescent="0.25">
      <c r="A348" s="34" t="s">
        <v>68</v>
      </c>
      <c r="B348" s="89">
        <v>46117</v>
      </c>
      <c r="C348" s="46" t="s">
        <v>691</v>
      </c>
      <c r="D348" s="46" t="s">
        <v>692</v>
      </c>
      <c r="E348" s="46" t="s">
        <v>150</v>
      </c>
      <c r="F348" s="46" t="s">
        <v>84</v>
      </c>
      <c r="G348" s="76">
        <v>1005</v>
      </c>
      <c r="H348" s="218"/>
      <c r="I348" s="220">
        <v>374655.25</v>
      </c>
      <c r="J348" s="217" t="s">
        <v>373</v>
      </c>
      <c r="K348" s="214">
        <v>2</v>
      </c>
    </row>
    <row r="349" spans="1:11" ht="12.75" customHeight="1" x14ac:dyDescent="0.25">
      <c r="A349" s="34" t="s">
        <v>68</v>
      </c>
      <c r="B349" s="89">
        <v>46117</v>
      </c>
      <c r="C349" s="46" t="s">
        <v>691</v>
      </c>
      <c r="D349" s="46" t="s">
        <v>692</v>
      </c>
      <c r="E349" s="46" t="s">
        <v>150</v>
      </c>
      <c r="F349" s="46" t="s">
        <v>84</v>
      </c>
      <c r="G349" s="76">
        <v>49.65</v>
      </c>
      <c r="H349" s="218"/>
      <c r="I349" s="220">
        <v>374704.9</v>
      </c>
      <c r="J349" s="217" t="s">
        <v>373</v>
      </c>
      <c r="K349" s="214">
        <v>2</v>
      </c>
    </row>
    <row r="350" spans="1:11" ht="12.75" customHeight="1" x14ac:dyDescent="0.25">
      <c r="A350" s="34" t="s">
        <v>68</v>
      </c>
      <c r="B350" s="89">
        <v>46117</v>
      </c>
      <c r="C350" s="46" t="s">
        <v>693</v>
      </c>
      <c r="D350" s="46" t="s">
        <v>694</v>
      </c>
      <c r="E350" s="46" t="s">
        <v>151</v>
      </c>
      <c r="F350" s="46" t="s">
        <v>84</v>
      </c>
      <c r="G350" s="76">
        <v>1005</v>
      </c>
      <c r="H350" s="218"/>
      <c r="I350" s="220">
        <v>375709.9</v>
      </c>
      <c r="J350" s="217" t="s">
        <v>373</v>
      </c>
      <c r="K350" s="214">
        <v>2</v>
      </c>
    </row>
    <row r="351" spans="1:11" ht="12.75" customHeight="1" x14ac:dyDescent="0.25">
      <c r="A351" s="34" t="s">
        <v>68</v>
      </c>
      <c r="B351" s="89">
        <v>46117</v>
      </c>
      <c r="C351" s="46" t="s">
        <v>693</v>
      </c>
      <c r="D351" s="46" t="s">
        <v>694</v>
      </c>
      <c r="E351" s="46" t="s">
        <v>151</v>
      </c>
      <c r="F351" s="46" t="s">
        <v>84</v>
      </c>
      <c r="G351" s="76">
        <v>49.52</v>
      </c>
      <c r="H351" s="218"/>
      <c r="I351" s="220">
        <v>375759.42</v>
      </c>
      <c r="J351" s="217" t="s">
        <v>373</v>
      </c>
      <c r="K351" s="214">
        <v>2</v>
      </c>
    </row>
    <row r="352" spans="1:11" ht="12.75" customHeight="1" x14ac:dyDescent="0.25">
      <c r="A352" s="34" t="s">
        <v>68</v>
      </c>
      <c r="B352" s="89">
        <v>46117</v>
      </c>
      <c r="C352" s="46" t="s">
        <v>695</v>
      </c>
      <c r="D352" s="46" t="s">
        <v>696</v>
      </c>
      <c r="E352" s="46" t="s">
        <v>152</v>
      </c>
      <c r="F352" s="46" t="s">
        <v>90</v>
      </c>
      <c r="G352" s="76">
        <v>49.52</v>
      </c>
      <c r="H352" s="218"/>
      <c r="I352" s="220">
        <v>375808.94</v>
      </c>
      <c r="J352" s="217" t="s">
        <v>370</v>
      </c>
      <c r="K352" s="214">
        <v>2</v>
      </c>
    </row>
    <row r="353" spans="1:11" ht="12.75" customHeight="1" x14ac:dyDescent="0.25">
      <c r="A353" s="34" t="s">
        <v>68</v>
      </c>
      <c r="B353" s="89">
        <v>46117</v>
      </c>
      <c r="C353" s="46" t="s">
        <v>695</v>
      </c>
      <c r="D353" s="46" t="s">
        <v>696</v>
      </c>
      <c r="E353" s="46" t="s">
        <v>152</v>
      </c>
      <c r="F353" s="46" t="s">
        <v>90</v>
      </c>
      <c r="G353" s="76">
        <v>1005</v>
      </c>
      <c r="H353" s="218"/>
      <c r="I353" s="220">
        <v>376813.94</v>
      </c>
      <c r="J353" s="217" t="s">
        <v>370</v>
      </c>
      <c r="K353" s="214">
        <v>2</v>
      </c>
    </row>
    <row r="354" spans="1:11" ht="12.75" customHeight="1" x14ac:dyDescent="0.25">
      <c r="A354" s="34" t="s">
        <v>53</v>
      </c>
      <c r="B354" s="89">
        <v>46117</v>
      </c>
      <c r="C354" s="46" t="s">
        <v>697</v>
      </c>
      <c r="D354" s="46" t="s">
        <v>698</v>
      </c>
      <c r="E354" s="46" t="s">
        <v>128</v>
      </c>
      <c r="F354" s="46" t="s">
        <v>129</v>
      </c>
      <c r="G354" s="76">
        <v>48.96</v>
      </c>
      <c r="H354" s="218"/>
      <c r="I354" s="220">
        <v>376862.9</v>
      </c>
      <c r="J354" s="217" t="s">
        <v>370</v>
      </c>
      <c r="K354" s="214">
        <v>2</v>
      </c>
    </row>
    <row r="355" spans="1:11" ht="12.75" customHeight="1" x14ac:dyDescent="0.25">
      <c r="A355" s="34" t="s">
        <v>53</v>
      </c>
      <c r="B355" s="89">
        <v>46117</v>
      </c>
      <c r="C355" s="46" t="s">
        <v>697</v>
      </c>
      <c r="D355" s="46" t="s">
        <v>698</v>
      </c>
      <c r="E355" s="46" t="s">
        <v>128</v>
      </c>
      <c r="F355" s="46" t="s">
        <v>129</v>
      </c>
      <c r="G355" s="76">
        <v>1000</v>
      </c>
      <c r="H355" s="218"/>
      <c r="I355" s="220">
        <v>377862.9</v>
      </c>
      <c r="J355" s="53" t="s">
        <v>370</v>
      </c>
      <c r="K355" s="214">
        <v>2</v>
      </c>
    </row>
    <row r="356" spans="1:11" ht="12.75" customHeight="1" x14ac:dyDescent="0.25">
      <c r="A356" s="34" t="s">
        <v>68</v>
      </c>
      <c r="B356" s="89">
        <v>46117</v>
      </c>
      <c r="C356" s="46" t="s">
        <v>699</v>
      </c>
      <c r="D356" s="46" t="s">
        <v>55</v>
      </c>
      <c r="E356" s="46" t="s">
        <v>176</v>
      </c>
      <c r="F356" s="46" t="s">
        <v>19</v>
      </c>
      <c r="G356" s="76">
        <v>1020</v>
      </c>
      <c r="H356" s="218"/>
      <c r="I356" s="220">
        <v>378882.9</v>
      </c>
      <c r="J356" s="53" t="s">
        <v>373</v>
      </c>
      <c r="K356" s="214">
        <v>2</v>
      </c>
    </row>
    <row r="357" spans="1:11" ht="12.75" customHeight="1" x14ac:dyDescent="0.25">
      <c r="A357" s="34" t="s">
        <v>68</v>
      </c>
      <c r="B357" s="89">
        <v>46117</v>
      </c>
      <c r="C357" s="46" t="s">
        <v>699</v>
      </c>
      <c r="D357" s="46" t="s">
        <v>55</v>
      </c>
      <c r="E357" s="46" t="s">
        <v>176</v>
      </c>
      <c r="F357" s="46" t="s">
        <v>19</v>
      </c>
      <c r="G357" s="76">
        <v>49.52</v>
      </c>
      <c r="H357" s="218"/>
      <c r="I357" s="220">
        <v>378932.42</v>
      </c>
      <c r="J357" s="217" t="s">
        <v>373</v>
      </c>
      <c r="K357" s="214">
        <v>2</v>
      </c>
    </row>
    <row r="358" spans="1:11" ht="12.75" customHeight="1" x14ac:dyDescent="0.25">
      <c r="A358" s="34" t="s">
        <v>53</v>
      </c>
      <c r="B358" s="89">
        <v>46117</v>
      </c>
      <c r="C358" s="46" t="s">
        <v>700</v>
      </c>
      <c r="D358" s="46" t="s">
        <v>701</v>
      </c>
      <c r="E358" s="46" t="s">
        <v>244</v>
      </c>
      <c r="F358" s="46" t="s">
        <v>17</v>
      </c>
      <c r="G358" s="76">
        <v>48.96</v>
      </c>
      <c r="H358" s="218"/>
      <c r="I358" s="220">
        <v>378981.38</v>
      </c>
      <c r="J358" s="217" t="s">
        <v>370</v>
      </c>
      <c r="K358" s="214">
        <v>2</v>
      </c>
    </row>
    <row r="359" spans="1:11" ht="12.75" customHeight="1" x14ac:dyDescent="0.25">
      <c r="A359" s="34" t="s">
        <v>53</v>
      </c>
      <c r="B359" s="89">
        <v>46117</v>
      </c>
      <c r="C359" s="46" t="s">
        <v>700</v>
      </c>
      <c r="D359" s="46" t="s">
        <v>701</v>
      </c>
      <c r="E359" s="46" t="s">
        <v>244</v>
      </c>
      <c r="F359" s="46" t="s">
        <v>17</v>
      </c>
      <c r="G359" s="76">
        <v>1000</v>
      </c>
      <c r="H359" s="218"/>
      <c r="I359" s="220">
        <v>379981.38</v>
      </c>
      <c r="J359" s="217" t="s">
        <v>370</v>
      </c>
      <c r="K359" s="214">
        <v>2</v>
      </c>
    </row>
    <row r="360" spans="1:11" ht="12.75" customHeight="1" x14ac:dyDescent="0.25">
      <c r="A360" s="34" t="s">
        <v>53</v>
      </c>
      <c r="B360" s="89">
        <v>46117</v>
      </c>
      <c r="C360" s="46" t="s">
        <v>702</v>
      </c>
      <c r="D360" s="46" t="s">
        <v>55</v>
      </c>
      <c r="E360" s="46" t="s">
        <v>165</v>
      </c>
      <c r="F360" s="46" t="s">
        <v>19</v>
      </c>
      <c r="G360" s="76">
        <v>1000</v>
      </c>
      <c r="H360" s="218"/>
      <c r="I360" s="220">
        <v>380981.38</v>
      </c>
      <c r="J360" s="217" t="s">
        <v>373</v>
      </c>
      <c r="K360" s="214">
        <v>2</v>
      </c>
    </row>
    <row r="361" spans="1:11" ht="12.75" customHeight="1" x14ac:dyDescent="0.25">
      <c r="A361" s="34" t="s">
        <v>53</v>
      </c>
      <c r="B361" s="89">
        <v>46117</v>
      </c>
      <c r="C361" s="46" t="s">
        <v>702</v>
      </c>
      <c r="D361" s="46" t="s">
        <v>55</v>
      </c>
      <c r="E361" s="46" t="s">
        <v>165</v>
      </c>
      <c r="F361" s="46" t="s">
        <v>19</v>
      </c>
      <c r="G361" s="76">
        <v>48.96</v>
      </c>
      <c r="H361" s="218"/>
      <c r="I361" s="220">
        <v>381030.34</v>
      </c>
      <c r="J361" s="217" t="s">
        <v>373</v>
      </c>
      <c r="K361" s="214">
        <v>2</v>
      </c>
    </row>
    <row r="362" spans="1:11" ht="12.75" customHeight="1" x14ac:dyDescent="0.25">
      <c r="A362" s="34" t="s">
        <v>68</v>
      </c>
      <c r="B362" s="89">
        <v>46117</v>
      </c>
      <c r="C362" s="46" t="s">
        <v>703</v>
      </c>
      <c r="D362" s="46" t="s">
        <v>55</v>
      </c>
      <c r="E362" s="46" t="s">
        <v>131</v>
      </c>
      <c r="F362" s="46" t="s">
        <v>57</v>
      </c>
      <c r="G362" s="76">
        <v>1005</v>
      </c>
      <c r="H362" s="218"/>
      <c r="I362" s="220">
        <v>382035.34</v>
      </c>
      <c r="J362" s="53" t="s">
        <v>373</v>
      </c>
      <c r="K362" s="214">
        <v>2</v>
      </c>
    </row>
    <row r="363" spans="1:11" ht="12.75" customHeight="1" x14ac:dyDescent="0.25">
      <c r="A363" s="34" t="s">
        <v>68</v>
      </c>
      <c r="B363" s="89">
        <v>46117</v>
      </c>
      <c r="C363" s="46" t="s">
        <v>703</v>
      </c>
      <c r="D363" s="46" t="s">
        <v>55</v>
      </c>
      <c r="E363" s="46" t="s">
        <v>131</v>
      </c>
      <c r="F363" s="46" t="s">
        <v>57</v>
      </c>
      <c r="G363" s="76">
        <v>49.52</v>
      </c>
      <c r="H363" s="218"/>
      <c r="I363" s="220">
        <v>382084.86</v>
      </c>
      <c r="J363" s="53" t="s">
        <v>373</v>
      </c>
      <c r="K363" s="214">
        <v>2</v>
      </c>
    </row>
    <row r="364" spans="1:11" ht="12.75" customHeight="1" x14ac:dyDescent="0.25">
      <c r="A364" s="34" t="s">
        <v>68</v>
      </c>
      <c r="B364" s="89">
        <v>46117</v>
      </c>
      <c r="C364" s="46" t="s">
        <v>704</v>
      </c>
      <c r="D364" s="46" t="s">
        <v>705</v>
      </c>
      <c r="E364" s="46" t="s">
        <v>70</v>
      </c>
      <c r="F364" s="46" t="s">
        <v>17</v>
      </c>
      <c r="G364" s="76">
        <v>49.52</v>
      </c>
      <c r="H364" s="218"/>
      <c r="I364" s="220">
        <v>382134.38</v>
      </c>
      <c r="J364" s="53" t="s">
        <v>370</v>
      </c>
      <c r="K364" s="214">
        <v>2</v>
      </c>
    </row>
    <row r="365" spans="1:11" ht="12.75" customHeight="1" x14ac:dyDescent="0.25">
      <c r="A365" s="34" t="s">
        <v>68</v>
      </c>
      <c r="B365" s="89">
        <v>46117</v>
      </c>
      <c r="C365" s="46" t="s">
        <v>704</v>
      </c>
      <c r="D365" s="46" t="s">
        <v>705</v>
      </c>
      <c r="E365" s="46" t="s">
        <v>70</v>
      </c>
      <c r="F365" s="46" t="s">
        <v>17</v>
      </c>
      <c r="G365" s="76">
        <v>1005</v>
      </c>
      <c r="H365" s="218"/>
      <c r="I365" s="220">
        <v>383139.38</v>
      </c>
      <c r="J365" s="53" t="s">
        <v>370</v>
      </c>
      <c r="K365" s="214">
        <v>2</v>
      </c>
    </row>
    <row r="366" spans="1:11" ht="12.75" customHeight="1" x14ac:dyDescent="0.25">
      <c r="A366" s="34" t="s">
        <v>53</v>
      </c>
      <c r="B366" s="89">
        <v>46117</v>
      </c>
      <c r="C366" s="46" t="s">
        <v>706</v>
      </c>
      <c r="D366" s="46" t="s">
        <v>707</v>
      </c>
      <c r="E366" s="46" t="s">
        <v>914</v>
      </c>
      <c r="F366" s="46" t="s">
        <v>18</v>
      </c>
      <c r="G366" s="76">
        <v>0.04</v>
      </c>
      <c r="H366" s="218"/>
      <c r="I366" s="220">
        <v>383139.42</v>
      </c>
      <c r="J366" s="53" t="s">
        <v>370</v>
      </c>
      <c r="K366" s="214">
        <v>2</v>
      </c>
    </row>
    <row r="367" spans="1:11" ht="12.75" customHeight="1" x14ac:dyDescent="0.25">
      <c r="A367" s="34" t="s">
        <v>53</v>
      </c>
      <c r="B367" s="89">
        <v>46117</v>
      </c>
      <c r="C367" s="46" t="s">
        <v>706</v>
      </c>
      <c r="D367" s="46" t="s">
        <v>707</v>
      </c>
      <c r="E367" s="46" t="s">
        <v>914</v>
      </c>
      <c r="F367" s="46" t="s">
        <v>18</v>
      </c>
      <c r="G367" s="76">
        <v>1000</v>
      </c>
      <c r="H367" s="218"/>
      <c r="I367" s="220">
        <v>384139.42</v>
      </c>
      <c r="J367" s="53" t="s">
        <v>370</v>
      </c>
      <c r="K367" s="214">
        <v>2</v>
      </c>
    </row>
    <row r="368" spans="1:11" ht="12.75" customHeight="1" x14ac:dyDescent="0.25">
      <c r="A368" s="34" t="s">
        <v>53</v>
      </c>
      <c r="B368" s="89">
        <v>46117</v>
      </c>
      <c r="C368" s="46" t="s">
        <v>706</v>
      </c>
      <c r="D368" s="46" t="s">
        <v>707</v>
      </c>
      <c r="E368" s="46" t="s">
        <v>914</v>
      </c>
      <c r="F368" s="46" t="s">
        <v>18</v>
      </c>
      <c r="G368" s="76">
        <v>48.96</v>
      </c>
      <c r="H368" s="218"/>
      <c r="I368" s="220">
        <v>384188.38</v>
      </c>
      <c r="J368" s="53" t="s">
        <v>370</v>
      </c>
      <c r="K368" s="214">
        <v>2</v>
      </c>
    </row>
    <row r="369" spans="1:11" ht="12.75" customHeight="1" x14ac:dyDescent="0.25">
      <c r="A369" s="34" t="s">
        <v>53</v>
      </c>
      <c r="B369" s="89">
        <v>46117</v>
      </c>
      <c r="C369" s="46" t="s">
        <v>708</v>
      </c>
      <c r="D369" s="46" t="s">
        <v>55</v>
      </c>
      <c r="E369" s="46" t="s">
        <v>181</v>
      </c>
      <c r="F369" s="46" t="s">
        <v>19</v>
      </c>
      <c r="G369" s="76">
        <v>1000</v>
      </c>
      <c r="H369" s="218"/>
      <c r="I369" s="220">
        <v>385188.38</v>
      </c>
      <c r="J369" s="53" t="s">
        <v>372</v>
      </c>
      <c r="K369" s="214">
        <v>2</v>
      </c>
    </row>
    <row r="370" spans="1:11" ht="12.75" customHeight="1" x14ac:dyDescent="0.25">
      <c r="A370" s="34" t="s">
        <v>53</v>
      </c>
      <c r="B370" s="89">
        <v>46117</v>
      </c>
      <c r="C370" s="46" t="s">
        <v>708</v>
      </c>
      <c r="D370" s="46" t="s">
        <v>55</v>
      </c>
      <c r="E370" s="46" t="s">
        <v>181</v>
      </c>
      <c r="F370" s="46" t="s">
        <v>19</v>
      </c>
      <c r="G370" s="76">
        <v>48.96</v>
      </c>
      <c r="H370" s="218"/>
      <c r="I370" s="220">
        <v>385237.34</v>
      </c>
      <c r="J370" s="53" t="s">
        <v>372</v>
      </c>
      <c r="K370" s="214">
        <v>2</v>
      </c>
    </row>
    <row r="371" spans="1:11" ht="12.75" customHeight="1" x14ac:dyDescent="0.25">
      <c r="A371" s="34" t="s">
        <v>68</v>
      </c>
      <c r="B371" s="89">
        <v>46117</v>
      </c>
      <c r="C371" s="46" t="s">
        <v>709</v>
      </c>
      <c r="D371" s="46" t="s">
        <v>133</v>
      </c>
      <c r="E371" s="46" t="s">
        <v>72</v>
      </c>
      <c r="F371" s="46" t="s">
        <v>945</v>
      </c>
      <c r="G371" s="76">
        <v>1005</v>
      </c>
      <c r="H371" s="218"/>
      <c r="I371" s="220">
        <v>386242.34</v>
      </c>
      <c r="J371" s="53" t="s">
        <v>371</v>
      </c>
      <c r="K371" s="214">
        <v>2</v>
      </c>
    </row>
    <row r="372" spans="1:11" ht="12.75" customHeight="1" x14ac:dyDescent="0.25">
      <c r="A372" s="34" t="s">
        <v>68</v>
      </c>
      <c r="B372" s="89">
        <v>46117</v>
      </c>
      <c r="C372" s="46" t="s">
        <v>709</v>
      </c>
      <c r="D372" s="46" t="s">
        <v>133</v>
      </c>
      <c r="E372" s="46" t="s">
        <v>72</v>
      </c>
      <c r="F372" s="46" t="s">
        <v>945</v>
      </c>
      <c r="G372" s="76">
        <v>49.52</v>
      </c>
      <c r="H372" s="218"/>
      <c r="I372" s="220">
        <v>386291.86</v>
      </c>
      <c r="J372" s="53" t="s">
        <v>371</v>
      </c>
      <c r="K372" s="214">
        <v>2</v>
      </c>
    </row>
    <row r="373" spans="1:11" ht="12.75" customHeight="1" x14ac:dyDescent="0.25">
      <c r="A373" s="34" t="s">
        <v>53</v>
      </c>
      <c r="B373" s="89">
        <v>46117</v>
      </c>
      <c r="C373" s="46" t="s">
        <v>710</v>
      </c>
      <c r="D373" s="46" t="s">
        <v>711</v>
      </c>
      <c r="E373" s="46" t="s">
        <v>60</v>
      </c>
      <c r="F373" s="46" t="s">
        <v>20</v>
      </c>
      <c r="G373" s="76">
        <v>221.52</v>
      </c>
      <c r="H373" s="218"/>
      <c r="I373" s="220">
        <v>386513.38</v>
      </c>
      <c r="J373" s="217" t="s">
        <v>372</v>
      </c>
      <c r="K373" s="214">
        <v>2</v>
      </c>
    </row>
    <row r="374" spans="1:11" ht="12.75" customHeight="1" x14ac:dyDescent="0.25">
      <c r="A374" s="34" t="s">
        <v>53</v>
      </c>
      <c r="B374" s="89">
        <v>46117</v>
      </c>
      <c r="C374" s="46" t="s">
        <v>710</v>
      </c>
      <c r="D374" s="46" t="s">
        <v>711</v>
      </c>
      <c r="E374" s="46" t="s">
        <v>60</v>
      </c>
      <c r="F374" s="46" t="s">
        <v>20</v>
      </c>
      <c r="G374" s="76">
        <v>829.52</v>
      </c>
      <c r="H374" s="218"/>
      <c r="I374" s="220">
        <v>387342.9</v>
      </c>
      <c r="J374" s="217" t="s">
        <v>372</v>
      </c>
      <c r="K374" s="214">
        <v>2</v>
      </c>
    </row>
    <row r="375" spans="1:11" ht="12.75" customHeight="1" x14ac:dyDescent="0.25">
      <c r="A375" s="34" t="s">
        <v>53</v>
      </c>
      <c r="B375" s="89">
        <v>46117</v>
      </c>
      <c r="C375" s="46" t="s">
        <v>710</v>
      </c>
      <c r="D375" s="46" t="s">
        <v>711</v>
      </c>
      <c r="E375" s="46" t="s">
        <v>60</v>
      </c>
      <c r="F375" s="46" t="s">
        <v>20</v>
      </c>
      <c r="G375" s="76">
        <v>48.96</v>
      </c>
      <c r="H375" s="218"/>
      <c r="I375" s="220">
        <v>387391.86</v>
      </c>
      <c r="J375" s="217" t="s">
        <v>372</v>
      </c>
      <c r="K375" s="214">
        <v>2</v>
      </c>
    </row>
    <row r="376" spans="1:11" ht="12.75" customHeight="1" x14ac:dyDescent="0.25">
      <c r="A376" s="34" t="s">
        <v>53</v>
      </c>
      <c r="B376" s="89">
        <v>46117</v>
      </c>
      <c r="C376" s="46" t="s">
        <v>712</v>
      </c>
      <c r="D376" s="46" t="s">
        <v>713</v>
      </c>
      <c r="E376" s="46" t="s">
        <v>160</v>
      </c>
      <c r="F376" s="46" t="s">
        <v>20</v>
      </c>
      <c r="G376" s="76">
        <v>5.07</v>
      </c>
      <c r="H376" s="218"/>
      <c r="I376" s="220">
        <v>387396.93</v>
      </c>
      <c r="J376" s="217" t="s">
        <v>372</v>
      </c>
      <c r="K376" s="214">
        <v>2</v>
      </c>
    </row>
    <row r="377" spans="1:11" ht="12.75" customHeight="1" x14ac:dyDescent="0.25">
      <c r="A377" s="34" t="s">
        <v>53</v>
      </c>
      <c r="B377" s="89">
        <v>46117</v>
      </c>
      <c r="C377" s="46" t="s">
        <v>712</v>
      </c>
      <c r="D377" s="46" t="s">
        <v>713</v>
      </c>
      <c r="E377" s="46" t="s">
        <v>160</v>
      </c>
      <c r="F377" s="46" t="s">
        <v>20</v>
      </c>
      <c r="G377" s="76">
        <v>994.97</v>
      </c>
      <c r="H377" s="218"/>
      <c r="I377" s="220">
        <v>388391.9</v>
      </c>
      <c r="J377" s="217" t="s">
        <v>372</v>
      </c>
      <c r="K377" s="214">
        <v>2</v>
      </c>
    </row>
    <row r="378" spans="1:11" ht="12.75" customHeight="1" x14ac:dyDescent="0.25">
      <c r="A378" s="34" t="s">
        <v>53</v>
      </c>
      <c r="B378" s="89">
        <v>46117</v>
      </c>
      <c r="C378" s="46" t="s">
        <v>712</v>
      </c>
      <c r="D378" s="46" t="s">
        <v>713</v>
      </c>
      <c r="E378" s="46" t="s">
        <v>160</v>
      </c>
      <c r="F378" s="46" t="s">
        <v>20</v>
      </c>
      <c r="G378" s="76">
        <v>48.96</v>
      </c>
      <c r="H378" s="218"/>
      <c r="I378" s="220">
        <v>388440.86</v>
      </c>
      <c r="J378" s="217" t="s">
        <v>372</v>
      </c>
      <c r="K378" s="214">
        <v>2</v>
      </c>
    </row>
    <row r="379" spans="1:11" ht="12.75" customHeight="1" x14ac:dyDescent="0.25">
      <c r="A379" s="34" t="s">
        <v>68</v>
      </c>
      <c r="B379" s="89">
        <v>46117</v>
      </c>
      <c r="C379" s="46" t="s">
        <v>714</v>
      </c>
      <c r="D379" s="46" t="s">
        <v>715</v>
      </c>
      <c r="E379" s="46" t="s">
        <v>182</v>
      </c>
      <c r="F379" s="46" t="s">
        <v>18</v>
      </c>
      <c r="G379" s="76">
        <v>49.52</v>
      </c>
      <c r="H379" s="218"/>
      <c r="I379" s="220">
        <v>388490.38</v>
      </c>
      <c r="J379" s="217" t="s">
        <v>366</v>
      </c>
      <c r="K379" s="214">
        <v>2</v>
      </c>
    </row>
    <row r="380" spans="1:11" ht="12.75" customHeight="1" x14ac:dyDescent="0.25">
      <c r="A380" s="34" t="s">
        <v>68</v>
      </c>
      <c r="B380" s="89">
        <v>46117</v>
      </c>
      <c r="C380" s="46" t="s">
        <v>714</v>
      </c>
      <c r="D380" s="46" t="s">
        <v>715</v>
      </c>
      <c r="E380" s="46" t="s">
        <v>182</v>
      </c>
      <c r="F380" s="46" t="s">
        <v>18</v>
      </c>
      <c r="G380" s="76">
        <v>1005</v>
      </c>
      <c r="H380" s="218"/>
      <c r="I380" s="220">
        <v>389495.38</v>
      </c>
      <c r="J380" s="217" t="s">
        <v>366</v>
      </c>
      <c r="K380" s="214">
        <v>2</v>
      </c>
    </row>
    <row r="381" spans="1:11" ht="12.75" customHeight="1" x14ac:dyDescent="0.25">
      <c r="A381" s="34" t="s">
        <v>68</v>
      </c>
      <c r="B381" s="89">
        <v>46117</v>
      </c>
      <c r="C381" s="46" t="s">
        <v>716</v>
      </c>
      <c r="D381" s="46" t="s">
        <v>717</v>
      </c>
      <c r="E381" s="46" t="s">
        <v>127</v>
      </c>
      <c r="F381" s="46" t="s">
        <v>20</v>
      </c>
      <c r="G381" s="76">
        <v>0.05</v>
      </c>
      <c r="H381" s="218"/>
      <c r="I381" s="220">
        <v>389495.43</v>
      </c>
      <c r="J381" s="217" t="s">
        <v>372</v>
      </c>
      <c r="K381" s="214">
        <v>2</v>
      </c>
    </row>
    <row r="382" spans="1:11" ht="12.75" customHeight="1" x14ac:dyDescent="0.25">
      <c r="A382" s="34" t="s">
        <v>68</v>
      </c>
      <c r="B382" s="89">
        <v>46117</v>
      </c>
      <c r="C382" s="46" t="s">
        <v>716</v>
      </c>
      <c r="D382" s="46" t="s">
        <v>717</v>
      </c>
      <c r="E382" s="46" t="s">
        <v>127</v>
      </c>
      <c r="F382" s="46" t="s">
        <v>20</v>
      </c>
      <c r="G382" s="76">
        <v>20.43</v>
      </c>
      <c r="H382" s="218"/>
      <c r="I382" s="220">
        <v>389515.86</v>
      </c>
      <c r="J382" s="217" t="s">
        <v>372</v>
      </c>
      <c r="K382" s="214">
        <v>2</v>
      </c>
    </row>
    <row r="383" spans="1:11" ht="12.75" customHeight="1" x14ac:dyDescent="0.25">
      <c r="A383" s="34" t="s">
        <v>68</v>
      </c>
      <c r="B383" s="89">
        <v>46117</v>
      </c>
      <c r="C383" s="46" t="s">
        <v>716</v>
      </c>
      <c r="D383" s="46" t="s">
        <v>717</v>
      </c>
      <c r="E383" s="46" t="s">
        <v>127</v>
      </c>
      <c r="F383" s="46" t="s">
        <v>20</v>
      </c>
      <c r="G383" s="76">
        <v>1005</v>
      </c>
      <c r="H383" s="218"/>
      <c r="I383" s="220">
        <v>390520.86</v>
      </c>
      <c r="J383" s="217" t="s">
        <v>372</v>
      </c>
      <c r="K383" s="214">
        <v>2</v>
      </c>
    </row>
    <row r="384" spans="1:11" ht="12.75" customHeight="1" x14ac:dyDescent="0.25">
      <c r="A384" s="34" t="s">
        <v>68</v>
      </c>
      <c r="B384" s="89">
        <v>46117</v>
      </c>
      <c r="C384" s="46" t="s">
        <v>716</v>
      </c>
      <c r="D384" s="46" t="s">
        <v>717</v>
      </c>
      <c r="E384" s="46" t="s">
        <v>127</v>
      </c>
      <c r="F384" s="46" t="s">
        <v>20</v>
      </c>
      <c r="G384" s="76">
        <v>49.52</v>
      </c>
      <c r="H384" s="218"/>
      <c r="I384" s="220">
        <v>390570.38</v>
      </c>
      <c r="J384" s="217" t="s">
        <v>372</v>
      </c>
      <c r="K384" s="214">
        <v>2</v>
      </c>
    </row>
    <row r="385" spans="1:11" ht="12.75" customHeight="1" x14ac:dyDescent="0.25">
      <c r="A385" s="34" t="s">
        <v>68</v>
      </c>
      <c r="B385" s="89">
        <v>46117</v>
      </c>
      <c r="C385" s="46" t="s">
        <v>718</v>
      </c>
      <c r="D385" s="46" t="s">
        <v>719</v>
      </c>
      <c r="E385" s="46" t="s">
        <v>236</v>
      </c>
      <c r="F385" s="46" t="s">
        <v>20</v>
      </c>
      <c r="G385" s="76">
        <v>45.16</v>
      </c>
      <c r="H385" s="218"/>
      <c r="I385" s="220">
        <v>390615.54</v>
      </c>
      <c r="J385" s="217" t="s">
        <v>372</v>
      </c>
      <c r="K385" s="214">
        <v>2</v>
      </c>
    </row>
    <row r="386" spans="1:11" ht="12.75" customHeight="1" x14ac:dyDescent="0.25">
      <c r="A386" s="34" t="s">
        <v>68</v>
      </c>
      <c r="B386" s="89">
        <v>46117</v>
      </c>
      <c r="C386" s="46" t="s">
        <v>718</v>
      </c>
      <c r="D386" s="46" t="s">
        <v>719</v>
      </c>
      <c r="E386" s="46" t="s">
        <v>236</v>
      </c>
      <c r="F386" s="46" t="s">
        <v>20</v>
      </c>
      <c r="G386" s="76">
        <v>15</v>
      </c>
      <c r="H386" s="218"/>
      <c r="I386" s="220">
        <v>390630.54</v>
      </c>
      <c r="J386" s="217" t="s">
        <v>372</v>
      </c>
      <c r="K386" s="214">
        <v>2</v>
      </c>
    </row>
    <row r="387" spans="1:11" ht="12.75" customHeight="1" x14ac:dyDescent="0.25">
      <c r="A387" s="34" t="s">
        <v>68</v>
      </c>
      <c r="B387" s="89">
        <v>46117</v>
      </c>
      <c r="C387" s="46" t="s">
        <v>718</v>
      </c>
      <c r="D387" s="46" t="s">
        <v>719</v>
      </c>
      <c r="E387" s="46" t="s">
        <v>236</v>
      </c>
      <c r="F387" s="46" t="s">
        <v>20</v>
      </c>
      <c r="G387" s="76">
        <v>19.84</v>
      </c>
      <c r="H387" s="218"/>
      <c r="I387" s="220">
        <v>390650.38</v>
      </c>
      <c r="J387" s="217" t="s">
        <v>372</v>
      </c>
      <c r="K387" s="214">
        <v>2</v>
      </c>
    </row>
    <row r="388" spans="1:11" ht="12.75" customHeight="1" x14ac:dyDescent="0.25">
      <c r="A388" s="34" t="s">
        <v>68</v>
      </c>
      <c r="B388" s="89">
        <v>46117</v>
      </c>
      <c r="C388" s="46" t="s">
        <v>720</v>
      </c>
      <c r="D388" s="46" t="s">
        <v>721</v>
      </c>
      <c r="E388" s="46" t="s">
        <v>236</v>
      </c>
      <c r="F388" s="46" t="s">
        <v>20</v>
      </c>
      <c r="G388" s="76">
        <v>43.16</v>
      </c>
      <c r="H388" s="218"/>
      <c r="I388" s="220">
        <v>390693.54</v>
      </c>
      <c r="J388" s="217" t="s">
        <v>372</v>
      </c>
      <c r="K388" s="214">
        <v>2</v>
      </c>
    </row>
    <row r="389" spans="1:11" ht="12.75" customHeight="1" x14ac:dyDescent="0.25">
      <c r="A389" s="34" t="s">
        <v>68</v>
      </c>
      <c r="B389" s="89">
        <v>46117</v>
      </c>
      <c r="C389" s="46" t="s">
        <v>720</v>
      </c>
      <c r="D389" s="46" t="s">
        <v>721</v>
      </c>
      <c r="E389" s="46" t="s">
        <v>236</v>
      </c>
      <c r="F389" s="46" t="s">
        <v>20</v>
      </c>
      <c r="G389" s="76">
        <v>3</v>
      </c>
      <c r="H389" s="218"/>
      <c r="I389" s="220">
        <v>390696.54</v>
      </c>
      <c r="J389" s="217" t="s">
        <v>372</v>
      </c>
      <c r="K389" s="214">
        <v>2</v>
      </c>
    </row>
    <row r="390" spans="1:11" ht="12.75" customHeight="1" x14ac:dyDescent="0.25">
      <c r="A390" s="34" t="s">
        <v>68</v>
      </c>
      <c r="B390" s="89">
        <v>46117</v>
      </c>
      <c r="C390" s="46" t="s">
        <v>720</v>
      </c>
      <c r="D390" s="46" t="s">
        <v>721</v>
      </c>
      <c r="E390" s="46" t="s">
        <v>236</v>
      </c>
      <c r="F390" s="46" t="s">
        <v>20</v>
      </c>
      <c r="G390" s="76">
        <v>453.84</v>
      </c>
      <c r="H390" s="218"/>
      <c r="I390" s="220">
        <v>391150.38</v>
      </c>
      <c r="J390" s="217" t="s">
        <v>372</v>
      </c>
      <c r="K390" s="214">
        <v>2</v>
      </c>
    </row>
    <row r="391" spans="1:11" ht="12.75" customHeight="1" x14ac:dyDescent="0.25">
      <c r="A391" s="34" t="s">
        <v>68</v>
      </c>
      <c r="B391" s="89">
        <v>46117</v>
      </c>
      <c r="C391" s="46" t="s">
        <v>722</v>
      </c>
      <c r="D391" s="46" t="s">
        <v>723</v>
      </c>
      <c r="E391" s="46" t="s">
        <v>236</v>
      </c>
      <c r="F391" s="46" t="s">
        <v>20</v>
      </c>
      <c r="G391" s="76">
        <v>500</v>
      </c>
      <c r="H391" s="218"/>
      <c r="I391" s="220">
        <v>391650.38</v>
      </c>
      <c r="J391" s="217" t="s">
        <v>372</v>
      </c>
      <c r="K391" s="214">
        <v>2</v>
      </c>
    </row>
    <row r="392" spans="1:11" ht="12.75" customHeight="1" x14ac:dyDescent="0.25">
      <c r="A392" s="34" t="s">
        <v>68</v>
      </c>
      <c r="B392" s="89">
        <v>46117</v>
      </c>
      <c r="C392" s="46" t="s">
        <v>724</v>
      </c>
      <c r="D392" s="46" t="s">
        <v>725</v>
      </c>
      <c r="E392" s="46" t="s">
        <v>69</v>
      </c>
      <c r="F392" s="46" t="s">
        <v>20</v>
      </c>
      <c r="G392" s="76">
        <v>471.05</v>
      </c>
      <c r="H392" s="218"/>
      <c r="I392" s="220">
        <v>392121.43</v>
      </c>
      <c r="J392" s="217" t="s">
        <v>372</v>
      </c>
      <c r="K392" s="214">
        <v>2</v>
      </c>
    </row>
    <row r="393" spans="1:11" ht="12.75" customHeight="1" x14ac:dyDescent="0.25">
      <c r="A393" s="34" t="s">
        <v>68</v>
      </c>
      <c r="B393" s="89">
        <v>46117</v>
      </c>
      <c r="C393" s="46" t="s">
        <v>724</v>
      </c>
      <c r="D393" s="46" t="s">
        <v>725</v>
      </c>
      <c r="E393" s="46" t="s">
        <v>69</v>
      </c>
      <c r="F393" s="46" t="s">
        <v>20</v>
      </c>
      <c r="G393" s="76">
        <v>28.95</v>
      </c>
      <c r="H393" s="218"/>
      <c r="I393" s="220">
        <v>392150.38</v>
      </c>
      <c r="J393" s="217" t="s">
        <v>372</v>
      </c>
      <c r="K393" s="214">
        <v>2</v>
      </c>
    </row>
    <row r="394" spans="1:11" ht="12.75" customHeight="1" x14ac:dyDescent="0.25">
      <c r="A394" s="34" t="s">
        <v>68</v>
      </c>
      <c r="B394" s="89">
        <v>46117</v>
      </c>
      <c r="C394" s="46" t="s">
        <v>726</v>
      </c>
      <c r="D394" s="46" t="s">
        <v>727</v>
      </c>
      <c r="E394" s="46" t="s">
        <v>69</v>
      </c>
      <c r="F394" s="46" t="s">
        <v>20</v>
      </c>
      <c r="G394" s="76">
        <v>85</v>
      </c>
      <c r="H394" s="218"/>
      <c r="I394" s="220">
        <v>392235.38</v>
      </c>
      <c r="J394" s="217" t="s">
        <v>372</v>
      </c>
      <c r="K394" s="214">
        <v>2</v>
      </c>
    </row>
    <row r="395" spans="1:11" ht="12.75" customHeight="1" x14ac:dyDescent="0.25">
      <c r="A395" s="34" t="s">
        <v>68</v>
      </c>
      <c r="B395" s="89">
        <v>46117</v>
      </c>
      <c r="C395" s="46" t="s">
        <v>728</v>
      </c>
      <c r="D395" s="46" t="s">
        <v>729</v>
      </c>
      <c r="E395" s="46" t="s">
        <v>69</v>
      </c>
      <c r="F395" s="46" t="s">
        <v>20</v>
      </c>
      <c r="G395" s="76">
        <v>1.53</v>
      </c>
      <c r="H395" s="218"/>
      <c r="I395" s="220">
        <v>392236.91</v>
      </c>
      <c r="J395" s="217" t="s">
        <v>372</v>
      </c>
      <c r="K395" s="214">
        <v>2</v>
      </c>
    </row>
    <row r="396" spans="1:11" ht="12.75" customHeight="1" x14ac:dyDescent="0.25">
      <c r="A396" s="34" t="s">
        <v>68</v>
      </c>
      <c r="B396" s="89">
        <v>46117</v>
      </c>
      <c r="C396" s="46" t="s">
        <v>728</v>
      </c>
      <c r="D396" s="46" t="s">
        <v>729</v>
      </c>
      <c r="E396" s="46" t="s">
        <v>69</v>
      </c>
      <c r="F396" s="46" t="s">
        <v>20</v>
      </c>
      <c r="G396" s="76">
        <v>448.95</v>
      </c>
      <c r="H396" s="218"/>
      <c r="I396" s="220">
        <v>392685.86</v>
      </c>
      <c r="J396" s="217" t="s">
        <v>372</v>
      </c>
      <c r="K396" s="214">
        <v>2</v>
      </c>
    </row>
    <row r="397" spans="1:11" ht="12.75" customHeight="1" x14ac:dyDescent="0.25">
      <c r="A397" s="34" t="s">
        <v>68</v>
      </c>
      <c r="B397" s="89">
        <v>46117</v>
      </c>
      <c r="C397" s="46" t="s">
        <v>728</v>
      </c>
      <c r="D397" s="46" t="s">
        <v>729</v>
      </c>
      <c r="E397" s="46" t="s">
        <v>69</v>
      </c>
      <c r="F397" s="46" t="s">
        <v>20</v>
      </c>
      <c r="G397" s="76">
        <v>49.52</v>
      </c>
      <c r="H397" s="218"/>
      <c r="I397" s="220">
        <v>392735.38</v>
      </c>
      <c r="J397" s="217" t="s">
        <v>372</v>
      </c>
      <c r="K397" s="214">
        <v>2</v>
      </c>
    </row>
    <row r="398" spans="1:11" ht="12.75" customHeight="1" x14ac:dyDescent="0.25">
      <c r="A398" s="34" t="s">
        <v>68</v>
      </c>
      <c r="B398" s="89">
        <v>46117</v>
      </c>
      <c r="C398" s="46" t="s">
        <v>730</v>
      </c>
      <c r="D398" s="46" t="s">
        <v>731</v>
      </c>
      <c r="E398" s="46" t="s">
        <v>233</v>
      </c>
      <c r="F398" s="46" t="s">
        <v>20</v>
      </c>
      <c r="G398" s="76">
        <v>500</v>
      </c>
      <c r="H398" s="218"/>
      <c r="I398" s="220">
        <v>393235.38</v>
      </c>
      <c r="J398" s="217" t="s">
        <v>372</v>
      </c>
      <c r="K398" s="214">
        <v>2</v>
      </c>
    </row>
    <row r="399" spans="1:11" ht="12.75" customHeight="1" x14ac:dyDescent="0.25">
      <c r="A399" s="34" t="s">
        <v>68</v>
      </c>
      <c r="B399" s="89">
        <v>46117</v>
      </c>
      <c r="C399" s="46" t="s">
        <v>732</v>
      </c>
      <c r="D399" s="46" t="s">
        <v>733</v>
      </c>
      <c r="E399" s="46" t="s">
        <v>233</v>
      </c>
      <c r="F399" s="46" t="s">
        <v>20</v>
      </c>
      <c r="G399" s="76">
        <v>499.68</v>
      </c>
      <c r="H399" s="218"/>
      <c r="I399" s="220">
        <v>393735.06</v>
      </c>
      <c r="J399" s="217" t="s">
        <v>372</v>
      </c>
      <c r="K399" s="214">
        <v>2</v>
      </c>
    </row>
    <row r="400" spans="1:11" ht="12.75" customHeight="1" x14ac:dyDescent="0.25">
      <c r="A400" s="34" t="s">
        <v>68</v>
      </c>
      <c r="B400" s="89">
        <v>46117</v>
      </c>
      <c r="C400" s="46" t="s">
        <v>732</v>
      </c>
      <c r="D400" s="46" t="s">
        <v>733</v>
      </c>
      <c r="E400" s="46" t="s">
        <v>233</v>
      </c>
      <c r="F400" s="46" t="s">
        <v>20</v>
      </c>
      <c r="G400" s="76">
        <v>0.32</v>
      </c>
      <c r="H400" s="218"/>
      <c r="I400" s="220">
        <v>393735.38</v>
      </c>
      <c r="J400" s="217" t="s">
        <v>372</v>
      </c>
      <c r="K400" s="214">
        <v>2</v>
      </c>
    </row>
    <row r="401" spans="1:11" ht="12.75" customHeight="1" x14ac:dyDescent="0.25">
      <c r="A401" s="34" t="s">
        <v>68</v>
      </c>
      <c r="B401" s="89">
        <v>46117</v>
      </c>
      <c r="C401" s="46" t="s">
        <v>734</v>
      </c>
      <c r="D401" s="46" t="s">
        <v>735</v>
      </c>
      <c r="E401" s="46" t="s">
        <v>233</v>
      </c>
      <c r="F401" s="46" t="s">
        <v>20</v>
      </c>
      <c r="G401" s="76">
        <v>7.98</v>
      </c>
      <c r="H401" s="218"/>
      <c r="I401" s="220">
        <v>393743.35999999999</v>
      </c>
      <c r="J401" s="217" t="s">
        <v>372</v>
      </c>
      <c r="K401" s="214">
        <v>2</v>
      </c>
    </row>
    <row r="402" spans="1:11" ht="12.75" customHeight="1" x14ac:dyDescent="0.25">
      <c r="A402" s="34" t="s">
        <v>68</v>
      </c>
      <c r="B402" s="89">
        <v>46117</v>
      </c>
      <c r="C402" s="46" t="s">
        <v>734</v>
      </c>
      <c r="D402" s="46" t="s">
        <v>735</v>
      </c>
      <c r="E402" s="46" t="s">
        <v>233</v>
      </c>
      <c r="F402" s="46" t="s">
        <v>20</v>
      </c>
      <c r="G402" s="76">
        <v>49.2</v>
      </c>
      <c r="H402" s="218"/>
      <c r="I402" s="220">
        <v>393792.56</v>
      </c>
      <c r="J402" s="217" t="s">
        <v>372</v>
      </c>
      <c r="K402" s="214">
        <v>2</v>
      </c>
    </row>
    <row r="403" spans="1:11" ht="12.75" customHeight="1" x14ac:dyDescent="0.25">
      <c r="A403" s="34" t="s">
        <v>53</v>
      </c>
      <c r="B403" s="89">
        <v>46117</v>
      </c>
      <c r="C403" s="46" t="s">
        <v>736</v>
      </c>
      <c r="D403" s="46" t="s">
        <v>737</v>
      </c>
      <c r="E403" s="46" t="s">
        <v>253</v>
      </c>
      <c r="F403" s="46" t="s">
        <v>21</v>
      </c>
      <c r="G403" s="76">
        <v>48.96</v>
      </c>
      <c r="H403" s="218"/>
      <c r="I403" s="220">
        <v>393841.52</v>
      </c>
      <c r="J403" s="217" t="s">
        <v>366</v>
      </c>
      <c r="K403" s="214">
        <v>2</v>
      </c>
    </row>
    <row r="404" spans="1:11" ht="12.75" customHeight="1" x14ac:dyDescent="0.25">
      <c r="A404" s="34" t="s">
        <v>53</v>
      </c>
      <c r="B404" s="89">
        <v>46117</v>
      </c>
      <c r="C404" s="46" t="s">
        <v>736</v>
      </c>
      <c r="D404" s="46" t="s">
        <v>737</v>
      </c>
      <c r="E404" s="46" t="s">
        <v>253</v>
      </c>
      <c r="F404" s="46" t="s">
        <v>21</v>
      </c>
      <c r="G404" s="76">
        <v>1040</v>
      </c>
      <c r="H404" s="218"/>
      <c r="I404" s="220">
        <v>394881.52</v>
      </c>
      <c r="J404" s="217" t="s">
        <v>366</v>
      </c>
      <c r="K404" s="214">
        <v>2</v>
      </c>
    </row>
    <row r="405" spans="1:11" ht="12.75" customHeight="1" x14ac:dyDescent="0.25">
      <c r="A405" s="34" t="s">
        <v>68</v>
      </c>
      <c r="B405" s="89">
        <v>46117</v>
      </c>
      <c r="C405" s="46" t="s">
        <v>738</v>
      </c>
      <c r="D405" s="46" t="s">
        <v>739</v>
      </c>
      <c r="E405" s="46" t="s">
        <v>171</v>
      </c>
      <c r="F405" s="46" t="s">
        <v>21</v>
      </c>
      <c r="G405" s="76">
        <v>49.52</v>
      </c>
      <c r="H405" s="218"/>
      <c r="I405" s="220">
        <v>394931.04</v>
      </c>
      <c r="J405" s="217" t="s">
        <v>366</v>
      </c>
      <c r="K405" s="214">
        <v>2</v>
      </c>
    </row>
    <row r="406" spans="1:11" ht="12.75" customHeight="1" x14ac:dyDescent="0.25">
      <c r="A406" s="34" t="s">
        <v>68</v>
      </c>
      <c r="B406" s="89">
        <v>46117</v>
      </c>
      <c r="C406" s="46" t="s">
        <v>738</v>
      </c>
      <c r="D406" s="46" t="s">
        <v>739</v>
      </c>
      <c r="E406" s="46" t="s">
        <v>171</v>
      </c>
      <c r="F406" s="46" t="s">
        <v>21</v>
      </c>
      <c r="G406" s="76">
        <v>1005</v>
      </c>
      <c r="H406" s="218"/>
      <c r="I406" s="220">
        <v>395936.04</v>
      </c>
      <c r="J406" s="217" t="s">
        <v>366</v>
      </c>
      <c r="K406" s="214">
        <v>2</v>
      </c>
    </row>
    <row r="407" spans="1:11" ht="12.75" customHeight="1" x14ac:dyDescent="0.25">
      <c r="A407" s="34" t="s">
        <v>53</v>
      </c>
      <c r="B407" s="89">
        <v>46118</v>
      </c>
      <c r="C407" s="46" t="s">
        <v>740</v>
      </c>
      <c r="D407" s="46" t="s">
        <v>741</v>
      </c>
      <c r="E407" s="46" t="s">
        <v>254</v>
      </c>
      <c r="F407" s="46" t="s">
        <v>946</v>
      </c>
      <c r="H407" s="218">
        <v>-22.41</v>
      </c>
      <c r="I407" s="220">
        <v>395913.63</v>
      </c>
      <c r="J407" s="217" t="s">
        <v>372</v>
      </c>
      <c r="K407" s="214">
        <v>-2</v>
      </c>
    </row>
    <row r="408" spans="1:11" ht="12.75" customHeight="1" x14ac:dyDescent="0.25">
      <c r="A408" s="34" t="s">
        <v>68</v>
      </c>
      <c r="B408" s="89">
        <v>46118</v>
      </c>
      <c r="C408" s="46" t="s">
        <v>740</v>
      </c>
      <c r="D408" s="46" t="s">
        <v>741</v>
      </c>
      <c r="E408" s="46" t="s">
        <v>254</v>
      </c>
      <c r="F408" s="46" t="s">
        <v>946</v>
      </c>
      <c r="H408" s="218">
        <v>-6.15</v>
      </c>
      <c r="I408" s="220">
        <v>395907.48</v>
      </c>
      <c r="J408" s="217" t="s">
        <v>372</v>
      </c>
      <c r="K408" s="214">
        <v>-2</v>
      </c>
    </row>
    <row r="409" spans="1:11" ht="12.75" customHeight="1" x14ac:dyDescent="0.25">
      <c r="A409" s="34" t="s">
        <v>53</v>
      </c>
      <c r="B409" s="89">
        <v>46118</v>
      </c>
      <c r="C409" s="46" t="s">
        <v>742</v>
      </c>
      <c r="D409" s="46" t="s">
        <v>743</v>
      </c>
      <c r="E409" s="46" t="s">
        <v>254</v>
      </c>
      <c r="F409" s="46" t="s">
        <v>947</v>
      </c>
      <c r="H409" s="218">
        <v>-119.95</v>
      </c>
      <c r="I409" s="220">
        <v>395787.53</v>
      </c>
      <c r="J409" s="217" t="s">
        <v>372</v>
      </c>
      <c r="K409" s="214">
        <v>-2</v>
      </c>
    </row>
    <row r="410" spans="1:11" ht="12.75" customHeight="1" x14ac:dyDescent="0.25">
      <c r="A410" s="34" t="s">
        <v>53</v>
      </c>
      <c r="B410" s="89">
        <v>46118</v>
      </c>
      <c r="C410" s="46" t="s">
        <v>744</v>
      </c>
      <c r="D410" s="46" t="s">
        <v>745</v>
      </c>
      <c r="E410" s="46" t="s">
        <v>254</v>
      </c>
      <c r="F410" s="46" t="s">
        <v>948</v>
      </c>
      <c r="H410" s="218">
        <v>-9</v>
      </c>
      <c r="I410" s="220">
        <v>395778.53</v>
      </c>
      <c r="J410" s="217" t="s">
        <v>372</v>
      </c>
      <c r="K410" s="214">
        <v>-2</v>
      </c>
    </row>
    <row r="411" spans="1:11" ht="12.75" customHeight="1" x14ac:dyDescent="0.25">
      <c r="A411" s="34" t="s">
        <v>68</v>
      </c>
      <c r="B411" s="89">
        <v>46118</v>
      </c>
      <c r="C411" s="46" t="s">
        <v>744</v>
      </c>
      <c r="D411" s="46" t="s">
        <v>745</v>
      </c>
      <c r="E411" s="46" t="s">
        <v>254</v>
      </c>
      <c r="F411" s="46" t="s">
        <v>948</v>
      </c>
      <c r="H411" s="218">
        <v>-9</v>
      </c>
      <c r="I411" s="220">
        <v>395769.53</v>
      </c>
      <c r="J411" s="217" t="s">
        <v>372</v>
      </c>
      <c r="K411" s="214">
        <v>-2</v>
      </c>
    </row>
    <row r="412" spans="1:11" ht="12.75" customHeight="1" x14ac:dyDescent="0.25">
      <c r="A412" s="34" t="s">
        <v>68</v>
      </c>
      <c r="B412" s="89">
        <v>46118</v>
      </c>
      <c r="C412" s="46" t="s">
        <v>746</v>
      </c>
      <c r="D412" s="46" t="s">
        <v>363</v>
      </c>
      <c r="E412" s="46" t="s">
        <v>266</v>
      </c>
      <c r="F412" s="46" t="s">
        <v>949</v>
      </c>
      <c r="H412" s="218">
        <v>-535</v>
      </c>
      <c r="I412" s="220">
        <v>395234.53</v>
      </c>
      <c r="J412" s="217" t="s">
        <v>362</v>
      </c>
      <c r="K412" s="214">
        <v>-2</v>
      </c>
    </row>
    <row r="413" spans="1:11" ht="12.75" customHeight="1" x14ac:dyDescent="0.25">
      <c r="A413" s="34" t="s">
        <v>53</v>
      </c>
      <c r="B413" s="89">
        <v>46118</v>
      </c>
      <c r="C413" s="46" t="s">
        <v>747</v>
      </c>
      <c r="D413" s="46" t="s">
        <v>748</v>
      </c>
      <c r="E413" s="46" t="s">
        <v>170</v>
      </c>
      <c r="F413" s="46" t="s">
        <v>17</v>
      </c>
      <c r="G413" s="76">
        <v>48.96</v>
      </c>
      <c r="H413" s="218"/>
      <c r="I413" s="220">
        <v>395283.49</v>
      </c>
      <c r="J413" s="217" t="s">
        <v>366</v>
      </c>
      <c r="K413" s="214">
        <v>2</v>
      </c>
    </row>
    <row r="414" spans="1:11" ht="12.75" customHeight="1" x14ac:dyDescent="0.25">
      <c r="A414" s="34" t="s">
        <v>53</v>
      </c>
      <c r="B414" s="89">
        <v>46118</v>
      </c>
      <c r="C414" s="46" t="s">
        <v>747</v>
      </c>
      <c r="D414" s="46" t="s">
        <v>748</v>
      </c>
      <c r="E414" s="46" t="s">
        <v>170</v>
      </c>
      <c r="F414" s="46" t="s">
        <v>17</v>
      </c>
      <c r="G414" s="76">
        <v>1000</v>
      </c>
      <c r="H414" s="218"/>
      <c r="I414" s="220">
        <v>396283.49</v>
      </c>
      <c r="J414" s="217" t="s">
        <v>366</v>
      </c>
      <c r="K414" s="214">
        <v>2</v>
      </c>
    </row>
    <row r="415" spans="1:11" ht="12.75" customHeight="1" x14ac:dyDescent="0.25">
      <c r="A415" s="34" t="s">
        <v>68</v>
      </c>
      <c r="B415" s="89">
        <v>46118</v>
      </c>
      <c r="C415" s="46" t="s">
        <v>749</v>
      </c>
      <c r="D415" s="46" t="s">
        <v>750</v>
      </c>
      <c r="E415" s="46" t="s">
        <v>186</v>
      </c>
      <c r="F415" s="46" t="s">
        <v>17</v>
      </c>
      <c r="G415" s="76">
        <v>49.52</v>
      </c>
      <c r="H415" s="218"/>
      <c r="I415" s="220">
        <v>396333.01</v>
      </c>
      <c r="J415" s="217" t="s">
        <v>366</v>
      </c>
      <c r="K415" s="214">
        <v>2</v>
      </c>
    </row>
    <row r="416" spans="1:11" ht="12.75" customHeight="1" x14ac:dyDescent="0.25">
      <c r="A416" s="34" t="s">
        <v>68</v>
      </c>
      <c r="B416" s="89">
        <v>46118</v>
      </c>
      <c r="C416" s="46" t="s">
        <v>749</v>
      </c>
      <c r="D416" s="46" t="s">
        <v>750</v>
      </c>
      <c r="E416" s="46" t="s">
        <v>186</v>
      </c>
      <c r="F416" s="46" t="s">
        <v>17</v>
      </c>
      <c r="G416" s="76">
        <v>1005</v>
      </c>
      <c r="H416" s="218"/>
      <c r="I416" s="220">
        <v>397338.01</v>
      </c>
      <c r="J416" s="217" t="s">
        <v>366</v>
      </c>
      <c r="K416" s="214">
        <v>2</v>
      </c>
    </row>
    <row r="417" spans="1:11" ht="12.75" customHeight="1" x14ac:dyDescent="0.25">
      <c r="A417" s="34" t="s">
        <v>53</v>
      </c>
      <c r="B417" s="89">
        <v>46118</v>
      </c>
      <c r="C417" s="46" t="s">
        <v>751</v>
      </c>
      <c r="D417" s="46" t="s">
        <v>752</v>
      </c>
      <c r="E417" s="46" t="s">
        <v>156</v>
      </c>
      <c r="F417" s="46" t="s">
        <v>16</v>
      </c>
      <c r="G417" s="76">
        <v>48.96</v>
      </c>
      <c r="H417" s="218"/>
      <c r="I417" s="220">
        <v>397386.97</v>
      </c>
      <c r="J417" s="217" t="s">
        <v>366</v>
      </c>
      <c r="K417" s="214">
        <v>2</v>
      </c>
    </row>
    <row r="418" spans="1:11" ht="12.75" customHeight="1" x14ac:dyDescent="0.25">
      <c r="A418" s="34" t="s">
        <v>53</v>
      </c>
      <c r="B418" s="89">
        <v>46118</v>
      </c>
      <c r="C418" s="46" t="s">
        <v>751</v>
      </c>
      <c r="D418" s="46" t="s">
        <v>752</v>
      </c>
      <c r="E418" s="46" t="s">
        <v>156</v>
      </c>
      <c r="F418" s="46" t="s">
        <v>16</v>
      </c>
      <c r="G418" s="76">
        <v>1000</v>
      </c>
      <c r="H418" s="218"/>
      <c r="I418" s="220">
        <v>398386.97</v>
      </c>
      <c r="J418" s="217" t="s">
        <v>366</v>
      </c>
      <c r="K418" s="214">
        <v>2</v>
      </c>
    </row>
    <row r="419" spans="1:11" ht="12.75" customHeight="1" x14ac:dyDescent="0.25">
      <c r="A419" s="34" t="s">
        <v>68</v>
      </c>
      <c r="B419" s="89">
        <v>46118</v>
      </c>
      <c r="C419" s="46" t="s">
        <v>753</v>
      </c>
      <c r="D419" s="46" t="s">
        <v>55</v>
      </c>
      <c r="E419" s="46" t="s">
        <v>120</v>
      </c>
      <c r="F419" s="46" t="s">
        <v>19</v>
      </c>
      <c r="G419" s="76">
        <v>1005</v>
      </c>
      <c r="H419" s="218"/>
      <c r="I419" s="220">
        <v>399391.97</v>
      </c>
      <c r="J419" s="217" t="s">
        <v>372</v>
      </c>
      <c r="K419" s="214">
        <v>2</v>
      </c>
    </row>
    <row r="420" spans="1:11" ht="12.75" customHeight="1" x14ac:dyDescent="0.25">
      <c r="A420" s="34" t="s">
        <v>68</v>
      </c>
      <c r="B420" s="89">
        <v>46118</v>
      </c>
      <c r="C420" s="46" t="s">
        <v>753</v>
      </c>
      <c r="D420" s="46" t="s">
        <v>55</v>
      </c>
      <c r="E420" s="46" t="s">
        <v>120</v>
      </c>
      <c r="F420" s="46" t="s">
        <v>19</v>
      </c>
      <c r="G420" s="76">
        <v>49.52</v>
      </c>
      <c r="H420" s="218"/>
      <c r="I420" s="220">
        <v>399441.49</v>
      </c>
      <c r="J420" s="217" t="s">
        <v>372</v>
      </c>
      <c r="K420" s="214">
        <v>2</v>
      </c>
    </row>
    <row r="421" spans="1:11" ht="12.75" customHeight="1" x14ac:dyDescent="0.25">
      <c r="A421" s="34" t="s">
        <v>53</v>
      </c>
      <c r="B421" s="89">
        <v>46118</v>
      </c>
      <c r="C421" s="46" t="s">
        <v>754</v>
      </c>
      <c r="D421" s="46" t="s">
        <v>755</v>
      </c>
      <c r="E421" s="46" t="s">
        <v>234</v>
      </c>
      <c r="F421" s="46" t="s">
        <v>129</v>
      </c>
      <c r="G421" s="76">
        <v>35.81</v>
      </c>
      <c r="H421" s="218"/>
      <c r="I421" s="220">
        <v>399477.3</v>
      </c>
      <c r="J421" s="217" t="s">
        <v>366</v>
      </c>
      <c r="K421" s="214">
        <v>2</v>
      </c>
    </row>
    <row r="422" spans="1:11" ht="12.75" customHeight="1" x14ac:dyDescent="0.25">
      <c r="A422" s="34" t="s">
        <v>53</v>
      </c>
      <c r="B422" s="89">
        <v>46118</v>
      </c>
      <c r="C422" s="46" t="s">
        <v>754</v>
      </c>
      <c r="D422" s="46" t="s">
        <v>755</v>
      </c>
      <c r="E422" s="46" t="s">
        <v>234</v>
      </c>
      <c r="F422" s="46" t="s">
        <v>129</v>
      </c>
      <c r="G422" s="76">
        <v>990</v>
      </c>
      <c r="H422" s="218"/>
      <c r="I422" s="220">
        <v>400467.3</v>
      </c>
      <c r="J422" s="217" t="s">
        <v>366</v>
      </c>
      <c r="K422" s="214">
        <v>2</v>
      </c>
    </row>
    <row r="423" spans="1:11" ht="12.75" customHeight="1" x14ac:dyDescent="0.25">
      <c r="A423" s="34" t="s">
        <v>68</v>
      </c>
      <c r="B423" s="89">
        <v>46119</v>
      </c>
      <c r="C423" s="46" t="s">
        <v>756</v>
      </c>
      <c r="D423" s="46" t="s">
        <v>757</v>
      </c>
      <c r="E423" s="46" t="s">
        <v>188</v>
      </c>
      <c r="F423" s="46" t="s">
        <v>249</v>
      </c>
      <c r="G423" s="76">
        <v>75</v>
      </c>
      <c r="H423" s="218"/>
      <c r="I423" s="220">
        <v>400542.3</v>
      </c>
      <c r="J423" s="217" t="s">
        <v>364</v>
      </c>
      <c r="K423" s="214">
        <v>2</v>
      </c>
    </row>
    <row r="424" spans="1:11" ht="12.75" customHeight="1" x14ac:dyDescent="0.25">
      <c r="A424" s="34" t="s">
        <v>68</v>
      </c>
      <c r="B424" s="89">
        <v>46119</v>
      </c>
      <c r="C424" s="46" t="s">
        <v>756</v>
      </c>
      <c r="D424" s="46" t="s">
        <v>757</v>
      </c>
      <c r="E424" s="46" t="s">
        <v>188</v>
      </c>
      <c r="F424" s="46" t="s">
        <v>249</v>
      </c>
      <c r="G424" s="76">
        <v>49.52</v>
      </c>
      <c r="H424" s="218"/>
      <c r="I424" s="220">
        <v>400591.82</v>
      </c>
      <c r="J424" s="217" t="s">
        <v>364</v>
      </c>
      <c r="K424" s="214">
        <v>2</v>
      </c>
    </row>
    <row r="425" spans="1:11" ht="12.75" customHeight="1" x14ac:dyDescent="0.25">
      <c r="A425" s="34" t="s">
        <v>68</v>
      </c>
      <c r="B425" s="89">
        <v>46119</v>
      </c>
      <c r="C425" s="46" t="s">
        <v>756</v>
      </c>
      <c r="D425" s="46" t="s">
        <v>757</v>
      </c>
      <c r="E425" s="46" t="s">
        <v>188</v>
      </c>
      <c r="F425" s="46" t="s">
        <v>249</v>
      </c>
      <c r="G425" s="76">
        <v>1019.87</v>
      </c>
      <c r="H425" s="218"/>
      <c r="I425" s="220">
        <v>401611.69</v>
      </c>
      <c r="J425" s="217" t="s">
        <v>364</v>
      </c>
      <c r="K425" s="214">
        <v>2</v>
      </c>
    </row>
    <row r="426" spans="1:11" ht="12.75" customHeight="1" x14ac:dyDescent="0.25">
      <c r="A426" s="34" t="s">
        <v>53</v>
      </c>
      <c r="B426" s="89">
        <v>46120</v>
      </c>
      <c r="C426" s="46" t="s">
        <v>758</v>
      </c>
      <c r="D426" s="46" t="s">
        <v>365</v>
      </c>
      <c r="E426" s="46" t="s">
        <v>915</v>
      </c>
      <c r="F426" s="46" t="s">
        <v>950</v>
      </c>
      <c r="H426" s="218">
        <v>-1000</v>
      </c>
      <c r="I426" s="220">
        <v>400611.69</v>
      </c>
      <c r="J426" s="217" t="s">
        <v>364</v>
      </c>
      <c r="K426" s="214">
        <v>-2</v>
      </c>
    </row>
    <row r="427" spans="1:11" ht="12.75" customHeight="1" x14ac:dyDescent="0.25">
      <c r="A427" s="34" t="s">
        <v>68</v>
      </c>
      <c r="B427" s="89">
        <v>46120</v>
      </c>
      <c r="C427" s="46" t="s">
        <v>758</v>
      </c>
      <c r="D427" s="46" t="s">
        <v>365</v>
      </c>
      <c r="E427" s="46" t="s">
        <v>915</v>
      </c>
      <c r="F427" s="46" t="s">
        <v>951</v>
      </c>
      <c r="H427" s="218">
        <v>-3225</v>
      </c>
      <c r="I427" s="220">
        <v>397386.69</v>
      </c>
      <c r="J427" s="217" t="s">
        <v>364</v>
      </c>
      <c r="K427" s="214">
        <v>-2</v>
      </c>
    </row>
    <row r="428" spans="1:11" ht="12.75" customHeight="1" x14ac:dyDescent="0.25">
      <c r="A428" s="34" t="s">
        <v>53</v>
      </c>
      <c r="B428" s="89">
        <v>46120</v>
      </c>
      <c r="C428" s="46" t="s">
        <v>759</v>
      </c>
      <c r="D428" s="46" t="s">
        <v>760</v>
      </c>
      <c r="E428" s="46" t="s">
        <v>916</v>
      </c>
      <c r="F428" s="46" t="s">
        <v>952</v>
      </c>
      <c r="H428" s="218">
        <v>-1415</v>
      </c>
      <c r="I428" s="220">
        <v>395971.69</v>
      </c>
      <c r="J428" s="217" t="s">
        <v>370</v>
      </c>
      <c r="K428" s="214">
        <v>-2</v>
      </c>
    </row>
    <row r="429" spans="1:11" ht="12.75" customHeight="1" x14ac:dyDescent="0.25">
      <c r="A429" s="34" t="s">
        <v>68</v>
      </c>
      <c r="B429" s="89">
        <v>46120</v>
      </c>
      <c r="C429" s="46" t="s">
        <v>759</v>
      </c>
      <c r="D429" s="46" t="s">
        <v>760</v>
      </c>
      <c r="E429" s="46" t="s">
        <v>916</v>
      </c>
      <c r="F429" s="46" t="s">
        <v>952</v>
      </c>
      <c r="H429" s="218">
        <v>-1510</v>
      </c>
      <c r="I429" s="220">
        <v>394461.69</v>
      </c>
      <c r="J429" s="217" t="s">
        <v>370</v>
      </c>
      <c r="K429" s="214">
        <v>-2</v>
      </c>
    </row>
    <row r="430" spans="1:11" ht="12.75" customHeight="1" x14ac:dyDescent="0.25">
      <c r="A430" s="34" t="s">
        <v>53</v>
      </c>
      <c r="B430" s="89">
        <v>46120</v>
      </c>
      <c r="C430" s="46" t="s">
        <v>761</v>
      </c>
      <c r="D430" s="46" t="s">
        <v>762</v>
      </c>
      <c r="E430" s="46" t="s">
        <v>254</v>
      </c>
      <c r="F430" s="46" t="s">
        <v>953</v>
      </c>
      <c r="H430" s="218">
        <v>-208.01</v>
      </c>
      <c r="I430" s="220">
        <v>394253.68</v>
      </c>
      <c r="J430" s="217" t="s">
        <v>370</v>
      </c>
      <c r="K430" s="214">
        <v>-2</v>
      </c>
    </row>
    <row r="431" spans="1:11" ht="12.75" customHeight="1" x14ac:dyDescent="0.25">
      <c r="A431" s="34" t="s">
        <v>53</v>
      </c>
      <c r="B431" s="89">
        <v>46120</v>
      </c>
      <c r="C431" s="46" t="s">
        <v>763</v>
      </c>
      <c r="D431" s="46" t="s">
        <v>764</v>
      </c>
      <c r="E431" s="46" t="s">
        <v>254</v>
      </c>
      <c r="F431" s="46" t="s">
        <v>954</v>
      </c>
      <c r="H431" s="218">
        <v>-9</v>
      </c>
      <c r="I431" s="220">
        <v>394244.68</v>
      </c>
      <c r="J431" s="217" t="s">
        <v>370</v>
      </c>
      <c r="K431" s="214">
        <v>-2</v>
      </c>
    </row>
    <row r="432" spans="1:11" ht="12.75" customHeight="1" x14ac:dyDescent="0.25">
      <c r="A432" s="34" t="s">
        <v>53</v>
      </c>
      <c r="B432" s="89">
        <v>46120</v>
      </c>
      <c r="C432" s="46" t="s">
        <v>763</v>
      </c>
      <c r="D432" s="46" t="s">
        <v>764</v>
      </c>
      <c r="E432" s="46" t="s">
        <v>254</v>
      </c>
      <c r="F432" s="46" t="s">
        <v>954</v>
      </c>
      <c r="H432" s="218">
        <v>-5.6</v>
      </c>
      <c r="I432" s="220">
        <v>394239.08</v>
      </c>
      <c r="J432" s="217" t="s">
        <v>370</v>
      </c>
      <c r="K432" s="214">
        <v>-2</v>
      </c>
    </row>
    <row r="433" spans="1:11" ht="12.75" customHeight="1" x14ac:dyDescent="0.25">
      <c r="A433" s="34" t="s">
        <v>68</v>
      </c>
      <c r="B433" s="89">
        <v>46120</v>
      </c>
      <c r="C433" s="46" t="s">
        <v>763</v>
      </c>
      <c r="D433" s="46" t="s">
        <v>764</v>
      </c>
      <c r="E433" s="46" t="s">
        <v>254</v>
      </c>
      <c r="F433" s="46" t="s">
        <v>954</v>
      </c>
      <c r="H433" s="218">
        <v>-2</v>
      </c>
      <c r="I433" s="220">
        <v>394237.08</v>
      </c>
      <c r="J433" s="217" t="s">
        <v>370</v>
      </c>
      <c r="K433" s="214">
        <v>-2</v>
      </c>
    </row>
    <row r="434" spans="1:11" ht="12.75" customHeight="1" x14ac:dyDescent="0.25">
      <c r="A434" s="34" t="s">
        <v>68</v>
      </c>
      <c r="B434" s="89">
        <v>46120</v>
      </c>
      <c r="C434" s="46" t="s">
        <v>763</v>
      </c>
      <c r="D434" s="46" t="s">
        <v>764</v>
      </c>
      <c r="E434" s="46" t="s">
        <v>254</v>
      </c>
      <c r="F434" s="46" t="s">
        <v>954</v>
      </c>
      <c r="H434" s="218">
        <v>-8</v>
      </c>
      <c r="I434" s="220">
        <v>394229.08</v>
      </c>
      <c r="J434" s="217" t="s">
        <v>370</v>
      </c>
      <c r="K434" s="214">
        <v>-2</v>
      </c>
    </row>
    <row r="435" spans="1:11" ht="12.75" customHeight="1" x14ac:dyDescent="0.25">
      <c r="A435" s="34" t="s">
        <v>68</v>
      </c>
      <c r="B435" s="89">
        <v>46120</v>
      </c>
      <c r="C435" s="46" t="s">
        <v>765</v>
      </c>
      <c r="D435" s="46" t="s">
        <v>55</v>
      </c>
      <c r="E435" s="46" t="s">
        <v>183</v>
      </c>
      <c r="F435" s="46" t="s">
        <v>22</v>
      </c>
      <c r="G435" s="76">
        <v>75</v>
      </c>
      <c r="H435" s="218"/>
      <c r="I435" s="220">
        <v>394304.08</v>
      </c>
      <c r="J435" s="217" t="s">
        <v>366</v>
      </c>
      <c r="K435" s="214">
        <v>2</v>
      </c>
    </row>
    <row r="436" spans="1:11" ht="12.75" customHeight="1" x14ac:dyDescent="0.25">
      <c r="A436" s="34" t="s">
        <v>68</v>
      </c>
      <c r="B436" s="89">
        <v>46120</v>
      </c>
      <c r="C436" s="46" t="s">
        <v>765</v>
      </c>
      <c r="D436" s="46" t="s">
        <v>55</v>
      </c>
      <c r="E436" s="46" t="s">
        <v>183</v>
      </c>
      <c r="F436" s="46" t="s">
        <v>22</v>
      </c>
      <c r="G436" s="76">
        <v>1005</v>
      </c>
      <c r="H436" s="218"/>
      <c r="I436" s="220">
        <v>395309.08</v>
      </c>
      <c r="J436" s="217" t="s">
        <v>366</v>
      </c>
      <c r="K436" s="214">
        <v>2</v>
      </c>
    </row>
    <row r="437" spans="1:11" ht="12.75" customHeight="1" x14ac:dyDescent="0.25">
      <c r="A437" s="34" t="s">
        <v>68</v>
      </c>
      <c r="B437" s="89">
        <v>46120</v>
      </c>
      <c r="C437" s="46" t="s">
        <v>765</v>
      </c>
      <c r="D437" s="46" t="s">
        <v>55</v>
      </c>
      <c r="E437" s="46" t="s">
        <v>183</v>
      </c>
      <c r="F437" s="46" t="s">
        <v>22</v>
      </c>
      <c r="G437" s="76">
        <v>49.52</v>
      </c>
      <c r="H437" s="218"/>
      <c r="I437" s="220">
        <v>395358.6</v>
      </c>
      <c r="J437" s="217" t="s">
        <v>366</v>
      </c>
      <c r="K437" s="214">
        <v>2</v>
      </c>
    </row>
    <row r="438" spans="1:11" ht="12.75" customHeight="1" x14ac:dyDescent="0.25">
      <c r="A438" s="34" t="s">
        <v>53</v>
      </c>
      <c r="B438" s="89">
        <v>46120</v>
      </c>
      <c r="C438" s="46" t="s">
        <v>766</v>
      </c>
      <c r="D438" s="46" t="s">
        <v>55</v>
      </c>
      <c r="E438" s="46" t="s">
        <v>117</v>
      </c>
      <c r="F438" s="46" t="s">
        <v>57</v>
      </c>
      <c r="G438" s="76">
        <v>75</v>
      </c>
      <c r="H438" s="218"/>
      <c r="I438" s="220">
        <v>395433.6</v>
      </c>
      <c r="J438" s="217" t="s">
        <v>366</v>
      </c>
      <c r="K438" s="214">
        <v>2</v>
      </c>
    </row>
    <row r="439" spans="1:11" ht="12.75" customHeight="1" x14ac:dyDescent="0.25">
      <c r="A439" s="34" t="s">
        <v>53</v>
      </c>
      <c r="B439" s="89">
        <v>46120</v>
      </c>
      <c r="C439" s="46" t="s">
        <v>766</v>
      </c>
      <c r="D439" s="46" t="s">
        <v>55</v>
      </c>
      <c r="E439" s="46" t="s">
        <v>117</v>
      </c>
      <c r="F439" s="46" t="s">
        <v>57</v>
      </c>
      <c r="G439" s="76">
        <v>1000</v>
      </c>
      <c r="H439" s="218"/>
      <c r="I439" s="220">
        <v>396433.6</v>
      </c>
      <c r="J439" s="217" t="s">
        <v>366</v>
      </c>
      <c r="K439" s="214">
        <v>2</v>
      </c>
    </row>
    <row r="440" spans="1:11" ht="12.75" customHeight="1" x14ac:dyDescent="0.25">
      <c r="A440" s="34" t="s">
        <v>53</v>
      </c>
      <c r="B440" s="89">
        <v>46120</v>
      </c>
      <c r="C440" s="46" t="s">
        <v>766</v>
      </c>
      <c r="D440" s="46" t="s">
        <v>55</v>
      </c>
      <c r="E440" s="46" t="s">
        <v>117</v>
      </c>
      <c r="F440" s="46" t="s">
        <v>57</v>
      </c>
      <c r="G440" s="76">
        <v>48.96</v>
      </c>
      <c r="H440" s="218"/>
      <c r="I440" s="220">
        <v>396482.56</v>
      </c>
      <c r="J440" s="217" t="s">
        <v>366</v>
      </c>
      <c r="K440" s="214">
        <v>2</v>
      </c>
    </row>
    <row r="441" spans="1:11" ht="12.75" customHeight="1" x14ac:dyDescent="0.25">
      <c r="A441" s="34" t="s">
        <v>53</v>
      </c>
      <c r="B441" s="89">
        <v>46121</v>
      </c>
      <c r="C441" s="46" t="s">
        <v>767</v>
      </c>
      <c r="D441" s="46" t="s">
        <v>768</v>
      </c>
      <c r="E441" s="46" t="s">
        <v>254</v>
      </c>
      <c r="F441" s="46" t="s">
        <v>955</v>
      </c>
      <c r="H441" s="218">
        <v>-212.4</v>
      </c>
      <c r="I441" s="220">
        <v>396270.16</v>
      </c>
      <c r="J441" s="217" t="s">
        <v>366</v>
      </c>
      <c r="K441" s="214">
        <v>-2</v>
      </c>
    </row>
    <row r="442" spans="1:11" ht="12.75" customHeight="1" x14ac:dyDescent="0.25">
      <c r="A442" s="34" t="s">
        <v>68</v>
      </c>
      <c r="B442" s="89">
        <v>46121</v>
      </c>
      <c r="C442" s="46" t="s">
        <v>769</v>
      </c>
      <c r="D442" s="46" t="s">
        <v>770</v>
      </c>
      <c r="E442" s="46" t="s">
        <v>917</v>
      </c>
      <c r="F442" s="46" t="s">
        <v>956</v>
      </c>
      <c r="H442" s="218">
        <v>-228</v>
      </c>
      <c r="I442" s="220">
        <v>396042.16</v>
      </c>
      <c r="J442" s="89">
        <v>46123</v>
      </c>
      <c r="K442" s="214">
        <v>-4</v>
      </c>
    </row>
    <row r="443" spans="1:11" ht="12.75" customHeight="1" x14ac:dyDescent="0.25">
      <c r="A443" s="34" t="s">
        <v>53</v>
      </c>
      <c r="B443" s="89">
        <v>46121</v>
      </c>
      <c r="C443" s="46" t="s">
        <v>771</v>
      </c>
      <c r="D443" s="46" t="s">
        <v>772</v>
      </c>
      <c r="E443" s="46" t="s">
        <v>918</v>
      </c>
      <c r="F443" s="46" t="s">
        <v>956</v>
      </c>
      <c r="H443" s="218">
        <v>-240</v>
      </c>
      <c r="I443" s="220">
        <v>395802.16</v>
      </c>
      <c r="J443" s="89">
        <v>46123</v>
      </c>
      <c r="K443" s="214">
        <v>-4</v>
      </c>
    </row>
    <row r="444" spans="1:11" ht="12.75" customHeight="1" x14ac:dyDescent="0.25">
      <c r="A444" s="34" t="s">
        <v>53</v>
      </c>
      <c r="B444" s="89">
        <v>46122</v>
      </c>
      <c r="C444" s="46" t="s">
        <v>773</v>
      </c>
      <c r="D444" s="46" t="s">
        <v>361</v>
      </c>
      <c r="E444" s="46" t="s">
        <v>290</v>
      </c>
      <c r="F444" s="46" t="s">
        <v>957</v>
      </c>
      <c r="H444" s="218">
        <v>-296.64999999999998</v>
      </c>
      <c r="I444" s="220">
        <v>395505.51</v>
      </c>
      <c r="J444" s="217" t="s">
        <v>360</v>
      </c>
      <c r="K444" s="214">
        <v>-2</v>
      </c>
    </row>
    <row r="445" spans="1:11" ht="12.75" customHeight="1" x14ac:dyDescent="0.25">
      <c r="A445" s="34" t="s">
        <v>68</v>
      </c>
      <c r="B445" s="89">
        <v>46122</v>
      </c>
      <c r="C445" s="46" t="s">
        <v>774</v>
      </c>
      <c r="D445" s="46" t="s">
        <v>775</v>
      </c>
      <c r="E445" s="46" t="s">
        <v>188</v>
      </c>
      <c r="F445" s="46" t="s">
        <v>249</v>
      </c>
      <c r="G445" s="76">
        <v>900</v>
      </c>
      <c r="H445" s="218"/>
      <c r="I445" s="220">
        <v>396405.51</v>
      </c>
      <c r="J445" s="217" t="s">
        <v>359</v>
      </c>
      <c r="K445" s="214">
        <v>2</v>
      </c>
    </row>
    <row r="446" spans="1:11" ht="12.75" customHeight="1" x14ac:dyDescent="0.25">
      <c r="A446" s="34" t="s">
        <v>68</v>
      </c>
      <c r="B446" s="89">
        <v>46123</v>
      </c>
      <c r="C446" s="46" t="s">
        <v>776</v>
      </c>
      <c r="D446" s="46" t="s">
        <v>770</v>
      </c>
      <c r="E446" s="46" t="s">
        <v>917</v>
      </c>
      <c r="F446" s="46" t="s">
        <v>956</v>
      </c>
      <c r="G446" s="76">
        <v>228</v>
      </c>
      <c r="H446" s="218"/>
      <c r="I446" s="220">
        <v>396633.51</v>
      </c>
      <c r="J446" s="89">
        <v>46121</v>
      </c>
      <c r="K446" s="214">
        <v>4</v>
      </c>
    </row>
    <row r="447" spans="1:11" ht="12.75" customHeight="1" x14ac:dyDescent="0.25">
      <c r="A447" s="34" t="s">
        <v>53</v>
      </c>
      <c r="B447" s="89">
        <v>46123</v>
      </c>
      <c r="C447" s="46" t="s">
        <v>777</v>
      </c>
      <c r="D447" s="46" t="s">
        <v>772</v>
      </c>
      <c r="E447" s="46" t="s">
        <v>918</v>
      </c>
      <c r="F447" s="46" t="s">
        <v>956</v>
      </c>
      <c r="G447" s="76">
        <v>240</v>
      </c>
      <c r="H447" s="218"/>
      <c r="I447" s="220">
        <v>396873.51</v>
      </c>
      <c r="J447" s="89">
        <v>46121</v>
      </c>
      <c r="K447" s="214">
        <v>4</v>
      </c>
    </row>
    <row r="448" spans="1:11" ht="12.75" customHeight="1" x14ac:dyDescent="0.25">
      <c r="A448" s="34" t="s">
        <v>53</v>
      </c>
      <c r="B448" s="89">
        <v>46125</v>
      </c>
      <c r="C448" s="46" t="s">
        <v>778</v>
      </c>
      <c r="D448" s="46" t="s">
        <v>779</v>
      </c>
      <c r="E448" s="46" t="s">
        <v>916</v>
      </c>
      <c r="F448" s="46" t="s">
        <v>958</v>
      </c>
      <c r="H448" s="218">
        <v>-1415</v>
      </c>
      <c r="I448" s="220">
        <v>395458.51</v>
      </c>
      <c r="J448" s="217" t="s">
        <v>362</v>
      </c>
      <c r="K448" s="214">
        <v>-2</v>
      </c>
    </row>
    <row r="449" spans="1:11" ht="12.75" customHeight="1" x14ac:dyDescent="0.25">
      <c r="A449" s="34" t="s">
        <v>68</v>
      </c>
      <c r="B449" s="89">
        <v>46125</v>
      </c>
      <c r="C449" s="46" t="s">
        <v>778</v>
      </c>
      <c r="D449" s="46" t="s">
        <v>779</v>
      </c>
      <c r="E449" s="46" t="s">
        <v>916</v>
      </c>
      <c r="F449" s="46" t="s">
        <v>958</v>
      </c>
      <c r="H449" s="218">
        <v>-834</v>
      </c>
      <c r="I449" s="220">
        <v>394624.51</v>
      </c>
      <c r="J449" s="217" t="s">
        <v>362</v>
      </c>
      <c r="K449" s="214">
        <v>-2</v>
      </c>
    </row>
    <row r="450" spans="1:11" ht="12.75" customHeight="1" x14ac:dyDescent="0.25">
      <c r="A450" s="34" t="s">
        <v>53</v>
      </c>
      <c r="B450" s="89">
        <v>46125</v>
      </c>
      <c r="C450" s="46" t="s">
        <v>780</v>
      </c>
      <c r="D450" s="46" t="s">
        <v>781</v>
      </c>
      <c r="E450" s="46" t="s">
        <v>254</v>
      </c>
      <c r="F450" s="46" t="s">
        <v>959</v>
      </c>
      <c r="H450" s="218">
        <v>-112.54</v>
      </c>
      <c r="I450" s="220">
        <v>394511.97</v>
      </c>
      <c r="J450" s="217" t="s">
        <v>362</v>
      </c>
      <c r="K450" s="214">
        <v>-2</v>
      </c>
    </row>
    <row r="451" spans="1:11" ht="12.75" customHeight="1" x14ac:dyDescent="0.25">
      <c r="A451" s="34" t="s">
        <v>68</v>
      </c>
      <c r="B451" s="89">
        <v>46125</v>
      </c>
      <c r="C451" s="46" t="s">
        <v>780</v>
      </c>
      <c r="D451" s="46" t="s">
        <v>781</v>
      </c>
      <c r="E451" s="46" t="s">
        <v>254</v>
      </c>
      <c r="F451" s="46" t="s">
        <v>959</v>
      </c>
      <c r="H451" s="218">
        <v>-113.01</v>
      </c>
      <c r="I451" s="220">
        <v>394398.96</v>
      </c>
      <c r="J451" s="217" t="s">
        <v>362</v>
      </c>
      <c r="K451" s="214">
        <v>-2</v>
      </c>
    </row>
    <row r="452" spans="1:11" ht="12.75" customHeight="1" x14ac:dyDescent="0.25">
      <c r="A452" s="34" t="s">
        <v>68</v>
      </c>
      <c r="B452" s="89">
        <v>46125</v>
      </c>
      <c r="C452" s="46" t="s">
        <v>780</v>
      </c>
      <c r="D452" s="46" t="s">
        <v>781</v>
      </c>
      <c r="E452" s="46" t="s">
        <v>254</v>
      </c>
      <c r="F452" s="46" t="s">
        <v>959</v>
      </c>
      <c r="H452" s="218">
        <v>-55.12</v>
      </c>
      <c r="I452" s="220">
        <v>394343.84</v>
      </c>
      <c r="J452" s="217" t="s">
        <v>362</v>
      </c>
      <c r="K452" s="214">
        <v>-2</v>
      </c>
    </row>
    <row r="453" spans="1:11" ht="12.75" customHeight="1" x14ac:dyDescent="0.25">
      <c r="A453" s="34" t="s">
        <v>53</v>
      </c>
      <c r="B453" s="89">
        <v>46125</v>
      </c>
      <c r="C453" s="46" t="s">
        <v>782</v>
      </c>
      <c r="D453" s="46" t="s">
        <v>292</v>
      </c>
      <c r="E453" s="46" t="s">
        <v>161</v>
      </c>
      <c r="F453" s="46" t="s">
        <v>20</v>
      </c>
      <c r="G453" s="76">
        <v>326.04000000000002</v>
      </c>
      <c r="H453" s="218"/>
      <c r="I453" s="220">
        <v>394669.88</v>
      </c>
      <c r="J453" s="217" t="s">
        <v>360</v>
      </c>
      <c r="K453" s="214">
        <v>2</v>
      </c>
    </row>
    <row r="454" spans="1:11" ht="12.75" customHeight="1" x14ac:dyDescent="0.25">
      <c r="A454" s="34" t="s">
        <v>53</v>
      </c>
      <c r="B454" s="89">
        <v>46125</v>
      </c>
      <c r="C454" s="46" t="s">
        <v>782</v>
      </c>
      <c r="D454" s="46" t="s">
        <v>292</v>
      </c>
      <c r="E454" s="46" t="s">
        <v>161</v>
      </c>
      <c r="F454" s="46" t="s">
        <v>20</v>
      </c>
      <c r="G454" s="76">
        <v>48.96</v>
      </c>
      <c r="H454" s="218"/>
      <c r="I454" s="220">
        <v>394718.84</v>
      </c>
      <c r="J454" s="217" t="s">
        <v>360</v>
      </c>
      <c r="K454" s="214">
        <v>2</v>
      </c>
    </row>
    <row r="455" spans="1:11" ht="12.75" customHeight="1" x14ac:dyDescent="0.25">
      <c r="A455" s="34" t="s">
        <v>53</v>
      </c>
      <c r="B455" s="89">
        <v>46125</v>
      </c>
      <c r="C455" s="46" t="s">
        <v>783</v>
      </c>
      <c r="D455" s="46" t="s">
        <v>784</v>
      </c>
      <c r="E455" s="46" t="s">
        <v>167</v>
      </c>
      <c r="F455" s="46" t="s">
        <v>20</v>
      </c>
      <c r="G455" s="76">
        <v>997.28</v>
      </c>
      <c r="H455" s="218"/>
      <c r="I455" s="220">
        <v>395716.12</v>
      </c>
      <c r="J455" s="217" t="s">
        <v>360</v>
      </c>
      <c r="K455" s="214">
        <v>2</v>
      </c>
    </row>
    <row r="456" spans="1:11" ht="12.75" customHeight="1" x14ac:dyDescent="0.25">
      <c r="A456" s="34" t="s">
        <v>53</v>
      </c>
      <c r="B456" s="89">
        <v>46125</v>
      </c>
      <c r="C456" s="46" t="s">
        <v>783</v>
      </c>
      <c r="D456" s="46" t="s">
        <v>784</v>
      </c>
      <c r="E456" s="46" t="s">
        <v>167</v>
      </c>
      <c r="F456" s="46" t="s">
        <v>20</v>
      </c>
      <c r="G456" s="76">
        <v>2.72</v>
      </c>
      <c r="H456" s="218"/>
      <c r="I456" s="220">
        <v>395718.84</v>
      </c>
      <c r="J456" s="217" t="s">
        <v>360</v>
      </c>
      <c r="K456" s="214">
        <v>2</v>
      </c>
    </row>
    <row r="457" spans="1:11" ht="12.75" customHeight="1" x14ac:dyDescent="0.25">
      <c r="A457" s="34" t="s">
        <v>53</v>
      </c>
      <c r="B457" s="89">
        <v>46125</v>
      </c>
      <c r="C457" s="46" t="s">
        <v>785</v>
      </c>
      <c r="D457" s="46" t="s">
        <v>786</v>
      </c>
      <c r="E457" s="46" t="s">
        <v>167</v>
      </c>
      <c r="F457" s="46" t="s">
        <v>20</v>
      </c>
      <c r="G457" s="76">
        <v>46.24</v>
      </c>
      <c r="H457" s="218"/>
      <c r="I457" s="220">
        <v>395765.08</v>
      </c>
      <c r="J457" s="217" t="s">
        <v>360</v>
      </c>
      <c r="K457" s="214">
        <v>2</v>
      </c>
    </row>
    <row r="458" spans="1:11" ht="12.75" customHeight="1" x14ac:dyDescent="0.25">
      <c r="A458" s="34" t="s">
        <v>53</v>
      </c>
      <c r="B458" s="89">
        <v>46125</v>
      </c>
      <c r="C458" s="46" t="s">
        <v>785</v>
      </c>
      <c r="D458" s="46" t="s">
        <v>786</v>
      </c>
      <c r="E458" s="46" t="s">
        <v>167</v>
      </c>
      <c r="F458" s="46" t="s">
        <v>20</v>
      </c>
      <c r="G458" s="76">
        <v>2.76</v>
      </c>
      <c r="H458" s="218"/>
      <c r="I458" s="220">
        <v>395767.84</v>
      </c>
      <c r="J458" s="217" t="s">
        <v>360</v>
      </c>
      <c r="K458" s="214">
        <v>2</v>
      </c>
    </row>
    <row r="459" spans="1:11" ht="12.75" customHeight="1" x14ac:dyDescent="0.25">
      <c r="A459" s="34" t="s">
        <v>68</v>
      </c>
      <c r="B459" s="89">
        <v>46125</v>
      </c>
      <c r="C459" s="46" t="s">
        <v>787</v>
      </c>
      <c r="D459" s="46" t="s">
        <v>788</v>
      </c>
      <c r="E459" s="46" t="s">
        <v>180</v>
      </c>
      <c r="F459" s="46" t="s">
        <v>20</v>
      </c>
      <c r="G459" s="76">
        <v>500</v>
      </c>
      <c r="H459" s="218"/>
      <c r="I459" s="220">
        <v>396267.84</v>
      </c>
      <c r="J459" s="217" t="s">
        <v>360</v>
      </c>
      <c r="K459" s="214">
        <v>2</v>
      </c>
    </row>
    <row r="460" spans="1:11" ht="12.75" customHeight="1" x14ac:dyDescent="0.25">
      <c r="A460" s="34" t="s">
        <v>68</v>
      </c>
      <c r="B460" s="89">
        <v>46125</v>
      </c>
      <c r="C460" s="46" t="s">
        <v>789</v>
      </c>
      <c r="D460" s="46" t="s">
        <v>790</v>
      </c>
      <c r="E460" s="46" t="s">
        <v>919</v>
      </c>
      <c r="F460" s="46" t="s">
        <v>20</v>
      </c>
      <c r="G460" s="76">
        <v>500</v>
      </c>
      <c r="H460" s="218"/>
      <c r="I460" s="220">
        <v>396767.84</v>
      </c>
      <c r="J460" s="217" t="s">
        <v>360</v>
      </c>
      <c r="K460" s="214">
        <v>2</v>
      </c>
    </row>
    <row r="461" spans="1:11" ht="12.75" customHeight="1" x14ac:dyDescent="0.25">
      <c r="A461" s="34" t="s">
        <v>68</v>
      </c>
      <c r="B461" s="89">
        <v>46125</v>
      </c>
      <c r="C461" s="46" t="s">
        <v>791</v>
      </c>
      <c r="D461" s="46" t="s">
        <v>792</v>
      </c>
      <c r="E461" s="46" t="s">
        <v>180</v>
      </c>
      <c r="F461" s="46" t="s">
        <v>20</v>
      </c>
      <c r="G461" s="76">
        <v>54.54</v>
      </c>
      <c r="H461" s="218"/>
      <c r="I461" s="220">
        <v>396822.38</v>
      </c>
      <c r="J461" s="217" t="s">
        <v>360</v>
      </c>
      <c r="K461" s="214">
        <v>2</v>
      </c>
    </row>
    <row r="462" spans="1:11" ht="12.75" customHeight="1" x14ac:dyDescent="0.25">
      <c r="A462" s="34" t="s">
        <v>53</v>
      </c>
      <c r="B462" s="89">
        <v>46125</v>
      </c>
      <c r="C462" s="46" t="s">
        <v>793</v>
      </c>
      <c r="D462" s="46" t="s">
        <v>794</v>
      </c>
      <c r="E462" s="46" t="s">
        <v>86</v>
      </c>
      <c r="F462" s="46" t="s">
        <v>17</v>
      </c>
      <c r="G462" s="76">
        <v>75</v>
      </c>
      <c r="H462" s="218"/>
      <c r="I462" s="220">
        <v>396897.38</v>
      </c>
      <c r="J462" s="217" t="s">
        <v>358</v>
      </c>
      <c r="K462" s="214">
        <v>2</v>
      </c>
    </row>
    <row r="463" spans="1:11" ht="12.75" customHeight="1" x14ac:dyDescent="0.25">
      <c r="A463" s="34" t="s">
        <v>53</v>
      </c>
      <c r="B463" s="89">
        <v>46125</v>
      </c>
      <c r="C463" s="46" t="s">
        <v>793</v>
      </c>
      <c r="D463" s="46" t="s">
        <v>794</v>
      </c>
      <c r="E463" s="46" t="s">
        <v>86</v>
      </c>
      <c r="F463" s="46" t="s">
        <v>17</v>
      </c>
      <c r="G463" s="76">
        <v>48.96</v>
      </c>
      <c r="H463" s="218"/>
      <c r="I463" s="220">
        <v>396946.34</v>
      </c>
      <c r="J463" s="217" t="s">
        <v>358</v>
      </c>
      <c r="K463" s="214">
        <v>2</v>
      </c>
    </row>
    <row r="464" spans="1:11" ht="12.75" customHeight="1" x14ac:dyDescent="0.25">
      <c r="A464" s="34" t="s">
        <v>53</v>
      </c>
      <c r="B464" s="89">
        <v>46125</v>
      </c>
      <c r="C464" s="46" t="s">
        <v>793</v>
      </c>
      <c r="D464" s="46" t="s">
        <v>794</v>
      </c>
      <c r="E464" s="46" t="s">
        <v>86</v>
      </c>
      <c r="F464" s="46" t="s">
        <v>17</v>
      </c>
      <c r="G464" s="76">
        <v>1000</v>
      </c>
      <c r="H464" s="218"/>
      <c r="I464" s="220">
        <v>397946.34</v>
      </c>
      <c r="J464" s="217" t="s">
        <v>358</v>
      </c>
      <c r="K464" s="214">
        <v>2</v>
      </c>
    </row>
    <row r="465" spans="1:11" ht="12.75" customHeight="1" x14ac:dyDescent="0.25">
      <c r="A465" s="34" t="s">
        <v>53</v>
      </c>
      <c r="B465" s="89">
        <v>46125</v>
      </c>
      <c r="C465" s="46" t="s">
        <v>795</v>
      </c>
      <c r="D465" s="46" t="s">
        <v>238</v>
      </c>
      <c r="E465" s="46" t="s">
        <v>920</v>
      </c>
      <c r="F465" s="46" t="s">
        <v>920</v>
      </c>
      <c r="H465" s="218">
        <v>-28</v>
      </c>
      <c r="I465" s="220">
        <v>397918.34</v>
      </c>
      <c r="J465" s="217" t="s">
        <v>364</v>
      </c>
      <c r="K465" s="214">
        <v>-2</v>
      </c>
    </row>
    <row r="466" spans="1:11" ht="12.75" customHeight="1" x14ac:dyDescent="0.25">
      <c r="A466" s="34" t="s">
        <v>53</v>
      </c>
      <c r="B466" s="89">
        <v>46126</v>
      </c>
      <c r="C466" s="46" t="s">
        <v>796</v>
      </c>
      <c r="D466" s="46" t="s">
        <v>797</v>
      </c>
      <c r="E466" s="46" t="s">
        <v>254</v>
      </c>
      <c r="F466" s="46" t="s">
        <v>960</v>
      </c>
      <c r="H466" s="218">
        <v>-172.45</v>
      </c>
      <c r="I466" s="220">
        <v>397745.89</v>
      </c>
      <c r="J466" s="217" t="s">
        <v>360</v>
      </c>
      <c r="K466" s="214">
        <v>-2</v>
      </c>
    </row>
    <row r="467" spans="1:11" ht="12.75" customHeight="1" x14ac:dyDescent="0.25">
      <c r="A467" s="34" t="s">
        <v>68</v>
      </c>
      <c r="B467" s="89">
        <v>46126</v>
      </c>
      <c r="C467" s="46" t="s">
        <v>796</v>
      </c>
      <c r="D467" s="46" t="s">
        <v>797</v>
      </c>
      <c r="E467" s="46" t="s">
        <v>254</v>
      </c>
      <c r="F467" s="46" t="s">
        <v>960</v>
      </c>
      <c r="H467" s="218">
        <v>-172.45</v>
      </c>
      <c r="I467" s="220">
        <v>397573.44</v>
      </c>
      <c r="J467" s="217" t="s">
        <v>360</v>
      </c>
      <c r="K467" s="214">
        <v>-2</v>
      </c>
    </row>
    <row r="468" spans="1:11" ht="12.75" customHeight="1" x14ac:dyDescent="0.25">
      <c r="A468" s="34" t="s">
        <v>53</v>
      </c>
      <c r="B468" s="89">
        <v>46126</v>
      </c>
      <c r="C468" s="46" t="s">
        <v>798</v>
      </c>
      <c r="D468" s="46" t="s">
        <v>799</v>
      </c>
      <c r="E468" s="46" t="s">
        <v>799</v>
      </c>
      <c r="F468" s="46" t="s">
        <v>961</v>
      </c>
      <c r="G468" s="76">
        <v>240</v>
      </c>
      <c r="H468" s="218"/>
      <c r="I468" s="220">
        <v>397813.44</v>
      </c>
      <c r="J468" s="53" t="s">
        <v>360</v>
      </c>
      <c r="K468" s="214">
        <v>2</v>
      </c>
    </row>
    <row r="469" spans="1:11" ht="12.75" customHeight="1" x14ac:dyDescent="0.25">
      <c r="A469" s="34" t="s">
        <v>68</v>
      </c>
      <c r="B469" s="89">
        <v>46126</v>
      </c>
      <c r="C469" s="46" t="s">
        <v>798</v>
      </c>
      <c r="D469" s="46" t="s">
        <v>799</v>
      </c>
      <c r="E469" s="46" t="s">
        <v>799</v>
      </c>
      <c r="F469" s="46" t="s">
        <v>961</v>
      </c>
      <c r="G469" s="76">
        <v>228</v>
      </c>
      <c r="H469" s="218"/>
      <c r="I469" s="220">
        <v>398041.44</v>
      </c>
      <c r="J469" s="53" t="s">
        <v>360</v>
      </c>
      <c r="K469" s="214">
        <v>2</v>
      </c>
    </row>
    <row r="470" spans="1:11" ht="12.75" customHeight="1" x14ac:dyDescent="0.25">
      <c r="A470" s="34" t="s">
        <v>53</v>
      </c>
      <c r="B470" s="89">
        <v>46127</v>
      </c>
      <c r="C470" s="46" t="s">
        <v>800</v>
      </c>
      <c r="D470" s="46" t="s">
        <v>801</v>
      </c>
      <c r="E470" s="46" t="s">
        <v>187</v>
      </c>
      <c r="F470" s="46" t="s">
        <v>962</v>
      </c>
      <c r="H470" s="218">
        <v>-6.1</v>
      </c>
      <c r="I470" s="220">
        <v>398035.34</v>
      </c>
      <c r="J470" s="53" t="s">
        <v>360</v>
      </c>
      <c r="K470" s="214">
        <v>-2</v>
      </c>
    </row>
    <row r="471" spans="1:11" ht="12.75" customHeight="1" x14ac:dyDescent="0.25">
      <c r="A471" s="34" t="s">
        <v>53</v>
      </c>
      <c r="B471" s="89">
        <v>46127</v>
      </c>
      <c r="C471" s="46" t="s">
        <v>800</v>
      </c>
      <c r="D471" s="46" t="s">
        <v>801</v>
      </c>
      <c r="E471" s="46" t="s">
        <v>187</v>
      </c>
      <c r="F471" s="46" t="s">
        <v>963</v>
      </c>
      <c r="H471" s="218">
        <v>-55.82</v>
      </c>
      <c r="I471" s="220">
        <v>397979.52</v>
      </c>
      <c r="J471" s="53" t="s">
        <v>360</v>
      </c>
      <c r="K471" s="214">
        <v>-2</v>
      </c>
    </row>
    <row r="472" spans="1:11" ht="12.75" customHeight="1" x14ac:dyDescent="0.25">
      <c r="A472" s="34" t="s">
        <v>53</v>
      </c>
      <c r="B472" s="89">
        <v>46127</v>
      </c>
      <c r="C472" s="46" t="s">
        <v>800</v>
      </c>
      <c r="D472" s="46" t="s">
        <v>801</v>
      </c>
      <c r="E472" s="46" t="s">
        <v>187</v>
      </c>
      <c r="F472" s="46" t="s">
        <v>963</v>
      </c>
      <c r="H472" s="218">
        <v>-387.69</v>
      </c>
      <c r="I472" s="220">
        <v>397591.83</v>
      </c>
      <c r="J472" s="53" t="s">
        <v>360</v>
      </c>
      <c r="K472" s="214">
        <v>-2</v>
      </c>
    </row>
    <row r="473" spans="1:11" ht="12.75" customHeight="1" x14ac:dyDescent="0.25">
      <c r="A473" s="34" t="s">
        <v>53</v>
      </c>
      <c r="B473" s="89">
        <v>46127</v>
      </c>
      <c r="C473" s="46" t="s">
        <v>800</v>
      </c>
      <c r="D473" s="46" t="s">
        <v>801</v>
      </c>
      <c r="E473" s="46" t="s">
        <v>187</v>
      </c>
      <c r="F473" s="46" t="s">
        <v>962</v>
      </c>
      <c r="H473" s="218">
        <v>-26.46</v>
      </c>
      <c r="I473" s="220">
        <v>397565.37</v>
      </c>
      <c r="J473" s="53" t="s">
        <v>360</v>
      </c>
      <c r="K473" s="214">
        <v>-2</v>
      </c>
    </row>
    <row r="474" spans="1:11" ht="12.75" customHeight="1" x14ac:dyDescent="0.25">
      <c r="A474" s="34" t="s">
        <v>53</v>
      </c>
      <c r="B474" s="89">
        <v>46127</v>
      </c>
      <c r="C474" s="46" t="s">
        <v>800</v>
      </c>
      <c r="D474" s="46" t="s">
        <v>801</v>
      </c>
      <c r="E474" s="46" t="s">
        <v>187</v>
      </c>
      <c r="F474" s="46" t="s">
        <v>963</v>
      </c>
      <c r="H474" s="218">
        <v>-32.18</v>
      </c>
      <c r="I474" s="220">
        <v>397533.19</v>
      </c>
      <c r="J474" s="217" t="s">
        <v>360</v>
      </c>
      <c r="K474" s="214">
        <v>-2</v>
      </c>
    </row>
    <row r="475" spans="1:11" ht="12.75" customHeight="1" x14ac:dyDescent="0.25">
      <c r="A475" s="34" t="s">
        <v>53</v>
      </c>
      <c r="B475" s="89">
        <v>46127</v>
      </c>
      <c r="C475" s="46" t="s">
        <v>800</v>
      </c>
      <c r="D475" s="46" t="s">
        <v>801</v>
      </c>
      <c r="E475" s="46" t="s">
        <v>187</v>
      </c>
      <c r="F475" s="46" t="s">
        <v>962</v>
      </c>
      <c r="H475" s="218">
        <v>-1.91</v>
      </c>
      <c r="I475" s="220">
        <v>397531.28</v>
      </c>
      <c r="J475" s="217" t="s">
        <v>360</v>
      </c>
      <c r="K475" s="214">
        <v>-2</v>
      </c>
    </row>
    <row r="476" spans="1:11" ht="12.75" customHeight="1" x14ac:dyDescent="0.25">
      <c r="A476" s="34" t="s">
        <v>53</v>
      </c>
      <c r="B476" s="89">
        <v>46127</v>
      </c>
      <c r="C476" s="46" t="s">
        <v>800</v>
      </c>
      <c r="D476" s="46" t="s">
        <v>801</v>
      </c>
      <c r="E476" s="46" t="s">
        <v>187</v>
      </c>
      <c r="F476" s="46" t="s">
        <v>962</v>
      </c>
      <c r="H476" s="218">
        <v>-1.06</v>
      </c>
      <c r="I476" s="220">
        <v>397530.22</v>
      </c>
      <c r="J476" s="217" t="s">
        <v>360</v>
      </c>
      <c r="K476" s="214">
        <v>-2</v>
      </c>
    </row>
    <row r="477" spans="1:11" ht="12.75" customHeight="1" x14ac:dyDescent="0.25">
      <c r="A477" s="34" t="s">
        <v>53</v>
      </c>
      <c r="B477" s="89">
        <v>46127</v>
      </c>
      <c r="C477" s="46" t="s">
        <v>800</v>
      </c>
      <c r="D477" s="46" t="s">
        <v>801</v>
      </c>
      <c r="E477" s="46" t="s">
        <v>187</v>
      </c>
      <c r="F477" s="46" t="s">
        <v>963</v>
      </c>
      <c r="G477" s="76">
        <v>20.55</v>
      </c>
      <c r="H477" s="218"/>
      <c r="I477" s="220">
        <v>397550.77</v>
      </c>
      <c r="J477" s="217" t="s">
        <v>360</v>
      </c>
      <c r="K477" s="214">
        <v>-2</v>
      </c>
    </row>
    <row r="478" spans="1:11" ht="12.75" customHeight="1" x14ac:dyDescent="0.25">
      <c r="A478" s="34" t="s">
        <v>53</v>
      </c>
      <c r="B478" s="89">
        <v>46127</v>
      </c>
      <c r="C478" s="46" t="s">
        <v>800</v>
      </c>
      <c r="D478" s="46" t="s">
        <v>801</v>
      </c>
      <c r="E478" s="46" t="s">
        <v>187</v>
      </c>
      <c r="F478" s="46" t="s">
        <v>962</v>
      </c>
      <c r="G478" s="76">
        <v>1.54</v>
      </c>
      <c r="H478" s="218"/>
      <c r="I478" s="220">
        <v>397552.31</v>
      </c>
      <c r="J478" s="217" t="s">
        <v>360</v>
      </c>
      <c r="K478" s="214">
        <v>-2</v>
      </c>
    </row>
    <row r="479" spans="1:11" ht="12.75" customHeight="1" x14ac:dyDescent="0.25">
      <c r="A479" s="34" t="s">
        <v>53</v>
      </c>
      <c r="B479" s="89">
        <v>46127</v>
      </c>
      <c r="C479" s="46" t="s">
        <v>800</v>
      </c>
      <c r="D479" s="46" t="s">
        <v>801</v>
      </c>
      <c r="E479" s="46" t="s">
        <v>187</v>
      </c>
      <c r="F479" s="46" t="s">
        <v>963</v>
      </c>
      <c r="G479" s="76">
        <v>2.04</v>
      </c>
      <c r="H479" s="218"/>
      <c r="I479" s="220">
        <v>397554.35</v>
      </c>
      <c r="J479" s="217" t="s">
        <v>360</v>
      </c>
      <c r="K479" s="214">
        <v>-2</v>
      </c>
    </row>
    <row r="480" spans="1:11" ht="12.75" customHeight="1" x14ac:dyDescent="0.25">
      <c r="A480" s="34" t="s">
        <v>53</v>
      </c>
      <c r="B480" s="89">
        <v>46127</v>
      </c>
      <c r="C480" s="46" t="s">
        <v>800</v>
      </c>
      <c r="D480" s="46" t="s">
        <v>801</v>
      </c>
      <c r="E480" s="46" t="s">
        <v>187</v>
      </c>
      <c r="F480" s="46" t="s">
        <v>963</v>
      </c>
      <c r="G480" s="76">
        <v>2.19</v>
      </c>
      <c r="H480" s="218"/>
      <c r="I480" s="220">
        <v>397556.54</v>
      </c>
      <c r="J480" s="217" t="s">
        <v>360</v>
      </c>
      <c r="K480" s="214">
        <v>-2</v>
      </c>
    </row>
    <row r="481" spans="1:11" ht="12.75" customHeight="1" x14ac:dyDescent="0.25">
      <c r="A481" s="34" t="s">
        <v>53</v>
      </c>
      <c r="B481" s="89">
        <v>46127</v>
      </c>
      <c r="C481" s="46" t="s">
        <v>800</v>
      </c>
      <c r="D481" s="46" t="s">
        <v>801</v>
      </c>
      <c r="E481" s="46" t="s">
        <v>187</v>
      </c>
      <c r="F481" s="46" t="s">
        <v>963</v>
      </c>
      <c r="G481" s="76">
        <v>0.15</v>
      </c>
      <c r="H481" s="218"/>
      <c r="I481" s="220">
        <v>397556.69</v>
      </c>
      <c r="J481" s="217" t="s">
        <v>360</v>
      </c>
      <c r="K481" s="214">
        <v>-2</v>
      </c>
    </row>
    <row r="482" spans="1:11" ht="12.75" customHeight="1" x14ac:dyDescent="0.25">
      <c r="A482" s="34" t="s">
        <v>68</v>
      </c>
      <c r="B482" s="89">
        <v>46127</v>
      </c>
      <c r="C482" s="46" t="s">
        <v>800</v>
      </c>
      <c r="D482" s="46" t="s">
        <v>801</v>
      </c>
      <c r="E482" s="46" t="s">
        <v>187</v>
      </c>
      <c r="F482" s="46" t="s">
        <v>963</v>
      </c>
      <c r="H482" s="218">
        <v>-6.07</v>
      </c>
      <c r="I482" s="220">
        <v>397550.62</v>
      </c>
      <c r="J482" s="217" t="s">
        <v>360</v>
      </c>
      <c r="K482" s="214">
        <v>-2</v>
      </c>
    </row>
    <row r="483" spans="1:11" ht="12.75" customHeight="1" x14ac:dyDescent="0.25">
      <c r="A483" s="34" t="s">
        <v>68</v>
      </c>
      <c r="B483" s="89">
        <v>46127</v>
      </c>
      <c r="C483" s="46" t="s">
        <v>800</v>
      </c>
      <c r="D483" s="46" t="s">
        <v>801</v>
      </c>
      <c r="E483" s="46" t="s">
        <v>187</v>
      </c>
      <c r="F483" s="46" t="s">
        <v>963</v>
      </c>
      <c r="H483" s="218">
        <v>-53.6</v>
      </c>
      <c r="I483" s="220">
        <v>397497.02</v>
      </c>
      <c r="J483" s="217" t="s">
        <v>360</v>
      </c>
      <c r="K483" s="214">
        <v>-2</v>
      </c>
    </row>
    <row r="484" spans="1:11" ht="12.75" customHeight="1" x14ac:dyDescent="0.25">
      <c r="A484" s="34" t="s">
        <v>68</v>
      </c>
      <c r="B484" s="89">
        <v>46127</v>
      </c>
      <c r="C484" s="46" t="s">
        <v>800</v>
      </c>
      <c r="D484" s="46" t="s">
        <v>801</v>
      </c>
      <c r="E484" s="46" t="s">
        <v>187</v>
      </c>
      <c r="F484" s="46" t="s">
        <v>963</v>
      </c>
      <c r="H484" s="218">
        <v>-387.69</v>
      </c>
      <c r="I484" s="220">
        <v>397109.33</v>
      </c>
      <c r="J484" s="217" t="s">
        <v>360</v>
      </c>
      <c r="K484" s="214">
        <v>-2</v>
      </c>
    </row>
    <row r="485" spans="1:11" ht="12.75" customHeight="1" x14ac:dyDescent="0.25">
      <c r="A485" s="34" t="s">
        <v>68</v>
      </c>
      <c r="B485" s="89">
        <v>46127</v>
      </c>
      <c r="C485" s="46" t="s">
        <v>800</v>
      </c>
      <c r="D485" s="46" t="s">
        <v>801</v>
      </c>
      <c r="E485" s="46" t="s">
        <v>187</v>
      </c>
      <c r="F485" s="46" t="s">
        <v>963</v>
      </c>
      <c r="H485" s="218">
        <v>-32.020000000000003</v>
      </c>
      <c r="I485" s="220">
        <v>397077.31</v>
      </c>
      <c r="J485" s="217" t="s">
        <v>360</v>
      </c>
      <c r="K485" s="214">
        <v>-2</v>
      </c>
    </row>
    <row r="486" spans="1:11" ht="12.75" customHeight="1" x14ac:dyDescent="0.25">
      <c r="A486" s="34" t="s">
        <v>68</v>
      </c>
      <c r="B486" s="89">
        <v>46127</v>
      </c>
      <c r="C486" s="46" t="s">
        <v>800</v>
      </c>
      <c r="D486" s="46" t="s">
        <v>801</v>
      </c>
      <c r="E486" s="46" t="s">
        <v>187</v>
      </c>
      <c r="F486" s="46" t="s">
        <v>963</v>
      </c>
      <c r="G486" s="76">
        <v>20.43</v>
      </c>
      <c r="H486" s="218"/>
      <c r="I486" s="220">
        <v>397097.74</v>
      </c>
      <c r="J486" s="217" t="s">
        <v>360</v>
      </c>
      <c r="K486" s="214">
        <v>-2</v>
      </c>
    </row>
    <row r="487" spans="1:11" ht="12.75" customHeight="1" x14ac:dyDescent="0.25">
      <c r="A487" s="34" t="s">
        <v>68</v>
      </c>
      <c r="B487" s="89">
        <v>46127</v>
      </c>
      <c r="C487" s="46" t="s">
        <v>800</v>
      </c>
      <c r="D487" s="46" t="s">
        <v>801</v>
      </c>
      <c r="E487" s="46" t="s">
        <v>187</v>
      </c>
      <c r="F487" s="46" t="s">
        <v>963</v>
      </c>
      <c r="G487" s="76">
        <v>2.04</v>
      </c>
      <c r="H487" s="218"/>
      <c r="I487" s="220">
        <v>397099.78</v>
      </c>
      <c r="J487" s="217" t="s">
        <v>360</v>
      </c>
      <c r="K487" s="214">
        <v>-2</v>
      </c>
    </row>
    <row r="488" spans="1:11" ht="12.75" customHeight="1" x14ac:dyDescent="0.25">
      <c r="A488" s="34" t="s">
        <v>68</v>
      </c>
      <c r="B488" s="89">
        <v>46127</v>
      </c>
      <c r="C488" s="46" t="s">
        <v>800</v>
      </c>
      <c r="D488" s="46" t="s">
        <v>801</v>
      </c>
      <c r="E488" s="46" t="s">
        <v>187</v>
      </c>
      <c r="F488" s="46" t="s">
        <v>963</v>
      </c>
      <c r="G488" s="76">
        <v>2.17</v>
      </c>
      <c r="H488" s="218"/>
      <c r="I488" s="220">
        <v>397101.95</v>
      </c>
      <c r="J488" s="217" t="s">
        <v>360</v>
      </c>
      <c r="K488" s="214">
        <v>-2</v>
      </c>
    </row>
    <row r="489" spans="1:11" ht="12.75" customHeight="1" x14ac:dyDescent="0.25">
      <c r="A489" s="34" t="s">
        <v>68</v>
      </c>
      <c r="B489" s="89">
        <v>46127</v>
      </c>
      <c r="C489" s="46" t="s">
        <v>800</v>
      </c>
      <c r="D489" s="46" t="s">
        <v>801</v>
      </c>
      <c r="E489" s="46" t="s">
        <v>187</v>
      </c>
      <c r="F489" s="46" t="s">
        <v>963</v>
      </c>
      <c r="G489" s="76">
        <v>0.14000000000000001</v>
      </c>
      <c r="H489" s="218"/>
      <c r="I489" s="220">
        <v>397102.09</v>
      </c>
      <c r="J489" s="217" t="s">
        <v>360</v>
      </c>
      <c r="K489" s="214">
        <v>-2</v>
      </c>
    </row>
    <row r="490" spans="1:11" ht="12.75" customHeight="1" x14ac:dyDescent="0.25">
      <c r="A490" s="34" t="s">
        <v>53</v>
      </c>
      <c r="B490" s="89">
        <v>46127</v>
      </c>
      <c r="C490" s="46" t="s">
        <v>802</v>
      </c>
      <c r="D490" s="46" t="s">
        <v>55</v>
      </c>
      <c r="E490" s="46" t="s">
        <v>67</v>
      </c>
      <c r="F490" s="46" t="s">
        <v>22</v>
      </c>
      <c r="G490" s="76">
        <v>48.96</v>
      </c>
      <c r="H490" s="218"/>
      <c r="I490" s="220">
        <v>397151.05</v>
      </c>
      <c r="J490" s="217" t="s">
        <v>359</v>
      </c>
      <c r="K490" s="214">
        <v>2</v>
      </c>
    </row>
    <row r="491" spans="1:11" ht="12.75" customHeight="1" x14ac:dyDescent="0.25">
      <c r="A491" s="34" t="s">
        <v>53</v>
      </c>
      <c r="B491" s="89">
        <v>46127</v>
      </c>
      <c r="C491" s="46" t="s">
        <v>802</v>
      </c>
      <c r="D491" s="46" t="s">
        <v>55</v>
      </c>
      <c r="E491" s="46" t="s">
        <v>67</v>
      </c>
      <c r="F491" s="46" t="s">
        <v>22</v>
      </c>
      <c r="G491" s="76">
        <v>1000</v>
      </c>
      <c r="H491" s="218"/>
      <c r="I491" s="220">
        <v>398151.05</v>
      </c>
      <c r="J491" s="217" t="s">
        <v>359</v>
      </c>
      <c r="K491" s="214">
        <v>2</v>
      </c>
    </row>
    <row r="492" spans="1:11" ht="12.75" customHeight="1" x14ac:dyDescent="0.25">
      <c r="A492" s="34" t="s">
        <v>53</v>
      </c>
      <c r="B492" s="89">
        <v>46127</v>
      </c>
      <c r="C492" s="46" t="s">
        <v>803</v>
      </c>
      <c r="D492" s="46" t="s">
        <v>804</v>
      </c>
      <c r="E492" s="46" t="s">
        <v>804</v>
      </c>
      <c r="F492" s="46" t="s">
        <v>804</v>
      </c>
      <c r="H492" s="218">
        <v>-256500</v>
      </c>
      <c r="I492" s="220">
        <v>141651.04999999999</v>
      </c>
      <c r="J492" s="217" t="s">
        <v>360</v>
      </c>
      <c r="K492" s="214">
        <v>-2</v>
      </c>
    </row>
    <row r="493" spans="1:11" ht="12.75" customHeight="1" x14ac:dyDescent="0.25">
      <c r="A493" s="34" t="s">
        <v>68</v>
      </c>
      <c r="B493" s="89">
        <v>46128</v>
      </c>
      <c r="C493" s="46" t="s">
        <v>805</v>
      </c>
      <c r="D493" s="46" t="s">
        <v>806</v>
      </c>
      <c r="E493" s="46" t="s">
        <v>254</v>
      </c>
      <c r="F493" s="46" t="s">
        <v>964</v>
      </c>
      <c r="H493" s="218">
        <v>-175</v>
      </c>
      <c r="I493" s="220">
        <v>141476.04999999999</v>
      </c>
      <c r="J493" s="53" t="s">
        <v>358</v>
      </c>
      <c r="K493" s="214">
        <v>-2</v>
      </c>
    </row>
    <row r="494" spans="1:11" ht="12.75" customHeight="1" x14ac:dyDescent="0.25">
      <c r="A494" s="34" t="s">
        <v>53</v>
      </c>
      <c r="B494" s="89">
        <v>46128</v>
      </c>
      <c r="C494" s="46" t="s">
        <v>807</v>
      </c>
      <c r="D494" s="46" t="s">
        <v>808</v>
      </c>
      <c r="E494" s="46" t="s">
        <v>921</v>
      </c>
      <c r="F494" s="46" t="s">
        <v>965</v>
      </c>
      <c r="H494" s="218">
        <v>-674.53</v>
      </c>
      <c r="I494" s="220">
        <v>140801.51999999999</v>
      </c>
      <c r="J494" s="53" t="s">
        <v>358</v>
      </c>
      <c r="K494" s="214">
        <v>-2</v>
      </c>
    </row>
    <row r="495" spans="1:11" ht="12.75" customHeight="1" x14ac:dyDescent="0.25">
      <c r="A495" s="34" t="s">
        <v>68</v>
      </c>
      <c r="B495" s="89">
        <v>46128</v>
      </c>
      <c r="C495" s="46" t="s">
        <v>809</v>
      </c>
      <c r="D495" s="46" t="s">
        <v>810</v>
      </c>
      <c r="E495" s="46" t="s">
        <v>177</v>
      </c>
      <c r="F495" s="46" t="s">
        <v>20</v>
      </c>
      <c r="G495" s="76">
        <v>7.0000000000000007E-2</v>
      </c>
      <c r="H495" s="218"/>
      <c r="I495" s="220">
        <v>140801.59</v>
      </c>
      <c r="J495" s="53" t="s">
        <v>358</v>
      </c>
      <c r="K495" s="214">
        <v>2</v>
      </c>
    </row>
    <row r="496" spans="1:11" ht="12.75" customHeight="1" x14ac:dyDescent="0.25">
      <c r="A496" s="34" t="s">
        <v>68</v>
      </c>
      <c r="B496" s="89">
        <v>46128</v>
      </c>
      <c r="C496" s="46" t="s">
        <v>809</v>
      </c>
      <c r="D496" s="46" t="s">
        <v>810</v>
      </c>
      <c r="E496" s="46" t="s">
        <v>177</v>
      </c>
      <c r="F496" s="46" t="s">
        <v>20</v>
      </c>
      <c r="G496" s="76">
        <v>1020</v>
      </c>
      <c r="H496" s="218"/>
      <c r="I496" s="220">
        <v>141821.59</v>
      </c>
      <c r="J496" s="53" t="s">
        <v>358</v>
      </c>
      <c r="K496" s="214">
        <v>2</v>
      </c>
    </row>
    <row r="497" spans="1:11" ht="12.75" customHeight="1" x14ac:dyDescent="0.25">
      <c r="A497" s="34" t="s">
        <v>68</v>
      </c>
      <c r="B497" s="89">
        <v>46128</v>
      </c>
      <c r="C497" s="46" t="s">
        <v>809</v>
      </c>
      <c r="D497" s="46" t="s">
        <v>810</v>
      </c>
      <c r="E497" s="46" t="s">
        <v>177</v>
      </c>
      <c r="F497" s="46" t="s">
        <v>20</v>
      </c>
      <c r="G497" s="76">
        <v>49.52</v>
      </c>
      <c r="H497" s="218"/>
      <c r="I497" s="220">
        <v>141871.10999999999</v>
      </c>
      <c r="J497" s="53" t="s">
        <v>358</v>
      </c>
      <c r="K497" s="214">
        <v>2</v>
      </c>
    </row>
    <row r="498" spans="1:11" ht="12.75" customHeight="1" x14ac:dyDescent="0.25">
      <c r="A498" s="34" t="s">
        <v>68</v>
      </c>
      <c r="B498" s="89">
        <v>46128</v>
      </c>
      <c r="C498" s="46" t="s">
        <v>811</v>
      </c>
      <c r="D498" s="46" t="s">
        <v>812</v>
      </c>
      <c r="E498" s="46" t="s">
        <v>177</v>
      </c>
      <c r="F498" s="46" t="s">
        <v>20</v>
      </c>
      <c r="G498" s="76">
        <v>50</v>
      </c>
      <c r="H498" s="218"/>
      <c r="I498" s="220">
        <v>141921.10999999999</v>
      </c>
      <c r="J498" s="53" t="s">
        <v>358</v>
      </c>
      <c r="K498" s="214">
        <v>2</v>
      </c>
    </row>
    <row r="499" spans="1:11" ht="12.75" customHeight="1" x14ac:dyDescent="0.25">
      <c r="A499" s="34" t="s">
        <v>68</v>
      </c>
      <c r="B499" s="89">
        <v>46128</v>
      </c>
      <c r="C499" s="46" t="s">
        <v>811</v>
      </c>
      <c r="D499" s="46" t="s">
        <v>812</v>
      </c>
      <c r="E499" s="46" t="s">
        <v>177</v>
      </c>
      <c r="F499" s="46" t="s">
        <v>20</v>
      </c>
      <c r="G499" s="76">
        <v>1020</v>
      </c>
      <c r="H499" s="218"/>
      <c r="I499" s="220">
        <v>142941.10999999999</v>
      </c>
      <c r="J499" s="53" t="s">
        <v>358</v>
      </c>
      <c r="K499" s="214">
        <v>2</v>
      </c>
    </row>
    <row r="500" spans="1:11" ht="12.75" customHeight="1" x14ac:dyDescent="0.25">
      <c r="A500" s="34" t="s">
        <v>68</v>
      </c>
      <c r="B500" s="89">
        <v>46128</v>
      </c>
      <c r="C500" s="46" t="s">
        <v>811</v>
      </c>
      <c r="D500" s="46" t="s">
        <v>812</v>
      </c>
      <c r="E500" s="46" t="s">
        <v>177</v>
      </c>
      <c r="F500" s="46" t="s">
        <v>20</v>
      </c>
      <c r="G500" s="76">
        <v>49.52</v>
      </c>
      <c r="H500" s="218"/>
      <c r="I500" s="220">
        <v>142990.63</v>
      </c>
      <c r="J500" s="53" t="s">
        <v>358</v>
      </c>
      <c r="K500" s="214">
        <v>2</v>
      </c>
    </row>
    <row r="501" spans="1:11" ht="12.75" customHeight="1" x14ac:dyDescent="0.25">
      <c r="A501" s="34" t="s">
        <v>68</v>
      </c>
      <c r="B501" s="89">
        <v>46128</v>
      </c>
      <c r="C501" s="46" t="s">
        <v>811</v>
      </c>
      <c r="D501" s="46" t="s">
        <v>812</v>
      </c>
      <c r="E501" s="46" t="s">
        <v>177</v>
      </c>
      <c r="F501" s="46" t="s">
        <v>20</v>
      </c>
      <c r="G501" s="76">
        <v>50</v>
      </c>
      <c r="H501" s="218"/>
      <c r="I501" s="220">
        <v>143040.63</v>
      </c>
      <c r="J501" s="53" t="s">
        <v>358</v>
      </c>
      <c r="K501" s="214">
        <v>2</v>
      </c>
    </row>
    <row r="502" spans="1:11" ht="12.75" customHeight="1" x14ac:dyDescent="0.25">
      <c r="A502" s="34" t="s">
        <v>68</v>
      </c>
      <c r="B502" s="89">
        <v>46128</v>
      </c>
      <c r="C502" s="46" t="s">
        <v>811</v>
      </c>
      <c r="D502" s="46" t="s">
        <v>812</v>
      </c>
      <c r="E502" s="46" t="s">
        <v>177</v>
      </c>
      <c r="F502" s="46" t="s">
        <v>20</v>
      </c>
      <c r="G502" s="76">
        <v>669.59</v>
      </c>
      <c r="H502" s="218"/>
      <c r="I502" s="220">
        <v>143710.22</v>
      </c>
      <c r="J502" s="53" t="s">
        <v>358</v>
      </c>
      <c r="K502" s="214">
        <v>2</v>
      </c>
    </row>
    <row r="503" spans="1:11" ht="12.75" customHeight="1" x14ac:dyDescent="0.25">
      <c r="A503" s="34" t="s">
        <v>68</v>
      </c>
      <c r="B503" s="89">
        <v>46128</v>
      </c>
      <c r="C503" s="46" t="s">
        <v>811</v>
      </c>
      <c r="D503" s="46" t="s">
        <v>812</v>
      </c>
      <c r="E503" s="46" t="s">
        <v>177</v>
      </c>
      <c r="F503" s="46" t="s">
        <v>20</v>
      </c>
      <c r="G503" s="76">
        <v>74.930000000000007</v>
      </c>
      <c r="H503" s="218"/>
      <c r="I503" s="220">
        <v>143785.15</v>
      </c>
      <c r="J503" s="53" t="s">
        <v>358</v>
      </c>
      <c r="K503" s="214">
        <v>2</v>
      </c>
    </row>
    <row r="504" spans="1:11" ht="12.75" customHeight="1" x14ac:dyDescent="0.25">
      <c r="A504" s="34" t="s">
        <v>68</v>
      </c>
      <c r="B504" s="89">
        <v>46128</v>
      </c>
      <c r="C504" s="46" t="s">
        <v>811</v>
      </c>
      <c r="D504" s="46" t="s">
        <v>812</v>
      </c>
      <c r="E504" s="46" t="s">
        <v>177</v>
      </c>
      <c r="F504" s="46" t="s">
        <v>20</v>
      </c>
      <c r="G504" s="76">
        <v>75</v>
      </c>
      <c r="H504" s="218"/>
      <c r="I504" s="220">
        <v>143860.15</v>
      </c>
      <c r="J504" s="217" t="s">
        <v>358</v>
      </c>
      <c r="K504" s="214">
        <v>2</v>
      </c>
    </row>
    <row r="505" spans="1:11" ht="12.75" customHeight="1" x14ac:dyDescent="0.25">
      <c r="A505" s="34" t="s">
        <v>68</v>
      </c>
      <c r="B505" s="89">
        <v>46128</v>
      </c>
      <c r="C505" s="46" t="s">
        <v>811</v>
      </c>
      <c r="D505" s="46" t="s">
        <v>812</v>
      </c>
      <c r="E505" s="46" t="s">
        <v>177</v>
      </c>
      <c r="F505" s="46" t="s">
        <v>20</v>
      </c>
      <c r="G505" s="76">
        <v>75</v>
      </c>
      <c r="H505" s="218"/>
      <c r="I505" s="220">
        <v>143935.15</v>
      </c>
      <c r="J505" s="217" t="s">
        <v>358</v>
      </c>
      <c r="K505" s="214">
        <v>2</v>
      </c>
    </row>
    <row r="506" spans="1:11" ht="12.75" customHeight="1" x14ac:dyDescent="0.25">
      <c r="A506" s="34" t="s">
        <v>68</v>
      </c>
      <c r="B506" s="89">
        <v>46128</v>
      </c>
      <c r="C506" s="46" t="s">
        <v>811</v>
      </c>
      <c r="D506" s="46" t="s">
        <v>812</v>
      </c>
      <c r="E506" s="46" t="s">
        <v>177</v>
      </c>
      <c r="F506" s="46" t="s">
        <v>20</v>
      </c>
      <c r="G506" s="76">
        <v>75</v>
      </c>
      <c r="H506" s="218"/>
      <c r="I506" s="220">
        <v>144010.15</v>
      </c>
      <c r="J506" s="217" t="s">
        <v>358</v>
      </c>
      <c r="K506" s="214">
        <v>2</v>
      </c>
    </row>
    <row r="507" spans="1:11" ht="12.75" customHeight="1" x14ac:dyDescent="0.25">
      <c r="A507" s="34" t="s">
        <v>53</v>
      </c>
      <c r="B507" s="89">
        <v>46129</v>
      </c>
      <c r="C507" s="46" t="s">
        <v>813</v>
      </c>
      <c r="D507" s="46" t="s">
        <v>814</v>
      </c>
      <c r="E507" s="46" t="s">
        <v>254</v>
      </c>
      <c r="F507" s="46" t="s">
        <v>966</v>
      </c>
      <c r="H507" s="218">
        <v>-2.08</v>
      </c>
      <c r="I507" s="220">
        <v>144008.07</v>
      </c>
      <c r="J507" s="217" t="s">
        <v>357</v>
      </c>
      <c r="K507" s="214">
        <v>-2</v>
      </c>
    </row>
    <row r="508" spans="1:11" ht="12.75" customHeight="1" x14ac:dyDescent="0.25">
      <c r="A508" s="34" t="s">
        <v>53</v>
      </c>
      <c r="B508" s="89">
        <v>46129</v>
      </c>
      <c r="C508" s="46" t="s">
        <v>813</v>
      </c>
      <c r="D508" s="46" t="s">
        <v>814</v>
      </c>
      <c r="E508" s="46" t="s">
        <v>254</v>
      </c>
      <c r="F508" s="46" t="s">
        <v>966</v>
      </c>
      <c r="H508" s="218">
        <v>-1.69</v>
      </c>
      <c r="I508" s="220">
        <v>144006.38</v>
      </c>
      <c r="J508" s="217" t="s">
        <v>357</v>
      </c>
      <c r="K508" s="214">
        <v>-2</v>
      </c>
    </row>
    <row r="509" spans="1:11" ht="12.75" customHeight="1" x14ac:dyDescent="0.25">
      <c r="A509" s="34" t="s">
        <v>68</v>
      </c>
      <c r="B509" s="89">
        <v>46129</v>
      </c>
      <c r="C509" s="46" t="s">
        <v>813</v>
      </c>
      <c r="D509" s="46" t="s">
        <v>814</v>
      </c>
      <c r="E509" s="46" t="s">
        <v>254</v>
      </c>
      <c r="F509" s="46" t="s">
        <v>966</v>
      </c>
      <c r="H509" s="218">
        <v>-3.74</v>
      </c>
      <c r="I509" s="220">
        <v>144002.64000000001</v>
      </c>
      <c r="J509" s="217" t="s">
        <v>357</v>
      </c>
      <c r="K509" s="214">
        <v>-2</v>
      </c>
    </row>
    <row r="510" spans="1:11" ht="12.75" customHeight="1" x14ac:dyDescent="0.25">
      <c r="A510" s="34" t="s">
        <v>68</v>
      </c>
      <c r="B510" s="89">
        <v>46129</v>
      </c>
      <c r="C510" s="46" t="s">
        <v>813</v>
      </c>
      <c r="D510" s="46" t="s">
        <v>814</v>
      </c>
      <c r="E510" s="46" t="s">
        <v>254</v>
      </c>
      <c r="F510" s="46" t="s">
        <v>966</v>
      </c>
      <c r="H510" s="218">
        <v>-2.79</v>
      </c>
      <c r="I510" s="220">
        <v>143999.85</v>
      </c>
      <c r="J510" s="217" t="s">
        <v>357</v>
      </c>
      <c r="K510" s="214">
        <v>-2</v>
      </c>
    </row>
    <row r="511" spans="1:11" ht="12.75" customHeight="1" x14ac:dyDescent="0.25">
      <c r="A511" s="34" t="s">
        <v>53</v>
      </c>
      <c r="B511" s="89">
        <v>46129</v>
      </c>
      <c r="C511" s="46" t="s">
        <v>815</v>
      </c>
      <c r="D511" s="46" t="s">
        <v>816</v>
      </c>
      <c r="E511" s="46" t="s">
        <v>922</v>
      </c>
      <c r="F511" s="46" t="s">
        <v>967</v>
      </c>
      <c r="G511" s="76">
        <v>40</v>
      </c>
      <c r="H511" s="218"/>
      <c r="I511" s="220">
        <v>144039.85</v>
      </c>
      <c r="J511" s="217" t="s">
        <v>354</v>
      </c>
      <c r="K511" s="214">
        <v>2</v>
      </c>
    </row>
    <row r="512" spans="1:11" ht="12.75" customHeight="1" x14ac:dyDescent="0.25">
      <c r="A512" s="34" t="s">
        <v>53</v>
      </c>
      <c r="B512" s="89">
        <v>46129</v>
      </c>
      <c r="C512" s="46" t="s">
        <v>815</v>
      </c>
      <c r="D512" s="46" t="s">
        <v>816</v>
      </c>
      <c r="E512" s="46" t="s">
        <v>922</v>
      </c>
      <c r="F512" s="46" t="s">
        <v>967</v>
      </c>
      <c r="G512" s="76">
        <v>40</v>
      </c>
      <c r="H512" s="218"/>
      <c r="I512" s="220">
        <v>144079.85</v>
      </c>
      <c r="J512" s="217" t="s">
        <v>354</v>
      </c>
      <c r="K512" s="214">
        <v>2</v>
      </c>
    </row>
    <row r="513" spans="1:11" ht="12.75" customHeight="1" x14ac:dyDescent="0.25">
      <c r="A513" s="34" t="s">
        <v>53</v>
      </c>
      <c r="B513" s="89">
        <v>46129</v>
      </c>
      <c r="C513" s="46" t="s">
        <v>815</v>
      </c>
      <c r="D513" s="46" t="s">
        <v>816</v>
      </c>
      <c r="E513" s="46" t="s">
        <v>922</v>
      </c>
      <c r="F513" s="46" t="s">
        <v>967</v>
      </c>
      <c r="G513" s="76">
        <v>40</v>
      </c>
      <c r="H513" s="218"/>
      <c r="I513" s="220">
        <v>144119.85</v>
      </c>
      <c r="J513" s="217" t="s">
        <v>354</v>
      </c>
      <c r="K513" s="214">
        <v>2</v>
      </c>
    </row>
    <row r="514" spans="1:11" ht="12.75" customHeight="1" x14ac:dyDescent="0.25">
      <c r="A514" s="34" t="s">
        <v>53</v>
      </c>
      <c r="B514" s="89">
        <v>46129</v>
      </c>
      <c r="C514" s="46" t="s">
        <v>815</v>
      </c>
      <c r="D514" s="46" t="s">
        <v>816</v>
      </c>
      <c r="E514" s="46" t="s">
        <v>922</v>
      </c>
      <c r="F514" s="46" t="s">
        <v>967</v>
      </c>
      <c r="G514" s="76">
        <v>40</v>
      </c>
      <c r="H514" s="218"/>
      <c r="I514" s="220">
        <v>144159.85</v>
      </c>
      <c r="J514" s="217" t="s">
        <v>354</v>
      </c>
      <c r="K514" s="214">
        <v>2</v>
      </c>
    </row>
    <row r="515" spans="1:11" ht="12.75" customHeight="1" x14ac:dyDescent="0.25">
      <c r="A515" s="34" t="s">
        <v>53</v>
      </c>
      <c r="B515" s="89">
        <v>46129</v>
      </c>
      <c r="C515" s="46" t="s">
        <v>817</v>
      </c>
      <c r="D515" s="46" t="s">
        <v>818</v>
      </c>
      <c r="E515" s="46" t="s">
        <v>923</v>
      </c>
      <c r="F515" s="46" t="s">
        <v>968</v>
      </c>
      <c r="G515" s="76">
        <v>40</v>
      </c>
      <c r="H515" s="218"/>
      <c r="I515" s="220">
        <v>144199.85</v>
      </c>
      <c r="J515" s="53" t="s">
        <v>354</v>
      </c>
      <c r="K515" s="214">
        <v>2</v>
      </c>
    </row>
    <row r="516" spans="1:11" ht="12.75" customHeight="1" x14ac:dyDescent="0.25">
      <c r="A516" s="34" t="s">
        <v>68</v>
      </c>
      <c r="B516" s="89">
        <v>46132</v>
      </c>
      <c r="C516" s="46" t="s">
        <v>819</v>
      </c>
      <c r="D516" s="46" t="s">
        <v>820</v>
      </c>
      <c r="E516" s="46" t="s">
        <v>189</v>
      </c>
      <c r="F516" s="46" t="s">
        <v>969</v>
      </c>
      <c r="H516" s="218">
        <v>-109.79</v>
      </c>
      <c r="I516" s="220">
        <v>144090.06</v>
      </c>
      <c r="J516" s="217" t="s">
        <v>356</v>
      </c>
      <c r="K516" s="214">
        <v>-2</v>
      </c>
    </row>
    <row r="517" spans="1:11" ht="12.75" customHeight="1" x14ac:dyDescent="0.25">
      <c r="A517" s="34" t="s">
        <v>53</v>
      </c>
      <c r="B517" s="89">
        <v>46132</v>
      </c>
      <c r="C517" s="46" t="s">
        <v>821</v>
      </c>
      <c r="D517" s="46" t="s">
        <v>822</v>
      </c>
      <c r="E517" s="46" t="s">
        <v>189</v>
      </c>
      <c r="F517" s="46" t="s">
        <v>970</v>
      </c>
      <c r="H517" s="218">
        <v>-85.18</v>
      </c>
      <c r="I517" s="220">
        <v>144004.88</v>
      </c>
      <c r="J517" s="217" t="s">
        <v>356</v>
      </c>
      <c r="K517" s="214">
        <v>-2</v>
      </c>
    </row>
    <row r="518" spans="1:11" ht="12.75" customHeight="1" x14ac:dyDescent="0.25">
      <c r="A518" s="34" t="s">
        <v>68</v>
      </c>
      <c r="B518" s="89">
        <v>46132</v>
      </c>
      <c r="C518" s="46" t="s">
        <v>823</v>
      </c>
      <c r="D518" s="46" t="s">
        <v>824</v>
      </c>
      <c r="E518" s="46" t="s">
        <v>189</v>
      </c>
      <c r="F518" s="46" t="s">
        <v>971</v>
      </c>
      <c r="H518" s="218">
        <v>-31.98</v>
      </c>
      <c r="I518" s="220">
        <v>143972.9</v>
      </c>
      <c r="J518" s="217" t="s">
        <v>356</v>
      </c>
      <c r="K518" s="214">
        <v>-2</v>
      </c>
    </row>
    <row r="519" spans="1:11" ht="12.75" customHeight="1" x14ac:dyDescent="0.25">
      <c r="A519" s="34" t="s">
        <v>68</v>
      </c>
      <c r="B519" s="89">
        <v>46132</v>
      </c>
      <c r="C519" s="46" t="s">
        <v>825</v>
      </c>
      <c r="D519" s="46" t="s">
        <v>826</v>
      </c>
      <c r="E519" s="46" t="s">
        <v>189</v>
      </c>
      <c r="F519" s="46" t="s">
        <v>972</v>
      </c>
      <c r="H519" s="218">
        <v>-114.79</v>
      </c>
      <c r="I519" s="220">
        <v>143858.10999999999</v>
      </c>
      <c r="J519" s="217" t="s">
        <v>356</v>
      </c>
      <c r="K519" s="214">
        <v>-2</v>
      </c>
    </row>
    <row r="520" spans="1:11" ht="12.75" customHeight="1" x14ac:dyDescent="0.25">
      <c r="A520" s="34" t="s">
        <v>68</v>
      </c>
      <c r="B520" s="89">
        <v>46132</v>
      </c>
      <c r="C520" s="46" t="s">
        <v>827</v>
      </c>
      <c r="D520" s="46" t="s">
        <v>351</v>
      </c>
      <c r="E520" s="46" t="s">
        <v>250</v>
      </c>
      <c r="F520" s="46" t="s">
        <v>973</v>
      </c>
      <c r="H520" s="218">
        <v>-132.38</v>
      </c>
      <c r="I520" s="220">
        <v>143725.73000000001</v>
      </c>
      <c r="J520" s="217" t="s">
        <v>350</v>
      </c>
      <c r="K520" s="214">
        <v>-2</v>
      </c>
    </row>
    <row r="521" spans="1:11" ht="12.75" customHeight="1" x14ac:dyDescent="0.25">
      <c r="A521" s="34" t="s">
        <v>68</v>
      </c>
      <c r="B521" s="89">
        <v>46132</v>
      </c>
      <c r="C521" s="46" t="s">
        <v>827</v>
      </c>
      <c r="D521" s="46" t="s">
        <v>351</v>
      </c>
      <c r="E521" s="46" t="s">
        <v>250</v>
      </c>
      <c r="F521" s="46" t="s">
        <v>974</v>
      </c>
      <c r="H521" s="218">
        <v>-108.62</v>
      </c>
      <c r="I521" s="220">
        <v>143617.10999999999</v>
      </c>
      <c r="J521" s="217" t="s">
        <v>350</v>
      </c>
      <c r="K521" s="214">
        <v>-2</v>
      </c>
    </row>
    <row r="522" spans="1:11" ht="12.75" customHeight="1" x14ac:dyDescent="0.25">
      <c r="A522" s="34" t="s">
        <v>53</v>
      </c>
      <c r="B522" s="89">
        <v>46132</v>
      </c>
      <c r="C522" s="46" t="s">
        <v>828</v>
      </c>
      <c r="D522" s="46" t="s">
        <v>829</v>
      </c>
      <c r="E522" s="46" t="s">
        <v>923</v>
      </c>
      <c r="F522" s="46" t="s">
        <v>975</v>
      </c>
      <c r="G522" s="76">
        <v>40</v>
      </c>
      <c r="H522" s="218"/>
      <c r="I522" s="220">
        <v>143657.10999999999</v>
      </c>
      <c r="J522" s="217" t="s">
        <v>353</v>
      </c>
      <c r="K522" s="214">
        <v>2</v>
      </c>
    </row>
    <row r="523" spans="1:11" ht="12.75" customHeight="1" x14ac:dyDescent="0.25">
      <c r="A523" s="34" t="s">
        <v>53</v>
      </c>
      <c r="B523" s="89">
        <v>46133</v>
      </c>
      <c r="C523" s="46" t="s">
        <v>830</v>
      </c>
      <c r="D523" s="46" t="s">
        <v>831</v>
      </c>
      <c r="E523" s="46" t="s">
        <v>191</v>
      </c>
      <c r="F523" s="46" t="s">
        <v>976</v>
      </c>
      <c r="H523" s="218">
        <v>-7114.5</v>
      </c>
      <c r="I523" s="220">
        <v>136542.60999999999</v>
      </c>
      <c r="J523" s="217" t="s">
        <v>355</v>
      </c>
      <c r="K523" s="214">
        <v>-2</v>
      </c>
    </row>
    <row r="524" spans="1:11" ht="12.75" customHeight="1" x14ac:dyDescent="0.25">
      <c r="A524" s="34" t="s">
        <v>68</v>
      </c>
      <c r="B524" s="89">
        <v>46133</v>
      </c>
      <c r="C524" s="46" t="s">
        <v>830</v>
      </c>
      <c r="D524" s="46" t="s">
        <v>831</v>
      </c>
      <c r="E524" s="46" t="s">
        <v>191</v>
      </c>
      <c r="F524" s="46" t="s">
        <v>976</v>
      </c>
      <c r="H524" s="218">
        <v>-6835.5</v>
      </c>
      <c r="I524" s="220">
        <v>129707.11</v>
      </c>
      <c r="J524" s="217" t="s">
        <v>355</v>
      </c>
      <c r="K524" s="214">
        <v>-2</v>
      </c>
    </row>
    <row r="525" spans="1:11" ht="12.75" customHeight="1" x14ac:dyDescent="0.25">
      <c r="A525" s="34" t="s">
        <v>53</v>
      </c>
      <c r="B525" s="89">
        <v>46133</v>
      </c>
      <c r="C525" s="46" t="s">
        <v>832</v>
      </c>
      <c r="D525" s="46" t="s">
        <v>349</v>
      </c>
      <c r="E525" s="46" t="s">
        <v>250</v>
      </c>
      <c r="F525" s="46" t="s">
        <v>977</v>
      </c>
      <c r="H525" s="218">
        <v>-89.83</v>
      </c>
      <c r="I525" s="220">
        <v>129617.28</v>
      </c>
      <c r="J525" s="217" t="s">
        <v>348</v>
      </c>
      <c r="K525" s="214">
        <v>-2</v>
      </c>
    </row>
    <row r="526" spans="1:11" ht="12.75" customHeight="1" x14ac:dyDescent="0.25">
      <c r="A526" s="34" t="s">
        <v>53</v>
      </c>
      <c r="B526" s="89">
        <v>46133</v>
      </c>
      <c r="C526" s="46" t="s">
        <v>832</v>
      </c>
      <c r="D526" s="46" t="s">
        <v>349</v>
      </c>
      <c r="E526" s="46" t="s">
        <v>250</v>
      </c>
      <c r="F526" s="46" t="s">
        <v>978</v>
      </c>
      <c r="H526" s="218">
        <v>-75.77</v>
      </c>
      <c r="I526" s="220">
        <v>129541.51</v>
      </c>
      <c r="J526" s="217" t="s">
        <v>348</v>
      </c>
      <c r="K526" s="214">
        <v>-2</v>
      </c>
    </row>
    <row r="527" spans="1:11" ht="12.75" customHeight="1" x14ac:dyDescent="0.25">
      <c r="A527" s="34" t="s">
        <v>53</v>
      </c>
      <c r="B527" s="89">
        <v>46134</v>
      </c>
      <c r="C527" s="46" t="s">
        <v>833</v>
      </c>
      <c r="D527" s="46" t="s">
        <v>834</v>
      </c>
      <c r="E527" s="46" t="s">
        <v>924</v>
      </c>
      <c r="F527" s="46" t="s">
        <v>979</v>
      </c>
      <c r="H527" s="218">
        <v>-135</v>
      </c>
      <c r="I527" s="220">
        <v>129406.51</v>
      </c>
      <c r="J527" s="217"/>
      <c r="K527" s="214">
        <v>-1</v>
      </c>
    </row>
    <row r="528" spans="1:11" ht="12.75" customHeight="1" x14ac:dyDescent="0.25">
      <c r="A528" s="34" t="s">
        <v>68</v>
      </c>
      <c r="B528" s="89">
        <v>46134</v>
      </c>
      <c r="C528" s="46" t="s">
        <v>833</v>
      </c>
      <c r="D528" s="46" t="s">
        <v>834</v>
      </c>
      <c r="E528" s="46" t="s">
        <v>924</v>
      </c>
      <c r="F528" s="46" t="s">
        <v>979</v>
      </c>
      <c r="H528" s="218">
        <v>-135</v>
      </c>
      <c r="I528" s="220">
        <v>129271.51</v>
      </c>
      <c r="J528" s="217"/>
      <c r="K528" s="214">
        <v>-1</v>
      </c>
    </row>
    <row r="529" spans="1:11" ht="12.75" customHeight="1" x14ac:dyDescent="0.25">
      <c r="A529" s="34" t="s">
        <v>53</v>
      </c>
      <c r="B529" s="89">
        <v>46134</v>
      </c>
      <c r="C529" s="46" t="s">
        <v>835</v>
      </c>
      <c r="D529" s="46" t="s">
        <v>836</v>
      </c>
      <c r="E529" s="46" t="s">
        <v>254</v>
      </c>
      <c r="F529" s="46" t="s">
        <v>980</v>
      </c>
      <c r="H529" s="218">
        <v>-23.82</v>
      </c>
      <c r="I529" s="220">
        <v>129247.69</v>
      </c>
      <c r="J529" s="217" t="s">
        <v>354</v>
      </c>
      <c r="K529" s="214">
        <v>-2</v>
      </c>
    </row>
    <row r="530" spans="1:11" ht="12.75" customHeight="1" x14ac:dyDescent="0.25">
      <c r="A530" s="34" t="s">
        <v>53</v>
      </c>
      <c r="B530" s="89">
        <v>46134</v>
      </c>
      <c r="C530" s="46" t="s">
        <v>837</v>
      </c>
      <c r="D530" s="46" t="s">
        <v>838</v>
      </c>
      <c r="E530" s="46" t="s">
        <v>271</v>
      </c>
      <c r="F530" s="46" t="s">
        <v>17</v>
      </c>
      <c r="G530" s="76">
        <v>75</v>
      </c>
      <c r="H530" s="218"/>
      <c r="I530" s="220">
        <v>129322.69</v>
      </c>
      <c r="J530" s="217" t="s">
        <v>350</v>
      </c>
      <c r="K530" s="214">
        <v>2</v>
      </c>
    </row>
    <row r="531" spans="1:11" ht="12.75" customHeight="1" x14ac:dyDescent="0.25">
      <c r="A531" s="34" t="s">
        <v>53</v>
      </c>
      <c r="B531" s="89">
        <v>46134</v>
      </c>
      <c r="C531" s="46" t="s">
        <v>837</v>
      </c>
      <c r="D531" s="46" t="s">
        <v>838</v>
      </c>
      <c r="E531" s="46" t="s">
        <v>271</v>
      </c>
      <c r="F531" s="46" t="s">
        <v>17</v>
      </c>
      <c r="G531" s="76">
        <v>75</v>
      </c>
      <c r="H531" s="218"/>
      <c r="I531" s="220">
        <v>129397.69</v>
      </c>
      <c r="J531" s="217" t="s">
        <v>350</v>
      </c>
      <c r="K531" s="214">
        <v>2</v>
      </c>
    </row>
    <row r="532" spans="1:11" ht="12.75" customHeight="1" x14ac:dyDescent="0.25">
      <c r="A532" s="34" t="s">
        <v>53</v>
      </c>
      <c r="B532" s="89">
        <v>46134</v>
      </c>
      <c r="C532" s="46" t="s">
        <v>837</v>
      </c>
      <c r="D532" s="46" t="s">
        <v>838</v>
      </c>
      <c r="E532" s="46" t="s">
        <v>271</v>
      </c>
      <c r="F532" s="46" t="s">
        <v>17</v>
      </c>
      <c r="G532" s="76">
        <v>48.96</v>
      </c>
      <c r="H532" s="218"/>
      <c r="I532" s="220">
        <v>129446.65</v>
      </c>
      <c r="J532" s="217" t="s">
        <v>350</v>
      </c>
      <c r="K532" s="214">
        <v>2</v>
      </c>
    </row>
    <row r="533" spans="1:11" ht="12.75" customHeight="1" x14ac:dyDescent="0.25">
      <c r="A533" s="34" t="s">
        <v>53</v>
      </c>
      <c r="B533" s="89">
        <v>46134</v>
      </c>
      <c r="C533" s="46" t="s">
        <v>837</v>
      </c>
      <c r="D533" s="46" t="s">
        <v>838</v>
      </c>
      <c r="E533" s="46" t="s">
        <v>271</v>
      </c>
      <c r="F533" s="46" t="s">
        <v>17</v>
      </c>
      <c r="G533" s="76">
        <v>1000</v>
      </c>
      <c r="H533" s="218"/>
      <c r="I533" s="220">
        <v>130446.65</v>
      </c>
      <c r="J533" s="217" t="s">
        <v>350</v>
      </c>
      <c r="K533" s="214">
        <v>2</v>
      </c>
    </row>
    <row r="534" spans="1:11" ht="12.75" customHeight="1" x14ac:dyDescent="0.25">
      <c r="A534" s="34" t="s">
        <v>53</v>
      </c>
      <c r="B534" s="89">
        <v>46134</v>
      </c>
      <c r="C534" s="46" t="s">
        <v>839</v>
      </c>
      <c r="D534" s="46" t="s">
        <v>259</v>
      </c>
      <c r="E534" s="46" t="s">
        <v>141</v>
      </c>
      <c r="F534" s="46" t="s">
        <v>981</v>
      </c>
      <c r="G534" s="76">
        <v>75</v>
      </c>
      <c r="H534" s="218"/>
      <c r="I534" s="220">
        <v>130521.65</v>
      </c>
      <c r="J534" s="89">
        <v>46134</v>
      </c>
      <c r="K534" s="214">
        <v>4</v>
      </c>
    </row>
    <row r="535" spans="1:11" ht="12.75" customHeight="1" x14ac:dyDescent="0.25">
      <c r="A535" s="34" t="s">
        <v>53</v>
      </c>
      <c r="B535" s="89">
        <v>46134</v>
      </c>
      <c r="C535" s="46" t="s">
        <v>839</v>
      </c>
      <c r="D535" s="46" t="s">
        <v>259</v>
      </c>
      <c r="E535" s="46" t="s">
        <v>141</v>
      </c>
      <c r="F535" s="46" t="s">
        <v>981</v>
      </c>
      <c r="G535" s="76">
        <v>75</v>
      </c>
      <c r="H535" s="218"/>
      <c r="I535" s="220">
        <v>130596.65</v>
      </c>
      <c r="J535" s="89">
        <v>46134</v>
      </c>
      <c r="K535" s="214">
        <v>4</v>
      </c>
    </row>
    <row r="536" spans="1:11" ht="12.75" customHeight="1" x14ac:dyDescent="0.25">
      <c r="A536" s="34" t="s">
        <v>53</v>
      </c>
      <c r="B536" s="89">
        <v>46134</v>
      </c>
      <c r="C536" s="46" t="s">
        <v>839</v>
      </c>
      <c r="D536" s="46" t="s">
        <v>259</v>
      </c>
      <c r="E536" s="46" t="s">
        <v>141</v>
      </c>
      <c r="F536" s="46" t="s">
        <v>981</v>
      </c>
      <c r="G536" s="76">
        <v>75</v>
      </c>
      <c r="H536" s="218"/>
      <c r="I536" s="220">
        <v>130671.65</v>
      </c>
      <c r="J536" s="89">
        <v>46134</v>
      </c>
      <c r="K536" s="214">
        <v>4</v>
      </c>
    </row>
    <row r="537" spans="1:11" ht="12.75" customHeight="1" x14ac:dyDescent="0.25">
      <c r="A537" s="34" t="s">
        <v>53</v>
      </c>
      <c r="B537" s="89">
        <v>46134</v>
      </c>
      <c r="C537" s="46" t="s">
        <v>839</v>
      </c>
      <c r="D537" s="46" t="s">
        <v>259</v>
      </c>
      <c r="E537" s="46" t="s">
        <v>141</v>
      </c>
      <c r="F537" s="46" t="s">
        <v>981</v>
      </c>
      <c r="G537" s="76">
        <v>75</v>
      </c>
      <c r="H537" s="218"/>
      <c r="I537" s="220">
        <v>130746.65</v>
      </c>
      <c r="J537" s="89">
        <v>46134</v>
      </c>
      <c r="K537" s="214">
        <v>4</v>
      </c>
    </row>
    <row r="538" spans="1:11" ht="12.75" customHeight="1" x14ac:dyDescent="0.25">
      <c r="A538" s="34" t="s">
        <v>53</v>
      </c>
      <c r="B538" s="89">
        <v>46134</v>
      </c>
      <c r="C538" s="46" t="s">
        <v>839</v>
      </c>
      <c r="D538" s="46" t="s">
        <v>259</v>
      </c>
      <c r="E538" s="46" t="s">
        <v>141</v>
      </c>
      <c r="F538" s="46" t="s">
        <v>981</v>
      </c>
      <c r="G538" s="76">
        <v>1000</v>
      </c>
      <c r="H538" s="218"/>
      <c r="I538" s="220">
        <v>131746.65</v>
      </c>
      <c r="J538" s="89">
        <v>46134</v>
      </c>
      <c r="K538" s="214">
        <v>4</v>
      </c>
    </row>
    <row r="539" spans="1:11" ht="12.75" customHeight="1" x14ac:dyDescent="0.25">
      <c r="A539" s="34" t="s">
        <v>53</v>
      </c>
      <c r="B539" s="89">
        <v>46134</v>
      </c>
      <c r="C539" s="46" t="s">
        <v>839</v>
      </c>
      <c r="D539" s="46" t="s">
        <v>259</v>
      </c>
      <c r="E539" s="46" t="s">
        <v>141</v>
      </c>
      <c r="F539" s="46" t="s">
        <v>981</v>
      </c>
      <c r="G539" s="76">
        <v>1000</v>
      </c>
      <c r="H539" s="218"/>
      <c r="I539" s="220">
        <v>132746.65</v>
      </c>
      <c r="J539" s="89">
        <v>46134</v>
      </c>
      <c r="K539" s="214">
        <v>4</v>
      </c>
    </row>
    <row r="540" spans="1:11" ht="12.75" customHeight="1" x14ac:dyDescent="0.25">
      <c r="A540" s="34" t="s">
        <v>53</v>
      </c>
      <c r="B540" s="89">
        <v>46134</v>
      </c>
      <c r="C540" s="46" t="s">
        <v>839</v>
      </c>
      <c r="D540" s="46" t="s">
        <v>259</v>
      </c>
      <c r="E540" s="46" t="s">
        <v>141</v>
      </c>
      <c r="F540" s="46" t="s">
        <v>981</v>
      </c>
      <c r="G540" s="76">
        <v>48.96</v>
      </c>
      <c r="H540" s="218"/>
      <c r="I540" s="220">
        <v>132795.60999999999</v>
      </c>
      <c r="J540" s="89">
        <v>46134</v>
      </c>
      <c r="K540" s="214">
        <v>4</v>
      </c>
    </row>
    <row r="541" spans="1:11" ht="12.75" customHeight="1" x14ac:dyDescent="0.25">
      <c r="A541" s="34" t="s">
        <v>53</v>
      </c>
      <c r="B541" s="89">
        <v>46134</v>
      </c>
      <c r="C541" s="46" t="s">
        <v>839</v>
      </c>
      <c r="D541" s="46" t="s">
        <v>259</v>
      </c>
      <c r="E541" s="46" t="s">
        <v>141</v>
      </c>
      <c r="F541" s="46" t="s">
        <v>981</v>
      </c>
      <c r="G541" s="76">
        <v>48.96</v>
      </c>
      <c r="H541" s="218"/>
      <c r="I541" s="220">
        <v>132844.57</v>
      </c>
      <c r="J541" s="89">
        <v>46134</v>
      </c>
      <c r="K541" s="214">
        <v>4</v>
      </c>
    </row>
    <row r="542" spans="1:11" ht="12.75" customHeight="1" x14ac:dyDescent="0.25">
      <c r="A542" s="34" t="s">
        <v>53</v>
      </c>
      <c r="B542" s="89">
        <v>46134</v>
      </c>
      <c r="C542" s="46" t="s">
        <v>839</v>
      </c>
      <c r="D542" s="46" t="s">
        <v>259</v>
      </c>
      <c r="E542" s="46" t="s">
        <v>141</v>
      </c>
      <c r="F542" s="46" t="s">
        <v>981</v>
      </c>
      <c r="G542" s="76">
        <v>48.96</v>
      </c>
      <c r="H542" s="218"/>
      <c r="I542" s="220">
        <v>132893.53</v>
      </c>
      <c r="J542" s="89">
        <v>46134</v>
      </c>
      <c r="K542" s="214">
        <v>4</v>
      </c>
    </row>
    <row r="543" spans="1:11" ht="12.75" customHeight="1" x14ac:dyDescent="0.25">
      <c r="A543" s="34" t="s">
        <v>53</v>
      </c>
      <c r="B543" s="89">
        <v>46134</v>
      </c>
      <c r="C543" s="46" t="s">
        <v>839</v>
      </c>
      <c r="D543" s="46" t="s">
        <v>259</v>
      </c>
      <c r="E543" s="46" t="s">
        <v>141</v>
      </c>
      <c r="F543" s="46" t="s">
        <v>981</v>
      </c>
      <c r="G543" s="76">
        <v>50</v>
      </c>
      <c r="H543" s="218"/>
      <c r="I543" s="220">
        <v>132943.53</v>
      </c>
      <c r="J543" s="89">
        <v>46134</v>
      </c>
      <c r="K543" s="214">
        <v>4</v>
      </c>
    </row>
    <row r="544" spans="1:11" ht="12.75" customHeight="1" x14ac:dyDescent="0.25">
      <c r="A544" s="34" t="s">
        <v>53</v>
      </c>
      <c r="B544" s="89">
        <v>46134</v>
      </c>
      <c r="C544" s="46" t="s">
        <v>839</v>
      </c>
      <c r="D544" s="46" t="s">
        <v>259</v>
      </c>
      <c r="E544" s="46" t="s">
        <v>141</v>
      </c>
      <c r="F544" s="46" t="s">
        <v>981</v>
      </c>
      <c r="G544" s="76">
        <v>1.04</v>
      </c>
      <c r="H544" s="218"/>
      <c r="I544" s="220">
        <v>132944.57</v>
      </c>
      <c r="J544" s="89">
        <v>46134</v>
      </c>
      <c r="K544" s="214">
        <v>4</v>
      </c>
    </row>
    <row r="545" spans="1:11" ht="12.75" customHeight="1" x14ac:dyDescent="0.25">
      <c r="A545" s="34" t="s">
        <v>53</v>
      </c>
      <c r="B545" s="89">
        <v>46134</v>
      </c>
      <c r="C545" s="46" t="s">
        <v>839</v>
      </c>
      <c r="D545" s="46" t="s">
        <v>259</v>
      </c>
      <c r="E545" s="46" t="s">
        <v>141</v>
      </c>
      <c r="F545" s="46" t="s">
        <v>981</v>
      </c>
      <c r="H545" s="218">
        <v>-50</v>
      </c>
      <c r="I545" s="220">
        <v>132894.57</v>
      </c>
      <c r="J545" s="89">
        <v>46134</v>
      </c>
      <c r="K545" s="214">
        <v>-4</v>
      </c>
    </row>
    <row r="546" spans="1:11" ht="12.75" customHeight="1" x14ac:dyDescent="0.25">
      <c r="A546" s="34" t="s">
        <v>53</v>
      </c>
      <c r="B546" s="89">
        <v>46134</v>
      </c>
      <c r="C546" s="46" t="s">
        <v>839</v>
      </c>
      <c r="D546" s="46" t="s">
        <v>259</v>
      </c>
      <c r="E546" s="46" t="s">
        <v>141</v>
      </c>
      <c r="F546" s="46" t="s">
        <v>981</v>
      </c>
      <c r="H546" s="218">
        <v>-150</v>
      </c>
      <c r="I546" s="220">
        <v>132744.57</v>
      </c>
      <c r="J546" s="89">
        <v>46134</v>
      </c>
      <c r="K546" s="214">
        <v>-4</v>
      </c>
    </row>
    <row r="547" spans="1:11" ht="12.75" customHeight="1" x14ac:dyDescent="0.25">
      <c r="A547" s="34" t="s">
        <v>53</v>
      </c>
      <c r="B547" s="89">
        <v>46134</v>
      </c>
      <c r="C547" s="46" t="s">
        <v>839</v>
      </c>
      <c r="D547" s="46" t="s">
        <v>259</v>
      </c>
      <c r="E547" s="46" t="s">
        <v>141</v>
      </c>
      <c r="F547" s="46" t="s">
        <v>981</v>
      </c>
      <c r="H547" s="218">
        <v>-50</v>
      </c>
      <c r="I547" s="220">
        <v>132694.57</v>
      </c>
      <c r="J547" s="89">
        <v>46134</v>
      </c>
      <c r="K547" s="214">
        <v>-4</v>
      </c>
    </row>
    <row r="548" spans="1:11" ht="12.75" customHeight="1" x14ac:dyDescent="0.25">
      <c r="A548" s="34" t="s">
        <v>53</v>
      </c>
      <c r="B548" s="89">
        <v>46134</v>
      </c>
      <c r="C548" s="46" t="s">
        <v>839</v>
      </c>
      <c r="D548" s="46" t="s">
        <v>259</v>
      </c>
      <c r="E548" s="46" t="s">
        <v>141</v>
      </c>
      <c r="F548" s="46" t="s">
        <v>981</v>
      </c>
      <c r="H548" s="218">
        <v>-1000</v>
      </c>
      <c r="I548" s="220">
        <v>131694.57</v>
      </c>
      <c r="J548" s="89">
        <v>46134</v>
      </c>
      <c r="K548" s="214">
        <v>-4</v>
      </c>
    </row>
    <row r="549" spans="1:11" ht="12.75" customHeight="1" x14ac:dyDescent="0.25">
      <c r="A549" s="34" t="s">
        <v>53</v>
      </c>
      <c r="B549" s="89">
        <v>46134</v>
      </c>
      <c r="C549" s="46" t="s">
        <v>839</v>
      </c>
      <c r="D549" s="46" t="s">
        <v>259</v>
      </c>
      <c r="E549" s="46" t="s">
        <v>141</v>
      </c>
      <c r="F549" s="46" t="s">
        <v>981</v>
      </c>
      <c r="H549" s="218">
        <v>-1000</v>
      </c>
      <c r="I549" s="220">
        <v>130694.57</v>
      </c>
      <c r="J549" s="89">
        <v>46134</v>
      </c>
      <c r="K549" s="214">
        <v>-4</v>
      </c>
    </row>
    <row r="550" spans="1:11" ht="12.75" customHeight="1" x14ac:dyDescent="0.25">
      <c r="A550" s="34" t="s">
        <v>53</v>
      </c>
      <c r="B550" s="89">
        <v>46134</v>
      </c>
      <c r="C550" s="46" t="s">
        <v>839</v>
      </c>
      <c r="D550" s="46" t="s">
        <v>259</v>
      </c>
      <c r="E550" s="46" t="s">
        <v>141</v>
      </c>
      <c r="F550" s="46" t="s">
        <v>981</v>
      </c>
      <c r="H550" s="218">
        <v>-48.96</v>
      </c>
      <c r="I550" s="220">
        <v>130645.61</v>
      </c>
      <c r="J550" s="89">
        <v>46134</v>
      </c>
      <c r="K550" s="214">
        <v>-4</v>
      </c>
    </row>
    <row r="551" spans="1:11" ht="12.75" customHeight="1" x14ac:dyDescent="0.25">
      <c r="A551" s="34" t="s">
        <v>53</v>
      </c>
      <c r="B551" s="89">
        <v>46134</v>
      </c>
      <c r="C551" s="46" t="s">
        <v>839</v>
      </c>
      <c r="D551" s="46" t="s">
        <v>259</v>
      </c>
      <c r="E551" s="46" t="s">
        <v>141</v>
      </c>
      <c r="F551" s="46" t="s">
        <v>981</v>
      </c>
      <c r="H551" s="218">
        <v>-48.96</v>
      </c>
      <c r="I551" s="220">
        <v>130596.65</v>
      </c>
      <c r="J551" s="89">
        <v>46134</v>
      </c>
      <c r="K551" s="214">
        <v>-4</v>
      </c>
    </row>
    <row r="552" spans="1:11" ht="12.75" customHeight="1" x14ac:dyDescent="0.25">
      <c r="A552" s="34" t="s">
        <v>53</v>
      </c>
      <c r="B552" s="89">
        <v>46134</v>
      </c>
      <c r="C552" s="46" t="s">
        <v>839</v>
      </c>
      <c r="D552" s="46" t="s">
        <v>259</v>
      </c>
      <c r="E552" s="46" t="s">
        <v>141</v>
      </c>
      <c r="F552" s="46" t="s">
        <v>981</v>
      </c>
      <c r="H552" s="218">
        <v>-150</v>
      </c>
      <c r="I552" s="220">
        <v>130446.65</v>
      </c>
      <c r="J552" s="89">
        <v>46134</v>
      </c>
      <c r="K552" s="214">
        <v>-4</v>
      </c>
    </row>
    <row r="553" spans="1:11" ht="12.75" customHeight="1" x14ac:dyDescent="0.25">
      <c r="A553" s="34" t="s">
        <v>53</v>
      </c>
      <c r="B553" s="89">
        <v>46134</v>
      </c>
      <c r="C553" s="46" t="s">
        <v>840</v>
      </c>
      <c r="D553" s="46" t="s">
        <v>58</v>
      </c>
      <c r="E553" s="46" t="s">
        <v>914</v>
      </c>
      <c r="F553" s="46" t="s">
        <v>59</v>
      </c>
      <c r="G553" s="76">
        <v>1000</v>
      </c>
      <c r="H553" s="218"/>
      <c r="I553" s="220">
        <v>131446.65</v>
      </c>
      <c r="J553" s="89">
        <v>46134</v>
      </c>
      <c r="K553" s="214">
        <v>4</v>
      </c>
    </row>
    <row r="554" spans="1:11" ht="12.75" customHeight="1" x14ac:dyDescent="0.25">
      <c r="A554" s="34" t="s">
        <v>53</v>
      </c>
      <c r="B554" s="89">
        <v>46134</v>
      </c>
      <c r="C554" s="46" t="s">
        <v>840</v>
      </c>
      <c r="D554" s="46" t="s">
        <v>58</v>
      </c>
      <c r="E554" s="46" t="s">
        <v>914</v>
      </c>
      <c r="F554" s="46" t="s">
        <v>59</v>
      </c>
      <c r="H554" s="218">
        <v>-1000</v>
      </c>
      <c r="I554" s="220">
        <v>130446.65</v>
      </c>
      <c r="J554" s="89">
        <v>46134</v>
      </c>
      <c r="K554" s="214">
        <v>-4</v>
      </c>
    </row>
    <row r="555" spans="1:11" ht="12.75" customHeight="1" x14ac:dyDescent="0.25">
      <c r="A555" s="34" t="s">
        <v>53</v>
      </c>
      <c r="B555" s="89">
        <v>46134</v>
      </c>
      <c r="C555" s="46" t="s">
        <v>841</v>
      </c>
      <c r="D555" s="46" t="s">
        <v>58</v>
      </c>
      <c r="E555" s="46" t="s">
        <v>914</v>
      </c>
      <c r="F555" s="46" t="s">
        <v>59</v>
      </c>
      <c r="G555" s="76">
        <v>48.96</v>
      </c>
      <c r="H555" s="218"/>
      <c r="I555" s="220">
        <v>130495.61</v>
      </c>
      <c r="J555" s="89">
        <v>46134</v>
      </c>
      <c r="K555" s="214">
        <v>4</v>
      </c>
    </row>
    <row r="556" spans="1:11" ht="12.75" customHeight="1" x14ac:dyDescent="0.25">
      <c r="A556" s="34" t="s">
        <v>53</v>
      </c>
      <c r="B556" s="89">
        <v>46134</v>
      </c>
      <c r="C556" s="46" t="s">
        <v>841</v>
      </c>
      <c r="D556" s="46" t="s">
        <v>58</v>
      </c>
      <c r="E556" s="46" t="s">
        <v>914</v>
      </c>
      <c r="F556" s="46" t="s">
        <v>59</v>
      </c>
      <c r="H556" s="218">
        <v>-48.96</v>
      </c>
      <c r="I556" s="220">
        <v>130446.65</v>
      </c>
      <c r="J556" s="89">
        <v>46134</v>
      </c>
      <c r="K556" s="214">
        <v>-4</v>
      </c>
    </row>
    <row r="557" spans="1:11" ht="12.75" customHeight="1" x14ac:dyDescent="0.25">
      <c r="A557" s="34" t="s">
        <v>53</v>
      </c>
      <c r="B557" s="89">
        <v>46134</v>
      </c>
      <c r="C557" s="46" t="s">
        <v>842</v>
      </c>
      <c r="D557" s="46" t="s">
        <v>58</v>
      </c>
      <c r="E557" s="46" t="s">
        <v>914</v>
      </c>
      <c r="F557" s="46" t="s">
        <v>59</v>
      </c>
      <c r="G557" s="76">
        <v>0.04</v>
      </c>
      <c r="H557" s="218"/>
      <c r="I557" s="220">
        <v>130446.69</v>
      </c>
      <c r="J557" s="89">
        <v>46134</v>
      </c>
      <c r="K557" s="214">
        <v>4</v>
      </c>
    </row>
    <row r="558" spans="1:11" ht="12.75" customHeight="1" x14ac:dyDescent="0.25">
      <c r="A558" s="34" t="s">
        <v>53</v>
      </c>
      <c r="B558" s="89">
        <v>46134</v>
      </c>
      <c r="C558" s="46" t="s">
        <v>842</v>
      </c>
      <c r="D558" s="46" t="s">
        <v>58</v>
      </c>
      <c r="E558" s="46" t="s">
        <v>914</v>
      </c>
      <c r="F558" s="46" t="s">
        <v>59</v>
      </c>
      <c r="H558" s="218">
        <v>-0.04</v>
      </c>
      <c r="I558" s="220">
        <v>130446.65</v>
      </c>
      <c r="J558" s="89">
        <v>46134</v>
      </c>
      <c r="K558" s="214">
        <v>-4</v>
      </c>
    </row>
    <row r="559" spans="1:11" ht="12.75" customHeight="1" x14ac:dyDescent="0.25">
      <c r="A559" s="34" t="s">
        <v>53</v>
      </c>
      <c r="B559" s="89">
        <v>46134</v>
      </c>
      <c r="C559" s="46" t="s">
        <v>843</v>
      </c>
      <c r="D559" s="46" t="s">
        <v>844</v>
      </c>
      <c r="E559" s="46" t="s">
        <v>914</v>
      </c>
      <c r="F559" s="46" t="s">
        <v>20</v>
      </c>
      <c r="G559" s="76">
        <v>999.96</v>
      </c>
      <c r="H559" s="218"/>
      <c r="I559" s="220">
        <v>131446.60999999999</v>
      </c>
      <c r="J559" s="217" t="s">
        <v>353</v>
      </c>
      <c r="K559" s="214">
        <v>2</v>
      </c>
    </row>
    <row r="560" spans="1:11" ht="12.75" customHeight="1" x14ac:dyDescent="0.25">
      <c r="A560" s="34" t="s">
        <v>53</v>
      </c>
      <c r="B560" s="89">
        <v>46134</v>
      </c>
      <c r="C560" s="46" t="s">
        <v>843</v>
      </c>
      <c r="D560" s="46" t="s">
        <v>844</v>
      </c>
      <c r="E560" s="46" t="s">
        <v>914</v>
      </c>
      <c r="F560" s="46" t="s">
        <v>20</v>
      </c>
      <c r="G560" s="76">
        <v>0.04</v>
      </c>
      <c r="H560" s="218"/>
      <c r="I560" s="220">
        <v>131446.65</v>
      </c>
      <c r="J560" s="217" t="s">
        <v>353</v>
      </c>
      <c r="K560" s="214">
        <v>2</v>
      </c>
    </row>
    <row r="561" spans="1:11" ht="12.75" customHeight="1" x14ac:dyDescent="0.25">
      <c r="A561" s="34" t="s">
        <v>53</v>
      </c>
      <c r="B561" s="89">
        <v>46134</v>
      </c>
      <c r="C561" s="46" t="s">
        <v>845</v>
      </c>
      <c r="D561" s="46" t="s">
        <v>846</v>
      </c>
      <c r="E561" s="46" t="s">
        <v>914</v>
      </c>
      <c r="F561" s="46" t="s">
        <v>20</v>
      </c>
      <c r="G561" s="76">
        <v>40</v>
      </c>
      <c r="H561" s="218"/>
      <c r="I561" s="220">
        <v>131486.65</v>
      </c>
      <c r="J561" s="217" t="s">
        <v>353</v>
      </c>
      <c r="K561" s="214">
        <v>2</v>
      </c>
    </row>
    <row r="562" spans="1:11" ht="12.75" customHeight="1" x14ac:dyDescent="0.25">
      <c r="A562" s="34" t="s">
        <v>68</v>
      </c>
      <c r="B562" s="89">
        <v>46135</v>
      </c>
      <c r="C562" s="46" t="s">
        <v>847</v>
      </c>
      <c r="D562" s="46" t="s">
        <v>55</v>
      </c>
      <c r="E562" s="46" t="s">
        <v>103</v>
      </c>
      <c r="F562" s="46" t="s">
        <v>19</v>
      </c>
      <c r="G562" s="76">
        <v>10</v>
      </c>
      <c r="H562" s="218"/>
      <c r="I562" s="220">
        <v>131496.65</v>
      </c>
      <c r="J562" s="217" t="s">
        <v>352</v>
      </c>
      <c r="K562" s="214">
        <v>2</v>
      </c>
    </row>
    <row r="563" spans="1:11" ht="12.75" customHeight="1" x14ac:dyDescent="0.25">
      <c r="A563" s="34" t="s">
        <v>68</v>
      </c>
      <c r="B563" s="89">
        <v>46135</v>
      </c>
      <c r="C563" s="46" t="s">
        <v>847</v>
      </c>
      <c r="D563" s="46" t="s">
        <v>55</v>
      </c>
      <c r="E563" s="46" t="s">
        <v>103</v>
      </c>
      <c r="F563" s="46" t="s">
        <v>19</v>
      </c>
      <c r="G563" s="76">
        <v>1005</v>
      </c>
      <c r="H563" s="218"/>
      <c r="I563" s="220">
        <v>132501.65</v>
      </c>
      <c r="J563" s="217" t="s">
        <v>352</v>
      </c>
      <c r="K563" s="214">
        <v>2</v>
      </c>
    </row>
    <row r="564" spans="1:11" ht="12.75" customHeight="1" x14ac:dyDescent="0.25">
      <c r="A564" s="34" t="s">
        <v>68</v>
      </c>
      <c r="B564" s="89">
        <v>46135</v>
      </c>
      <c r="C564" s="46" t="s">
        <v>847</v>
      </c>
      <c r="D564" s="46" t="s">
        <v>55</v>
      </c>
      <c r="E564" s="46" t="s">
        <v>103</v>
      </c>
      <c r="F564" s="46" t="s">
        <v>19</v>
      </c>
      <c r="G564" s="76">
        <v>49.52</v>
      </c>
      <c r="H564" s="218"/>
      <c r="I564" s="220">
        <v>132551.17000000001</v>
      </c>
      <c r="J564" s="217" t="s">
        <v>352</v>
      </c>
      <c r="K564" s="214">
        <v>2</v>
      </c>
    </row>
    <row r="565" spans="1:11" ht="12.75" customHeight="1" x14ac:dyDescent="0.25">
      <c r="A565" s="34" t="s">
        <v>53</v>
      </c>
      <c r="B565" s="89">
        <v>46138</v>
      </c>
      <c r="C565" s="46" t="s">
        <v>848</v>
      </c>
      <c r="D565" s="46" t="s">
        <v>849</v>
      </c>
      <c r="E565" s="46" t="s">
        <v>74</v>
      </c>
      <c r="F565" s="46" t="s">
        <v>18</v>
      </c>
      <c r="G565" s="76">
        <v>1048.96</v>
      </c>
      <c r="H565" s="218"/>
      <c r="I565" s="220">
        <v>133600.13</v>
      </c>
      <c r="J565" s="217" t="s">
        <v>347</v>
      </c>
      <c r="K565" s="214">
        <v>2</v>
      </c>
    </row>
    <row r="566" spans="1:11" ht="12.75" customHeight="1" x14ac:dyDescent="0.25">
      <c r="A566" s="34" t="s">
        <v>53</v>
      </c>
      <c r="B566" s="89">
        <v>46139</v>
      </c>
      <c r="C566" s="46" t="s">
        <v>850</v>
      </c>
      <c r="D566" s="46" t="s">
        <v>851</v>
      </c>
      <c r="E566" s="46" t="s">
        <v>254</v>
      </c>
      <c r="F566" s="46" t="s">
        <v>982</v>
      </c>
      <c r="H566" s="218">
        <v>-905.82</v>
      </c>
      <c r="I566" s="220">
        <v>132694.31</v>
      </c>
      <c r="J566" s="217" t="s">
        <v>350</v>
      </c>
      <c r="K566" s="214">
        <v>-2</v>
      </c>
    </row>
    <row r="567" spans="1:11" ht="12.75" customHeight="1" x14ac:dyDescent="0.25">
      <c r="A567" s="34" t="s">
        <v>53</v>
      </c>
      <c r="B567" s="89">
        <v>46139</v>
      </c>
      <c r="C567" s="46" t="s">
        <v>852</v>
      </c>
      <c r="D567" s="46" t="s">
        <v>853</v>
      </c>
      <c r="E567" s="46" t="s">
        <v>192</v>
      </c>
      <c r="F567" s="46" t="s">
        <v>983</v>
      </c>
      <c r="H567" s="218">
        <v>-4.18</v>
      </c>
      <c r="I567" s="220">
        <v>132690.13</v>
      </c>
      <c r="J567" s="217" t="s">
        <v>350</v>
      </c>
      <c r="K567" s="214">
        <v>-2</v>
      </c>
    </row>
    <row r="568" spans="1:11" ht="12.75" customHeight="1" x14ac:dyDescent="0.25">
      <c r="A568" s="34" t="s">
        <v>53</v>
      </c>
      <c r="B568" s="89">
        <v>46139</v>
      </c>
      <c r="C568" s="46" t="s">
        <v>852</v>
      </c>
      <c r="D568" s="46" t="s">
        <v>853</v>
      </c>
      <c r="E568" s="46" t="s">
        <v>192</v>
      </c>
      <c r="F568" s="46" t="s">
        <v>984</v>
      </c>
      <c r="H568" s="218">
        <v>-6.71</v>
      </c>
      <c r="I568" s="220">
        <v>132683.42000000001</v>
      </c>
      <c r="J568" s="217" t="s">
        <v>350</v>
      </c>
      <c r="K568" s="214">
        <v>-2</v>
      </c>
    </row>
    <row r="569" spans="1:11" ht="12.75" customHeight="1" x14ac:dyDescent="0.25">
      <c r="A569" s="34" t="s">
        <v>53</v>
      </c>
      <c r="B569" s="89">
        <v>46139</v>
      </c>
      <c r="C569" s="46" t="s">
        <v>852</v>
      </c>
      <c r="D569" s="46" t="s">
        <v>853</v>
      </c>
      <c r="E569" s="46" t="s">
        <v>192</v>
      </c>
      <c r="F569" s="46" t="s">
        <v>985</v>
      </c>
      <c r="H569" s="218">
        <v>-9.0500000000000007</v>
      </c>
      <c r="I569" s="220">
        <v>132674.37</v>
      </c>
      <c r="J569" s="53" t="s">
        <v>350</v>
      </c>
      <c r="K569" s="214">
        <v>-2</v>
      </c>
    </row>
    <row r="570" spans="1:11" ht="12.75" customHeight="1" x14ac:dyDescent="0.25">
      <c r="A570" s="34" t="s">
        <v>53</v>
      </c>
      <c r="B570" s="89">
        <v>46139</v>
      </c>
      <c r="C570" s="46" t="s">
        <v>854</v>
      </c>
      <c r="D570" s="46" t="s">
        <v>855</v>
      </c>
      <c r="E570" s="46" t="s">
        <v>290</v>
      </c>
      <c r="F570" s="46" t="s">
        <v>986</v>
      </c>
      <c r="H570" s="218">
        <v>-296.72000000000003</v>
      </c>
      <c r="I570" s="220">
        <v>132377.65</v>
      </c>
      <c r="J570" s="217"/>
      <c r="K570" s="214">
        <v>-1</v>
      </c>
    </row>
    <row r="571" spans="1:11" ht="12.75" customHeight="1" x14ac:dyDescent="0.25">
      <c r="A571" s="34" t="s">
        <v>68</v>
      </c>
      <c r="B571" s="89">
        <v>46139</v>
      </c>
      <c r="C571" s="46" t="s">
        <v>854</v>
      </c>
      <c r="D571" s="46" t="s">
        <v>855</v>
      </c>
      <c r="E571" s="46" t="s">
        <v>290</v>
      </c>
      <c r="F571" s="46" t="s">
        <v>987</v>
      </c>
      <c r="H571" s="218">
        <v>-374.5</v>
      </c>
      <c r="I571" s="220">
        <v>132003.15</v>
      </c>
      <c r="J571" s="217"/>
      <c r="K571" s="214">
        <v>-1</v>
      </c>
    </row>
    <row r="572" spans="1:11" ht="12.75" customHeight="1" x14ac:dyDescent="0.25">
      <c r="A572" s="34" t="s">
        <v>53</v>
      </c>
      <c r="B572" s="89">
        <v>46139</v>
      </c>
      <c r="C572" s="46" t="s">
        <v>856</v>
      </c>
      <c r="D572" s="46" t="s">
        <v>857</v>
      </c>
      <c r="E572" s="46" t="s">
        <v>925</v>
      </c>
      <c r="F572" s="46" t="s">
        <v>988</v>
      </c>
      <c r="H572" s="218">
        <v>-39.69</v>
      </c>
      <c r="I572" s="220">
        <v>131963.46</v>
      </c>
      <c r="J572" s="217"/>
      <c r="K572" s="214">
        <v>-1</v>
      </c>
    </row>
    <row r="573" spans="1:11" ht="12.75" customHeight="1" x14ac:dyDescent="0.25">
      <c r="A573" s="34" t="s">
        <v>53</v>
      </c>
      <c r="B573" s="89">
        <v>46140</v>
      </c>
      <c r="C573" s="46" t="s">
        <v>858</v>
      </c>
      <c r="D573" s="46" t="s">
        <v>859</v>
      </c>
      <c r="E573" s="46" t="s">
        <v>243</v>
      </c>
      <c r="F573" s="46" t="s">
        <v>989</v>
      </c>
      <c r="H573" s="218">
        <v>-1400</v>
      </c>
      <c r="I573" s="220">
        <v>130563.46</v>
      </c>
      <c r="J573" s="217"/>
      <c r="K573" s="214">
        <v>-1</v>
      </c>
    </row>
    <row r="574" spans="1:11" ht="12.75" customHeight="1" x14ac:dyDescent="0.25">
      <c r="A574" s="34" t="s">
        <v>68</v>
      </c>
      <c r="B574" s="89">
        <v>46140</v>
      </c>
      <c r="C574" s="46" t="s">
        <v>858</v>
      </c>
      <c r="D574" s="46" t="s">
        <v>859</v>
      </c>
      <c r="E574" s="46" t="s">
        <v>243</v>
      </c>
      <c r="F574" s="46" t="s">
        <v>989</v>
      </c>
      <c r="H574" s="218">
        <v>-1400</v>
      </c>
      <c r="I574" s="220">
        <v>129163.46</v>
      </c>
      <c r="J574" s="217"/>
      <c r="K574" s="214">
        <v>-1</v>
      </c>
    </row>
    <row r="575" spans="1:11" ht="12.75" customHeight="1" x14ac:dyDescent="0.25">
      <c r="A575" s="34" t="s">
        <v>53</v>
      </c>
      <c r="B575" s="89">
        <v>46140</v>
      </c>
      <c r="C575" s="46" t="s">
        <v>860</v>
      </c>
      <c r="D575" s="46" t="s">
        <v>861</v>
      </c>
      <c r="E575" s="46" t="s">
        <v>126</v>
      </c>
      <c r="F575" s="46" t="s">
        <v>20</v>
      </c>
      <c r="G575" s="76">
        <v>75</v>
      </c>
      <c r="H575" s="218"/>
      <c r="I575" s="220">
        <v>129238.46</v>
      </c>
      <c r="J575" s="217" t="s">
        <v>347</v>
      </c>
      <c r="K575" s="214">
        <v>2</v>
      </c>
    </row>
    <row r="576" spans="1:11" ht="12.75" customHeight="1" x14ac:dyDescent="0.25">
      <c r="A576" s="34" t="s">
        <v>53</v>
      </c>
      <c r="B576" s="89">
        <v>46140</v>
      </c>
      <c r="C576" s="46" t="s">
        <v>860</v>
      </c>
      <c r="D576" s="46" t="s">
        <v>861</v>
      </c>
      <c r="E576" s="46" t="s">
        <v>126</v>
      </c>
      <c r="F576" s="46" t="s">
        <v>20</v>
      </c>
      <c r="G576" s="76">
        <v>75</v>
      </c>
      <c r="H576" s="218"/>
      <c r="I576" s="220">
        <v>129313.46</v>
      </c>
      <c r="J576" s="217" t="s">
        <v>347</v>
      </c>
      <c r="K576" s="214">
        <v>2</v>
      </c>
    </row>
    <row r="577" spans="1:11" ht="12.75" customHeight="1" x14ac:dyDescent="0.25">
      <c r="A577" s="34" t="s">
        <v>53</v>
      </c>
      <c r="B577" s="89">
        <v>46140</v>
      </c>
      <c r="C577" s="46" t="s">
        <v>860</v>
      </c>
      <c r="D577" s="46" t="s">
        <v>861</v>
      </c>
      <c r="E577" s="46" t="s">
        <v>126</v>
      </c>
      <c r="F577" s="46" t="s">
        <v>20</v>
      </c>
      <c r="G577" s="76">
        <v>168.98</v>
      </c>
      <c r="H577" s="218"/>
      <c r="I577" s="220">
        <v>129482.44</v>
      </c>
      <c r="J577" s="217" t="s">
        <v>347</v>
      </c>
      <c r="K577" s="214">
        <v>2</v>
      </c>
    </row>
    <row r="578" spans="1:11" ht="12.75" customHeight="1" x14ac:dyDescent="0.25">
      <c r="A578" s="34" t="s">
        <v>53</v>
      </c>
      <c r="B578" s="89">
        <v>46140</v>
      </c>
      <c r="C578" s="46" t="s">
        <v>860</v>
      </c>
      <c r="D578" s="46" t="s">
        <v>861</v>
      </c>
      <c r="E578" s="46" t="s">
        <v>126</v>
      </c>
      <c r="F578" s="46" t="s">
        <v>20</v>
      </c>
      <c r="G578" s="76">
        <v>920.06</v>
      </c>
      <c r="H578" s="218"/>
      <c r="I578" s="220">
        <v>130402.5</v>
      </c>
      <c r="J578" s="53" t="s">
        <v>347</v>
      </c>
      <c r="K578" s="214">
        <v>2</v>
      </c>
    </row>
    <row r="579" spans="1:11" ht="12.75" customHeight="1" x14ac:dyDescent="0.25">
      <c r="A579" s="34" t="s">
        <v>53</v>
      </c>
      <c r="B579" s="89">
        <v>46140</v>
      </c>
      <c r="C579" s="46" t="s">
        <v>860</v>
      </c>
      <c r="D579" s="46" t="s">
        <v>861</v>
      </c>
      <c r="E579" s="46" t="s">
        <v>126</v>
      </c>
      <c r="F579" s="46" t="s">
        <v>20</v>
      </c>
      <c r="G579" s="76">
        <v>48.96</v>
      </c>
      <c r="H579" s="218"/>
      <c r="I579" s="220">
        <v>130451.46</v>
      </c>
      <c r="J579" s="53" t="s">
        <v>347</v>
      </c>
      <c r="K579" s="214">
        <v>2</v>
      </c>
    </row>
    <row r="580" spans="1:11" ht="12.75" customHeight="1" x14ac:dyDescent="0.25">
      <c r="A580" s="34" t="s">
        <v>53</v>
      </c>
      <c r="B580" s="89">
        <v>46141</v>
      </c>
      <c r="C580" s="46" t="s">
        <v>862</v>
      </c>
      <c r="D580" s="46" t="s">
        <v>863</v>
      </c>
      <c r="E580" s="46" t="s">
        <v>187</v>
      </c>
      <c r="F580" s="46" t="s">
        <v>990</v>
      </c>
      <c r="H580" s="218">
        <v>-4.28</v>
      </c>
      <c r="I580" s="220">
        <v>130447.18</v>
      </c>
      <c r="J580" s="53" t="s">
        <v>348</v>
      </c>
      <c r="K580" s="214">
        <v>-2</v>
      </c>
    </row>
    <row r="581" spans="1:11" ht="12.75" customHeight="1" x14ac:dyDescent="0.25">
      <c r="A581" s="34" t="s">
        <v>53</v>
      </c>
      <c r="B581" s="89">
        <v>46141</v>
      </c>
      <c r="C581" s="46" t="s">
        <v>862</v>
      </c>
      <c r="D581" s="46" t="s">
        <v>863</v>
      </c>
      <c r="E581" s="46" t="s">
        <v>187</v>
      </c>
      <c r="F581" s="46" t="s">
        <v>991</v>
      </c>
      <c r="H581" s="218">
        <v>-31.9</v>
      </c>
      <c r="I581" s="220">
        <v>130415.28</v>
      </c>
      <c r="J581" s="53" t="s">
        <v>348</v>
      </c>
      <c r="K581" s="214">
        <v>-2</v>
      </c>
    </row>
    <row r="582" spans="1:11" ht="12.75" customHeight="1" x14ac:dyDescent="0.25">
      <c r="A582" s="34" t="s">
        <v>53</v>
      </c>
      <c r="B582" s="89">
        <v>46141</v>
      </c>
      <c r="C582" s="46" t="s">
        <v>862</v>
      </c>
      <c r="D582" s="46" t="s">
        <v>863</v>
      </c>
      <c r="E582" s="46" t="s">
        <v>187</v>
      </c>
      <c r="F582" s="46" t="s">
        <v>991</v>
      </c>
      <c r="H582" s="218">
        <v>-55.82</v>
      </c>
      <c r="I582" s="220">
        <v>130359.46</v>
      </c>
      <c r="J582" s="53" t="s">
        <v>348</v>
      </c>
      <c r="K582" s="214">
        <v>-2</v>
      </c>
    </row>
    <row r="583" spans="1:11" ht="12.75" customHeight="1" x14ac:dyDescent="0.25">
      <c r="A583" s="34" t="s">
        <v>53</v>
      </c>
      <c r="B583" s="89">
        <v>46141</v>
      </c>
      <c r="C583" s="46" t="s">
        <v>862</v>
      </c>
      <c r="D583" s="46" t="s">
        <v>863</v>
      </c>
      <c r="E583" s="46" t="s">
        <v>187</v>
      </c>
      <c r="F583" s="46" t="s">
        <v>991</v>
      </c>
      <c r="H583" s="218">
        <v>-387.69</v>
      </c>
      <c r="I583" s="220">
        <v>129971.77</v>
      </c>
      <c r="J583" s="53" t="s">
        <v>348</v>
      </c>
      <c r="K583" s="214">
        <v>-2</v>
      </c>
    </row>
    <row r="584" spans="1:11" ht="12.75" customHeight="1" x14ac:dyDescent="0.25">
      <c r="A584" s="34" t="s">
        <v>53</v>
      </c>
      <c r="B584" s="89">
        <v>46141</v>
      </c>
      <c r="C584" s="46" t="s">
        <v>862</v>
      </c>
      <c r="D584" s="46" t="s">
        <v>863</v>
      </c>
      <c r="E584" s="46" t="s">
        <v>187</v>
      </c>
      <c r="F584" s="46" t="s">
        <v>990</v>
      </c>
      <c r="H584" s="218">
        <v>-15.02</v>
      </c>
      <c r="I584" s="220">
        <v>129956.75</v>
      </c>
      <c r="J584" s="217" t="s">
        <v>348</v>
      </c>
      <c r="K584" s="214">
        <v>-2</v>
      </c>
    </row>
    <row r="585" spans="1:11" ht="12.75" customHeight="1" x14ac:dyDescent="0.25">
      <c r="A585" s="34" t="s">
        <v>53</v>
      </c>
      <c r="B585" s="89">
        <v>46141</v>
      </c>
      <c r="C585" s="46" t="s">
        <v>862</v>
      </c>
      <c r="D585" s="46" t="s">
        <v>863</v>
      </c>
      <c r="E585" s="46" t="s">
        <v>187</v>
      </c>
      <c r="F585" s="46" t="s">
        <v>991</v>
      </c>
      <c r="H585" s="218">
        <v>-197.45</v>
      </c>
      <c r="I585" s="220">
        <v>129759.3</v>
      </c>
      <c r="J585" s="53" t="s">
        <v>348</v>
      </c>
      <c r="K585" s="214">
        <v>-2</v>
      </c>
    </row>
    <row r="586" spans="1:11" ht="12.75" customHeight="1" x14ac:dyDescent="0.25">
      <c r="A586" s="34" t="s">
        <v>53</v>
      </c>
      <c r="B586" s="89">
        <v>46141</v>
      </c>
      <c r="C586" s="46" t="s">
        <v>862</v>
      </c>
      <c r="D586" s="46" t="s">
        <v>863</v>
      </c>
      <c r="E586" s="46" t="s">
        <v>187</v>
      </c>
      <c r="F586" s="46" t="s">
        <v>991</v>
      </c>
      <c r="H586" s="218">
        <v>-47.28</v>
      </c>
      <c r="I586" s="220">
        <v>129712.02</v>
      </c>
      <c r="J586" s="53" t="s">
        <v>348</v>
      </c>
      <c r="K586" s="214">
        <v>-2</v>
      </c>
    </row>
    <row r="587" spans="1:11" ht="12.75" customHeight="1" x14ac:dyDescent="0.25">
      <c r="A587" s="34" t="s">
        <v>53</v>
      </c>
      <c r="B587" s="89">
        <v>46141</v>
      </c>
      <c r="C587" s="46" t="s">
        <v>862</v>
      </c>
      <c r="D587" s="46" t="s">
        <v>863</v>
      </c>
      <c r="E587" s="46" t="s">
        <v>187</v>
      </c>
      <c r="F587" s="46" t="s">
        <v>990</v>
      </c>
      <c r="H587" s="218">
        <v>-1.1499999999999999</v>
      </c>
      <c r="I587" s="220">
        <v>129710.87</v>
      </c>
      <c r="J587" s="217" t="s">
        <v>348</v>
      </c>
      <c r="K587" s="214">
        <v>-2</v>
      </c>
    </row>
    <row r="588" spans="1:11" ht="12.75" customHeight="1" x14ac:dyDescent="0.25">
      <c r="A588" s="34" t="s">
        <v>53</v>
      </c>
      <c r="B588" s="89">
        <v>46141</v>
      </c>
      <c r="C588" s="46" t="s">
        <v>862</v>
      </c>
      <c r="D588" s="46" t="s">
        <v>863</v>
      </c>
      <c r="E588" s="46" t="s">
        <v>187</v>
      </c>
      <c r="F588" s="46" t="s">
        <v>991</v>
      </c>
      <c r="G588" s="76">
        <v>20.55</v>
      </c>
      <c r="H588" s="218"/>
      <c r="I588" s="220">
        <v>129731.42</v>
      </c>
      <c r="J588" s="217" t="s">
        <v>348</v>
      </c>
      <c r="K588" s="214">
        <v>-2</v>
      </c>
    </row>
    <row r="589" spans="1:11" ht="12.75" customHeight="1" x14ac:dyDescent="0.25">
      <c r="A589" s="34" t="s">
        <v>53</v>
      </c>
      <c r="B589" s="89">
        <v>46141</v>
      </c>
      <c r="C589" s="46" t="s">
        <v>862</v>
      </c>
      <c r="D589" s="46" t="s">
        <v>863</v>
      </c>
      <c r="E589" s="46" t="s">
        <v>187</v>
      </c>
      <c r="F589" s="46" t="s">
        <v>991</v>
      </c>
      <c r="G589" s="76">
        <v>2.04</v>
      </c>
      <c r="H589" s="218"/>
      <c r="I589" s="220">
        <v>129733.46</v>
      </c>
      <c r="J589" s="217" t="s">
        <v>348</v>
      </c>
      <c r="K589" s="214">
        <v>-2</v>
      </c>
    </row>
    <row r="590" spans="1:11" ht="12.75" customHeight="1" x14ac:dyDescent="0.25">
      <c r="A590" s="34" t="s">
        <v>53</v>
      </c>
      <c r="B590" s="89">
        <v>46141</v>
      </c>
      <c r="C590" s="46" t="s">
        <v>862</v>
      </c>
      <c r="D590" s="46" t="s">
        <v>863</v>
      </c>
      <c r="E590" s="46" t="s">
        <v>187</v>
      </c>
      <c r="F590" s="46" t="s">
        <v>991</v>
      </c>
      <c r="G590" s="76">
        <v>2.19</v>
      </c>
      <c r="H590" s="218"/>
      <c r="I590" s="220">
        <v>129735.65</v>
      </c>
      <c r="J590" s="217" t="s">
        <v>348</v>
      </c>
      <c r="K590" s="214">
        <v>-2</v>
      </c>
    </row>
    <row r="591" spans="1:11" ht="12.75" customHeight="1" x14ac:dyDescent="0.25">
      <c r="A591" s="34" t="s">
        <v>53</v>
      </c>
      <c r="B591" s="89">
        <v>46141</v>
      </c>
      <c r="C591" s="46" t="s">
        <v>862</v>
      </c>
      <c r="D591" s="46" t="s">
        <v>863</v>
      </c>
      <c r="E591" s="46" t="s">
        <v>187</v>
      </c>
      <c r="F591" s="46" t="s">
        <v>991</v>
      </c>
      <c r="G591" s="76">
        <v>0.15</v>
      </c>
      <c r="H591" s="218"/>
      <c r="I591" s="220">
        <v>129735.8</v>
      </c>
      <c r="J591" s="217" t="s">
        <v>348</v>
      </c>
      <c r="K591" s="214">
        <v>-2</v>
      </c>
    </row>
    <row r="592" spans="1:11" ht="12.75" customHeight="1" x14ac:dyDescent="0.25">
      <c r="A592" s="34" t="s">
        <v>68</v>
      </c>
      <c r="B592" s="89">
        <v>46141</v>
      </c>
      <c r="C592" s="46" t="s">
        <v>862</v>
      </c>
      <c r="D592" s="46" t="s">
        <v>863</v>
      </c>
      <c r="E592" s="46" t="s">
        <v>187</v>
      </c>
      <c r="F592" s="46" t="s">
        <v>991</v>
      </c>
      <c r="H592" s="218">
        <v>-4.25</v>
      </c>
      <c r="I592" s="220">
        <v>129731.55</v>
      </c>
      <c r="J592" s="217" t="s">
        <v>348</v>
      </c>
      <c r="K592" s="214">
        <v>-2</v>
      </c>
    </row>
    <row r="593" spans="1:11" ht="12.75" customHeight="1" x14ac:dyDescent="0.25">
      <c r="A593" s="34" t="s">
        <v>68</v>
      </c>
      <c r="B593" s="89">
        <v>46141</v>
      </c>
      <c r="C593" s="46" t="s">
        <v>862</v>
      </c>
      <c r="D593" s="46" t="s">
        <v>863</v>
      </c>
      <c r="E593" s="46" t="s">
        <v>187</v>
      </c>
      <c r="F593" s="46" t="s">
        <v>991</v>
      </c>
      <c r="H593" s="218">
        <v>-707.2</v>
      </c>
      <c r="I593" s="220">
        <v>129024.35</v>
      </c>
      <c r="J593" s="217" t="s">
        <v>348</v>
      </c>
      <c r="K593" s="214">
        <v>-2</v>
      </c>
    </row>
    <row r="594" spans="1:11" ht="12.75" customHeight="1" x14ac:dyDescent="0.25">
      <c r="A594" s="34" t="s">
        <v>68</v>
      </c>
      <c r="B594" s="89">
        <v>46141</v>
      </c>
      <c r="C594" s="46" t="s">
        <v>862</v>
      </c>
      <c r="D594" s="46" t="s">
        <v>863</v>
      </c>
      <c r="E594" s="46" t="s">
        <v>187</v>
      </c>
      <c r="F594" s="46" t="s">
        <v>991</v>
      </c>
      <c r="H594" s="218">
        <v>-387.69</v>
      </c>
      <c r="I594" s="220">
        <v>128636.66</v>
      </c>
      <c r="J594" s="217" t="s">
        <v>348</v>
      </c>
      <c r="K594" s="214">
        <v>-2</v>
      </c>
    </row>
    <row r="595" spans="1:11" ht="12.75" customHeight="1" x14ac:dyDescent="0.25">
      <c r="A595" s="34" t="s">
        <v>68</v>
      </c>
      <c r="B595" s="89">
        <v>46141</v>
      </c>
      <c r="C595" s="46" t="s">
        <v>862</v>
      </c>
      <c r="D595" s="46" t="s">
        <v>863</v>
      </c>
      <c r="E595" s="46" t="s">
        <v>187</v>
      </c>
      <c r="F595" s="46" t="s">
        <v>991</v>
      </c>
      <c r="H595" s="218">
        <v>-373.27</v>
      </c>
      <c r="I595" s="220">
        <v>128263.39</v>
      </c>
      <c r="J595" s="217" t="s">
        <v>348</v>
      </c>
      <c r="K595" s="214">
        <v>-2</v>
      </c>
    </row>
    <row r="596" spans="1:11" ht="12.75" customHeight="1" x14ac:dyDescent="0.25">
      <c r="A596" s="34" t="s">
        <v>68</v>
      </c>
      <c r="B596" s="89">
        <v>46141</v>
      </c>
      <c r="C596" s="46" t="s">
        <v>862</v>
      </c>
      <c r="D596" s="46" t="s">
        <v>863</v>
      </c>
      <c r="E596" s="46" t="s">
        <v>187</v>
      </c>
      <c r="F596" s="46" t="s">
        <v>991</v>
      </c>
      <c r="H596" s="218">
        <v>-110.59</v>
      </c>
      <c r="I596" s="220">
        <v>128152.8</v>
      </c>
      <c r="J596" s="217" t="s">
        <v>348</v>
      </c>
      <c r="K596" s="214">
        <v>-2</v>
      </c>
    </row>
    <row r="597" spans="1:11" ht="12.75" customHeight="1" x14ac:dyDescent="0.25">
      <c r="A597" s="34" t="s">
        <v>68</v>
      </c>
      <c r="B597" s="89">
        <v>46141</v>
      </c>
      <c r="C597" s="46" t="s">
        <v>862</v>
      </c>
      <c r="D597" s="46" t="s">
        <v>863</v>
      </c>
      <c r="E597" s="46" t="s">
        <v>187</v>
      </c>
      <c r="F597" s="46" t="s">
        <v>991</v>
      </c>
      <c r="G597" s="76">
        <v>20.420000000000002</v>
      </c>
      <c r="H597" s="218"/>
      <c r="I597" s="220">
        <v>128173.22</v>
      </c>
      <c r="J597" s="217" t="s">
        <v>348</v>
      </c>
      <c r="K597" s="214">
        <v>-2</v>
      </c>
    </row>
    <row r="598" spans="1:11" ht="12.75" customHeight="1" x14ac:dyDescent="0.25">
      <c r="A598" s="34" t="s">
        <v>68</v>
      </c>
      <c r="B598" s="89">
        <v>46141</v>
      </c>
      <c r="C598" s="46" t="s">
        <v>862</v>
      </c>
      <c r="D598" s="46" t="s">
        <v>863</v>
      </c>
      <c r="E598" s="46" t="s">
        <v>187</v>
      </c>
      <c r="F598" s="46" t="s">
        <v>991</v>
      </c>
      <c r="G598" s="76">
        <v>2.04</v>
      </c>
      <c r="H598" s="218"/>
      <c r="I598" s="220">
        <v>128175.26</v>
      </c>
      <c r="J598" s="217" t="s">
        <v>348</v>
      </c>
      <c r="K598" s="214">
        <v>-2</v>
      </c>
    </row>
    <row r="599" spans="1:11" ht="12.75" customHeight="1" x14ac:dyDescent="0.25">
      <c r="A599" s="34" t="s">
        <v>68</v>
      </c>
      <c r="B599" s="89">
        <v>46141</v>
      </c>
      <c r="C599" s="46" t="s">
        <v>862</v>
      </c>
      <c r="D599" s="46" t="s">
        <v>863</v>
      </c>
      <c r="E599" s="46" t="s">
        <v>187</v>
      </c>
      <c r="F599" s="46" t="s">
        <v>991</v>
      </c>
      <c r="G599" s="76">
        <v>2.17</v>
      </c>
      <c r="H599" s="218"/>
      <c r="I599" s="220">
        <v>128177.43</v>
      </c>
      <c r="J599" s="217" t="s">
        <v>348</v>
      </c>
      <c r="K599" s="214">
        <v>-2</v>
      </c>
    </row>
    <row r="600" spans="1:11" ht="12.75" customHeight="1" x14ac:dyDescent="0.25">
      <c r="A600" s="34" t="s">
        <v>68</v>
      </c>
      <c r="B600" s="89">
        <v>46141</v>
      </c>
      <c r="C600" s="46" t="s">
        <v>862</v>
      </c>
      <c r="D600" s="46" t="s">
        <v>863</v>
      </c>
      <c r="E600" s="46" t="s">
        <v>187</v>
      </c>
      <c r="F600" s="46" t="s">
        <v>991</v>
      </c>
      <c r="G600" s="76">
        <v>0.14000000000000001</v>
      </c>
      <c r="H600" s="218"/>
      <c r="I600" s="220">
        <v>128177.57</v>
      </c>
      <c r="J600" s="217" t="s">
        <v>348</v>
      </c>
      <c r="K600" s="214">
        <v>-2</v>
      </c>
    </row>
    <row r="601" spans="1:11" ht="12.75" customHeight="1" x14ac:dyDescent="0.25">
      <c r="A601" s="34" t="s">
        <v>68</v>
      </c>
      <c r="B601" s="89">
        <v>46141</v>
      </c>
      <c r="C601" s="46" t="s">
        <v>864</v>
      </c>
      <c r="D601" s="46" t="s">
        <v>865</v>
      </c>
      <c r="E601" s="46" t="s">
        <v>926</v>
      </c>
      <c r="F601" s="46" t="s">
        <v>992</v>
      </c>
      <c r="H601" s="218">
        <v>-125</v>
      </c>
      <c r="I601" s="220">
        <v>128052.57</v>
      </c>
      <c r="J601" s="217"/>
      <c r="K601" s="214">
        <v>-1</v>
      </c>
    </row>
    <row r="602" spans="1:11" ht="12.75" customHeight="1" x14ac:dyDescent="0.25">
      <c r="A602" s="34" t="s">
        <v>68</v>
      </c>
      <c r="B602" s="89">
        <v>46141</v>
      </c>
      <c r="C602" s="46" t="s">
        <v>866</v>
      </c>
      <c r="D602" s="46" t="s">
        <v>289</v>
      </c>
      <c r="E602" s="46" t="s">
        <v>177</v>
      </c>
      <c r="F602" s="46" t="s">
        <v>276</v>
      </c>
      <c r="H602" s="218">
        <v>-350.41</v>
      </c>
      <c r="I602" s="220">
        <v>127702.16</v>
      </c>
      <c r="J602" s="89">
        <v>46141</v>
      </c>
      <c r="K602" s="214">
        <v>-4</v>
      </c>
    </row>
    <row r="603" spans="1:11" ht="12.75" customHeight="1" x14ac:dyDescent="0.25">
      <c r="A603" s="34" t="s">
        <v>68</v>
      </c>
      <c r="B603" s="89">
        <v>46141</v>
      </c>
      <c r="C603" s="46" t="s">
        <v>866</v>
      </c>
      <c r="D603" s="46" t="s">
        <v>289</v>
      </c>
      <c r="E603" s="46" t="s">
        <v>177</v>
      </c>
      <c r="F603" s="46" t="s">
        <v>276</v>
      </c>
      <c r="G603" s="76">
        <v>350.41</v>
      </c>
      <c r="H603" s="218"/>
      <c r="I603" s="220">
        <v>128052.57</v>
      </c>
      <c r="J603" s="89">
        <v>46141</v>
      </c>
      <c r="K603" s="214">
        <v>4</v>
      </c>
    </row>
    <row r="604" spans="1:11" ht="12.75" customHeight="1" x14ac:dyDescent="0.25">
      <c r="A604" s="34" t="s">
        <v>68</v>
      </c>
      <c r="B604" s="89">
        <v>46141</v>
      </c>
      <c r="C604" s="46" t="s">
        <v>867</v>
      </c>
      <c r="D604" s="46" t="s">
        <v>289</v>
      </c>
      <c r="E604" s="46" t="s">
        <v>177</v>
      </c>
      <c r="F604" s="46" t="s">
        <v>276</v>
      </c>
      <c r="H604" s="218">
        <v>-49.52</v>
      </c>
      <c r="I604" s="220">
        <v>128003.05</v>
      </c>
      <c r="J604" s="89">
        <v>46141</v>
      </c>
      <c r="K604" s="214">
        <v>-4</v>
      </c>
    </row>
    <row r="605" spans="1:11" ht="12.75" customHeight="1" x14ac:dyDescent="0.25">
      <c r="A605" s="34" t="s">
        <v>68</v>
      </c>
      <c r="B605" s="89">
        <v>46141</v>
      </c>
      <c r="C605" s="46" t="s">
        <v>867</v>
      </c>
      <c r="D605" s="46" t="s">
        <v>289</v>
      </c>
      <c r="E605" s="46" t="s">
        <v>177</v>
      </c>
      <c r="F605" s="46" t="s">
        <v>276</v>
      </c>
      <c r="G605" s="76">
        <v>49.52</v>
      </c>
      <c r="H605" s="218"/>
      <c r="I605" s="220">
        <v>128052.57</v>
      </c>
      <c r="J605" s="89">
        <v>46141</v>
      </c>
      <c r="K605" s="214">
        <v>4</v>
      </c>
    </row>
    <row r="606" spans="1:11" ht="12.75" customHeight="1" x14ac:dyDescent="0.25">
      <c r="A606" s="34" t="s">
        <v>68</v>
      </c>
      <c r="B606" s="89">
        <v>46141</v>
      </c>
      <c r="C606" s="46" t="s">
        <v>868</v>
      </c>
      <c r="D606" s="46" t="s">
        <v>289</v>
      </c>
      <c r="E606" s="46" t="s">
        <v>177</v>
      </c>
      <c r="F606" s="46" t="s">
        <v>276</v>
      </c>
      <c r="H606" s="218">
        <v>-50.07</v>
      </c>
      <c r="I606" s="220">
        <v>128002.5</v>
      </c>
      <c r="J606" s="89">
        <v>46141</v>
      </c>
      <c r="K606" s="214">
        <v>-4</v>
      </c>
    </row>
    <row r="607" spans="1:11" ht="12.75" customHeight="1" x14ac:dyDescent="0.25">
      <c r="A607" s="34" t="s">
        <v>68</v>
      </c>
      <c r="B607" s="89">
        <v>46141</v>
      </c>
      <c r="C607" s="46" t="s">
        <v>868</v>
      </c>
      <c r="D607" s="46" t="s">
        <v>289</v>
      </c>
      <c r="E607" s="46" t="s">
        <v>177</v>
      </c>
      <c r="F607" s="46" t="s">
        <v>276</v>
      </c>
      <c r="G607" s="76">
        <v>50.07</v>
      </c>
      <c r="H607" s="218"/>
      <c r="I607" s="220">
        <v>128052.57</v>
      </c>
      <c r="J607" s="89">
        <v>46141</v>
      </c>
      <c r="K607" s="214">
        <v>4</v>
      </c>
    </row>
    <row r="608" spans="1:11" ht="12.75" customHeight="1" x14ac:dyDescent="0.25">
      <c r="A608" s="34" t="s">
        <v>68</v>
      </c>
      <c r="B608" s="89">
        <v>46141</v>
      </c>
      <c r="C608" s="46" t="s">
        <v>869</v>
      </c>
      <c r="D608" s="46" t="s">
        <v>289</v>
      </c>
      <c r="E608" s="46" t="s">
        <v>177</v>
      </c>
      <c r="F608" s="46" t="s">
        <v>276</v>
      </c>
      <c r="G608" s="76">
        <v>24.93</v>
      </c>
      <c r="H608" s="218"/>
      <c r="I608" s="220">
        <v>128077.5</v>
      </c>
      <c r="J608" s="89">
        <v>46141</v>
      </c>
      <c r="K608" s="214">
        <v>4</v>
      </c>
    </row>
    <row r="609" spans="1:11" ht="12.75" customHeight="1" x14ac:dyDescent="0.25">
      <c r="A609" s="34" t="s">
        <v>68</v>
      </c>
      <c r="B609" s="89">
        <v>46141</v>
      </c>
      <c r="C609" s="46" t="s">
        <v>869</v>
      </c>
      <c r="D609" s="46" t="s">
        <v>289</v>
      </c>
      <c r="E609" s="46" t="s">
        <v>177</v>
      </c>
      <c r="F609" s="46" t="s">
        <v>276</v>
      </c>
      <c r="H609" s="218">
        <v>-24.93</v>
      </c>
      <c r="I609" s="220">
        <v>128052.57</v>
      </c>
      <c r="J609" s="89">
        <v>46141</v>
      </c>
      <c r="K609" s="214">
        <v>-4</v>
      </c>
    </row>
    <row r="610" spans="1:11" ht="12.75" customHeight="1" x14ac:dyDescent="0.25">
      <c r="A610" s="34" t="s">
        <v>68</v>
      </c>
      <c r="B610" s="89">
        <v>46141</v>
      </c>
      <c r="C610" s="46" t="s">
        <v>870</v>
      </c>
      <c r="D610" s="46" t="s">
        <v>289</v>
      </c>
      <c r="E610" s="46" t="s">
        <v>177</v>
      </c>
      <c r="F610" s="46" t="s">
        <v>276</v>
      </c>
      <c r="H610" s="218">
        <v>-75</v>
      </c>
      <c r="I610" s="220">
        <v>127977.57</v>
      </c>
      <c r="J610" s="89">
        <v>46141</v>
      </c>
      <c r="K610" s="214">
        <v>-4</v>
      </c>
    </row>
    <row r="611" spans="1:11" ht="12.75" customHeight="1" x14ac:dyDescent="0.25">
      <c r="A611" s="34" t="s">
        <v>68</v>
      </c>
      <c r="B611" s="89">
        <v>46141</v>
      </c>
      <c r="C611" s="46" t="s">
        <v>870</v>
      </c>
      <c r="D611" s="46" t="s">
        <v>289</v>
      </c>
      <c r="E611" s="46" t="s">
        <v>177</v>
      </c>
      <c r="F611" s="46" t="s">
        <v>276</v>
      </c>
      <c r="G611" s="76">
        <v>75</v>
      </c>
      <c r="H611" s="218"/>
      <c r="I611" s="220">
        <v>128052.57</v>
      </c>
      <c r="J611" s="89">
        <v>46141</v>
      </c>
      <c r="K611" s="214">
        <v>4</v>
      </c>
    </row>
    <row r="612" spans="1:11" ht="12.75" customHeight="1" x14ac:dyDescent="0.25">
      <c r="A612" s="34" t="s">
        <v>53</v>
      </c>
      <c r="B612" s="89">
        <v>46141</v>
      </c>
      <c r="C612" s="46" t="s">
        <v>871</v>
      </c>
      <c r="D612" s="46" t="s">
        <v>872</v>
      </c>
      <c r="E612" s="46" t="s">
        <v>927</v>
      </c>
      <c r="F612" s="46" t="s">
        <v>284</v>
      </c>
      <c r="G612" s="76">
        <v>40</v>
      </c>
      <c r="H612" s="218"/>
      <c r="I612" s="220">
        <v>128092.57</v>
      </c>
      <c r="J612" s="217"/>
      <c r="K612" s="214">
        <v>1</v>
      </c>
    </row>
    <row r="613" spans="1:11" ht="12.75" customHeight="1" x14ac:dyDescent="0.25">
      <c r="A613" s="34" t="s">
        <v>53</v>
      </c>
      <c r="B613" s="89">
        <v>46141</v>
      </c>
      <c r="C613" s="46" t="s">
        <v>873</v>
      </c>
      <c r="D613" s="46" t="s">
        <v>874</v>
      </c>
      <c r="E613" s="46" t="s">
        <v>255</v>
      </c>
      <c r="F613" s="46" t="s">
        <v>249</v>
      </c>
      <c r="G613" s="76">
        <v>75</v>
      </c>
      <c r="H613" s="218"/>
      <c r="I613" s="220">
        <v>128167.57</v>
      </c>
      <c r="J613" s="217"/>
      <c r="K613" s="214">
        <v>1</v>
      </c>
    </row>
    <row r="614" spans="1:11" ht="12.75" customHeight="1" x14ac:dyDescent="0.25">
      <c r="A614" s="34" t="s">
        <v>53</v>
      </c>
      <c r="B614" s="89">
        <v>46141</v>
      </c>
      <c r="C614" s="46" t="s">
        <v>873</v>
      </c>
      <c r="D614" s="46" t="s">
        <v>874</v>
      </c>
      <c r="E614" s="46" t="s">
        <v>255</v>
      </c>
      <c r="F614" s="46" t="s">
        <v>249</v>
      </c>
      <c r="G614" s="76">
        <v>75</v>
      </c>
      <c r="H614" s="218"/>
      <c r="I614" s="220">
        <v>128242.57</v>
      </c>
      <c r="J614" s="217"/>
      <c r="K614" s="214">
        <v>1</v>
      </c>
    </row>
    <row r="615" spans="1:11" ht="12.75" customHeight="1" x14ac:dyDescent="0.25">
      <c r="A615" s="34" t="s">
        <v>53</v>
      </c>
      <c r="B615" s="89">
        <v>46141</v>
      </c>
      <c r="C615" s="46" t="s">
        <v>873</v>
      </c>
      <c r="D615" s="46" t="s">
        <v>874</v>
      </c>
      <c r="E615" s="46" t="s">
        <v>255</v>
      </c>
      <c r="F615" s="46" t="s">
        <v>249</v>
      </c>
      <c r="G615" s="76">
        <v>48.96</v>
      </c>
      <c r="H615" s="218"/>
      <c r="I615" s="220">
        <v>128291.53</v>
      </c>
      <c r="J615" s="217"/>
      <c r="K615" s="214">
        <v>1</v>
      </c>
    </row>
    <row r="616" spans="1:11" ht="12.75" customHeight="1" x14ac:dyDescent="0.25">
      <c r="A616" s="34" t="s">
        <v>53</v>
      </c>
      <c r="B616" s="89">
        <v>46141</v>
      </c>
      <c r="C616" s="46" t="s">
        <v>873</v>
      </c>
      <c r="D616" s="46" t="s">
        <v>874</v>
      </c>
      <c r="E616" s="46" t="s">
        <v>255</v>
      </c>
      <c r="F616" s="46" t="s">
        <v>249</v>
      </c>
      <c r="G616" s="76">
        <v>1000</v>
      </c>
      <c r="H616" s="218"/>
      <c r="I616" s="220">
        <v>129291.53</v>
      </c>
      <c r="J616" s="217"/>
      <c r="K616" s="214">
        <v>1</v>
      </c>
    </row>
    <row r="617" spans="1:11" ht="12.75" customHeight="1" x14ac:dyDescent="0.25">
      <c r="A617" s="34" t="s">
        <v>53</v>
      </c>
      <c r="B617" s="89">
        <v>46142</v>
      </c>
      <c r="C617" s="46" t="s">
        <v>875</v>
      </c>
      <c r="D617" s="46" t="s">
        <v>876</v>
      </c>
      <c r="E617" s="46" t="s">
        <v>192</v>
      </c>
      <c r="F617" s="46" t="s">
        <v>993</v>
      </c>
      <c r="H617" s="218">
        <v>-41.8</v>
      </c>
      <c r="I617" s="220">
        <v>129249.73</v>
      </c>
      <c r="J617" s="217"/>
      <c r="K617" s="214">
        <v>-1</v>
      </c>
    </row>
    <row r="618" spans="1:11" ht="12.75" customHeight="1" x14ac:dyDescent="0.25">
      <c r="A618" s="34" t="s">
        <v>53</v>
      </c>
      <c r="B618" s="89">
        <v>46142</v>
      </c>
      <c r="C618" s="46" t="s">
        <v>875</v>
      </c>
      <c r="D618" s="46" t="s">
        <v>876</v>
      </c>
      <c r="E618" s="46" t="s">
        <v>192</v>
      </c>
      <c r="F618" s="46" t="s">
        <v>994</v>
      </c>
      <c r="H618" s="218">
        <v>-4.18</v>
      </c>
      <c r="I618" s="220">
        <v>129245.55</v>
      </c>
      <c r="J618" s="217"/>
      <c r="K618" s="214">
        <v>-1</v>
      </c>
    </row>
    <row r="619" spans="1:11" ht="12.75" customHeight="1" x14ac:dyDescent="0.25">
      <c r="A619" s="34" t="s">
        <v>53</v>
      </c>
      <c r="B619" s="89">
        <v>46142</v>
      </c>
      <c r="C619" s="46" t="s">
        <v>875</v>
      </c>
      <c r="D619" s="46" t="s">
        <v>876</v>
      </c>
      <c r="E619" s="46" t="s">
        <v>192</v>
      </c>
      <c r="F619" s="46" t="s">
        <v>995</v>
      </c>
      <c r="H619" s="218">
        <v>-6.71</v>
      </c>
      <c r="I619" s="220">
        <v>129238.84</v>
      </c>
      <c r="J619" s="217"/>
      <c r="K619" s="214">
        <v>-1</v>
      </c>
    </row>
    <row r="620" spans="1:11" ht="12.75" customHeight="1" x14ac:dyDescent="0.25">
      <c r="A620" s="34" t="s">
        <v>68</v>
      </c>
      <c r="B620" s="89">
        <v>46142</v>
      </c>
      <c r="C620" s="46" t="s">
        <v>877</v>
      </c>
      <c r="D620" s="46" t="s">
        <v>878</v>
      </c>
      <c r="E620" s="46" t="s">
        <v>915</v>
      </c>
      <c r="F620" s="46" t="s">
        <v>996</v>
      </c>
      <c r="H620" s="218">
        <v>-3225</v>
      </c>
      <c r="I620" s="220">
        <v>126013.84</v>
      </c>
      <c r="J620" s="217"/>
      <c r="K620" s="214">
        <v>-1</v>
      </c>
    </row>
    <row r="621" spans="1:11" ht="12.75" customHeight="1" x14ac:dyDescent="0.25">
      <c r="A621" s="34" t="s">
        <v>68</v>
      </c>
      <c r="B621" s="89">
        <v>46142</v>
      </c>
      <c r="C621" s="46" t="s">
        <v>877</v>
      </c>
      <c r="D621" s="46" t="s">
        <v>878</v>
      </c>
      <c r="E621" s="46" t="s">
        <v>915</v>
      </c>
      <c r="F621" s="46" t="s">
        <v>996</v>
      </c>
      <c r="H621" s="218">
        <v>-125</v>
      </c>
      <c r="I621" s="220">
        <v>125888.84</v>
      </c>
      <c r="J621" s="217"/>
      <c r="K621" s="214">
        <v>-1</v>
      </c>
    </row>
    <row r="622" spans="1:11" ht="12.75" customHeight="1" x14ac:dyDescent="0.25">
      <c r="A622" s="34" t="s">
        <v>53</v>
      </c>
      <c r="B622" s="89">
        <v>46142</v>
      </c>
      <c r="C622" s="46" t="s">
        <v>879</v>
      </c>
      <c r="D622" s="46" t="s">
        <v>880</v>
      </c>
      <c r="E622" s="46" t="s">
        <v>275</v>
      </c>
      <c r="F622" s="46" t="s">
        <v>997</v>
      </c>
      <c r="H622" s="218">
        <v>-38.47</v>
      </c>
      <c r="I622" s="220">
        <v>125850.37</v>
      </c>
      <c r="J622" s="217"/>
      <c r="K622" s="214">
        <v>-1</v>
      </c>
    </row>
    <row r="623" spans="1:11" ht="12.75" customHeight="1" x14ac:dyDescent="0.25">
      <c r="A623" s="34" t="s">
        <v>53</v>
      </c>
      <c r="B623" s="89">
        <v>46142</v>
      </c>
      <c r="C623" s="46" t="s">
        <v>881</v>
      </c>
      <c r="D623" s="46" t="s">
        <v>882</v>
      </c>
      <c r="E623" s="46" t="s">
        <v>275</v>
      </c>
      <c r="F623" s="46" t="s">
        <v>998</v>
      </c>
      <c r="H623" s="218">
        <v>-115.08</v>
      </c>
      <c r="I623" s="220">
        <v>125735.29</v>
      </c>
      <c r="J623" s="217"/>
      <c r="K623" s="214">
        <v>-1</v>
      </c>
    </row>
    <row r="624" spans="1:11" ht="12.75" customHeight="1" x14ac:dyDescent="0.25">
      <c r="A624" s="34" t="s">
        <v>53</v>
      </c>
      <c r="B624" s="89">
        <v>46142</v>
      </c>
      <c r="C624" s="46" t="s">
        <v>883</v>
      </c>
      <c r="D624" s="46" t="s">
        <v>884</v>
      </c>
      <c r="E624" s="46" t="s">
        <v>275</v>
      </c>
      <c r="F624" s="46" t="s">
        <v>999</v>
      </c>
      <c r="H624" s="218">
        <v>-74.33</v>
      </c>
      <c r="I624" s="220">
        <v>125660.96</v>
      </c>
      <c r="J624" s="53"/>
      <c r="K624" s="214">
        <v>-1</v>
      </c>
    </row>
    <row r="625" spans="1:11" ht="12.75" customHeight="1" x14ac:dyDescent="0.25">
      <c r="A625" s="34" t="s">
        <v>53</v>
      </c>
      <c r="B625" s="89">
        <v>46142</v>
      </c>
      <c r="C625" s="46" t="s">
        <v>885</v>
      </c>
      <c r="D625" s="46" t="s">
        <v>886</v>
      </c>
      <c r="E625" s="46" t="s">
        <v>275</v>
      </c>
      <c r="F625" s="46" t="s">
        <v>1000</v>
      </c>
      <c r="H625" s="218">
        <v>-593.48</v>
      </c>
      <c r="I625" s="220">
        <v>125067.48</v>
      </c>
      <c r="J625" s="217"/>
      <c r="K625" s="214">
        <v>-1</v>
      </c>
    </row>
    <row r="626" spans="1:11" ht="12.75" customHeight="1" x14ac:dyDescent="0.25">
      <c r="A626" s="34" t="s">
        <v>53</v>
      </c>
      <c r="B626" s="89">
        <v>46142</v>
      </c>
      <c r="C626" s="46" t="s">
        <v>887</v>
      </c>
      <c r="D626" s="46" t="s">
        <v>888</v>
      </c>
      <c r="E626" s="46" t="s">
        <v>104</v>
      </c>
      <c r="F626" s="46" t="s">
        <v>1001</v>
      </c>
      <c r="H626" s="218">
        <v>-28</v>
      </c>
      <c r="I626" s="220">
        <v>125039.48</v>
      </c>
      <c r="J626" s="217"/>
      <c r="K626" s="214">
        <v>-1</v>
      </c>
    </row>
    <row r="627" spans="1:11" ht="12.75" customHeight="1" x14ac:dyDescent="0.25">
      <c r="A627" s="34" t="s">
        <v>68</v>
      </c>
      <c r="B627" s="89">
        <v>46142</v>
      </c>
      <c r="C627" s="46" t="s">
        <v>887</v>
      </c>
      <c r="D627" s="46" t="s">
        <v>888</v>
      </c>
      <c r="E627" s="46" t="s">
        <v>104</v>
      </c>
      <c r="F627" s="46" t="s">
        <v>1001</v>
      </c>
      <c r="H627" s="218">
        <v>-7</v>
      </c>
      <c r="I627" s="220">
        <v>125032.48</v>
      </c>
      <c r="J627" s="217"/>
      <c r="K627" s="214">
        <v>-1</v>
      </c>
    </row>
    <row r="628" spans="1:11" ht="12.75" customHeight="1" x14ac:dyDescent="0.25">
      <c r="A628" s="34" t="s">
        <v>53</v>
      </c>
      <c r="B628" s="89">
        <v>46142</v>
      </c>
      <c r="C628" s="46" t="s">
        <v>889</v>
      </c>
      <c r="D628" s="46" t="s">
        <v>890</v>
      </c>
      <c r="E628" s="46" t="s">
        <v>254</v>
      </c>
      <c r="F628" s="46" t="s">
        <v>1002</v>
      </c>
      <c r="H628" s="218">
        <v>-20.52</v>
      </c>
      <c r="I628" s="220">
        <v>125011.96</v>
      </c>
      <c r="J628" s="217"/>
      <c r="K628" s="214">
        <v>-1</v>
      </c>
    </row>
    <row r="629" spans="1:11" ht="12.75" customHeight="1" x14ac:dyDescent="0.25">
      <c r="A629" s="34" t="s">
        <v>53</v>
      </c>
      <c r="B629" s="89">
        <v>46142</v>
      </c>
      <c r="C629" s="46" t="s">
        <v>889</v>
      </c>
      <c r="D629" s="46" t="s">
        <v>890</v>
      </c>
      <c r="E629" s="46" t="s">
        <v>254</v>
      </c>
      <c r="F629" s="46" t="s">
        <v>1003</v>
      </c>
      <c r="H629" s="218">
        <v>-77.84</v>
      </c>
      <c r="I629" s="220">
        <v>124934.12</v>
      </c>
      <c r="J629" s="217"/>
      <c r="K629" s="214">
        <v>-1</v>
      </c>
    </row>
    <row r="630" spans="1:11" ht="12.75" customHeight="1" x14ac:dyDescent="0.25">
      <c r="A630" s="34" t="s">
        <v>53</v>
      </c>
      <c r="B630" s="89">
        <v>46142</v>
      </c>
      <c r="C630" s="46" t="s">
        <v>889</v>
      </c>
      <c r="D630" s="46" t="s">
        <v>890</v>
      </c>
      <c r="E630" s="46" t="s">
        <v>254</v>
      </c>
      <c r="F630" s="46" t="s">
        <v>237</v>
      </c>
      <c r="H630" s="218">
        <v>-48.64</v>
      </c>
      <c r="I630" s="220">
        <v>124885.48</v>
      </c>
      <c r="J630" s="217"/>
      <c r="K630" s="214">
        <v>-1</v>
      </c>
    </row>
    <row r="631" spans="1:11" ht="12.75" customHeight="1" x14ac:dyDescent="0.25">
      <c r="A631" s="34" t="s">
        <v>53</v>
      </c>
      <c r="B631" s="89">
        <v>46142</v>
      </c>
      <c r="C631" s="46" t="s">
        <v>889</v>
      </c>
      <c r="D631" s="46" t="s">
        <v>890</v>
      </c>
      <c r="E631" s="46" t="s">
        <v>254</v>
      </c>
      <c r="F631" s="46" t="s">
        <v>1004</v>
      </c>
      <c r="H631" s="218">
        <v>-20.3</v>
      </c>
      <c r="I631" s="220">
        <v>124865.18</v>
      </c>
      <c r="J631" s="217"/>
      <c r="K631" s="214">
        <v>-1</v>
      </c>
    </row>
    <row r="632" spans="1:11" ht="12.75" customHeight="1" x14ac:dyDescent="0.25">
      <c r="A632" s="34" t="s">
        <v>53</v>
      </c>
      <c r="B632" s="89">
        <v>46142</v>
      </c>
      <c r="C632" s="46" t="s">
        <v>889</v>
      </c>
      <c r="D632" s="46" t="s">
        <v>890</v>
      </c>
      <c r="E632" s="46" t="s">
        <v>254</v>
      </c>
      <c r="F632" s="46" t="s">
        <v>1005</v>
      </c>
      <c r="G632" s="76">
        <v>4.0599999999999996</v>
      </c>
      <c r="H632" s="218"/>
      <c r="I632" s="220">
        <v>124869.24</v>
      </c>
      <c r="J632" s="217"/>
      <c r="K632" s="214">
        <v>-1</v>
      </c>
    </row>
    <row r="633" spans="1:11" ht="12.75" customHeight="1" x14ac:dyDescent="0.25">
      <c r="A633" s="34" t="s">
        <v>53</v>
      </c>
      <c r="B633" s="89">
        <v>46142</v>
      </c>
      <c r="C633" s="46" t="s">
        <v>889</v>
      </c>
      <c r="D633" s="46" t="s">
        <v>890</v>
      </c>
      <c r="E633" s="46" t="s">
        <v>254</v>
      </c>
      <c r="F633" s="46" t="s">
        <v>1006</v>
      </c>
      <c r="H633" s="218">
        <v>-40.4</v>
      </c>
      <c r="I633" s="220">
        <v>124828.84</v>
      </c>
      <c r="J633" s="217"/>
      <c r="K633" s="214">
        <v>-1</v>
      </c>
    </row>
    <row r="634" spans="1:11" ht="12.75" customHeight="1" x14ac:dyDescent="0.25">
      <c r="A634" s="34" t="s">
        <v>53</v>
      </c>
      <c r="B634" s="89">
        <v>46142</v>
      </c>
      <c r="C634" s="46" t="s">
        <v>889</v>
      </c>
      <c r="D634" s="46" t="s">
        <v>890</v>
      </c>
      <c r="E634" s="46" t="s">
        <v>254</v>
      </c>
      <c r="F634" s="46" t="s">
        <v>1007</v>
      </c>
      <c r="H634" s="218">
        <v>-50</v>
      </c>
      <c r="I634" s="220">
        <v>124778.84</v>
      </c>
      <c r="J634" s="217"/>
      <c r="K634" s="214">
        <v>-1</v>
      </c>
    </row>
    <row r="635" spans="1:11" ht="12.75" customHeight="1" x14ac:dyDescent="0.25">
      <c r="A635" s="34" t="s">
        <v>53</v>
      </c>
      <c r="B635" s="89">
        <v>46142</v>
      </c>
      <c r="C635" s="46" t="s">
        <v>889</v>
      </c>
      <c r="D635" s="46" t="s">
        <v>890</v>
      </c>
      <c r="E635" s="46" t="s">
        <v>254</v>
      </c>
      <c r="F635" s="46" t="s">
        <v>1008</v>
      </c>
      <c r="H635" s="218">
        <v>-26.73</v>
      </c>
      <c r="I635" s="220">
        <v>124752.11</v>
      </c>
      <c r="J635" s="217"/>
      <c r="K635" s="214">
        <v>-1</v>
      </c>
    </row>
    <row r="636" spans="1:11" ht="12.75" customHeight="1" x14ac:dyDescent="0.25">
      <c r="A636" s="34" t="s">
        <v>53</v>
      </c>
      <c r="B636" s="89">
        <v>46142</v>
      </c>
      <c r="C636" s="46" t="s">
        <v>889</v>
      </c>
      <c r="D636" s="46" t="s">
        <v>890</v>
      </c>
      <c r="E636" s="46" t="s">
        <v>254</v>
      </c>
      <c r="F636" s="46" t="s">
        <v>1009</v>
      </c>
      <c r="H636" s="218">
        <v>-103.42</v>
      </c>
      <c r="I636" s="220">
        <v>124648.69</v>
      </c>
      <c r="J636" s="217"/>
      <c r="K636" s="214">
        <v>-1</v>
      </c>
    </row>
    <row r="637" spans="1:11" ht="12.75" customHeight="1" x14ac:dyDescent="0.25">
      <c r="A637" s="34" t="s">
        <v>53</v>
      </c>
      <c r="B637" s="89">
        <v>46142</v>
      </c>
      <c r="C637" s="46" t="s">
        <v>889</v>
      </c>
      <c r="D637" s="46" t="s">
        <v>890</v>
      </c>
      <c r="E637" s="46" t="s">
        <v>254</v>
      </c>
      <c r="F637" s="46" t="s">
        <v>1010</v>
      </c>
      <c r="H637" s="218">
        <v>-48.13</v>
      </c>
      <c r="I637" s="220">
        <v>124600.56</v>
      </c>
      <c r="J637" s="217"/>
      <c r="K637" s="214">
        <v>-1</v>
      </c>
    </row>
    <row r="638" spans="1:11" ht="12.75" customHeight="1" x14ac:dyDescent="0.25">
      <c r="A638" s="34" t="s">
        <v>53</v>
      </c>
      <c r="B638" s="89">
        <v>46142</v>
      </c>
      <c r="C638" s="46" t="s">
        <v>889</v>
      </c>
      <c r="D638" s="46" t="s">
        <v>890</v>
      </c>
      <c r="E638" s="46" t="s">
        <v>254</v>
      </c>
      <c r="F638" s="46" t="s">
        <v>1011</v>
      </c>
      <c r="H638" s="218">
        <v>-85.58</v>
      </c>
      <c r="I638" s="220">
        <v>124514.98</v>
      </c>
      <c r="J638" s="217"/>
      <c r="K638" s="214">
        <v>-1</v>
      </c>
    </row>
    <row r="639" spans="1:11" ht="12.75" customHeight="1" x14ac:dyDescent="0.25">
      <c r="A639" s="34" t="s">
        <v>53</v>
      </c>
      <c r="B639" s="89">
        <v>46142</v>
      </c>
      <c r="C639" s="46" t="s">
        <v>889</v>
      </c>
      <c r="D639" s="46" t="s">
        <v>890</v>
      </c>
      <c r="E639" s="46" t="s">
        <v>254</v>
      </c>
      <c r="F639" s="46" t="s">
        <v>1012</v>
      </c>
      <c r="H639" s="218">
        <v>-72.25</v>
      </c>
      <c r="I639" s="220">
        <v>124442.73</v>
      </c>
      <c r="J639" s="217"/>
      <c r="K639" s="214">
        <v>-1</v>
      </c>
    </row>
    <row r="640" spans="1:11" ht="12.75" customHeight="1" x14ac:dyDescent="0.25">
      <c r="A640" s="34" t="s">
        <v>53</v>
      </c>
      <c r="B640" s="89">
        <v>46142</v>
      </c>
      <c r="C640" s="46" t="s">
        <v>889</v>
      </c>
      <c r="D640" s="46" t="s">
        <v>890</v>
      </c>
      <c r="E640" s="46" t="s">
        <v>254</v>
      </c>
      <c r="F640" s="46" t="s">
        <v>1013</v>
      </c>
      <c r="H640" s="218">
        <v>-14.85</v>
      </c>
      <c r="I640" s="220">
        <v>124427.88</v>
      </c>
      <c r="J640" s="217"/>
      <c r="K640" s="214">
        <v>-1</v>
      </c>
    </row>
    <row r="641" spans="1:11" ht="12.75" customHeight="1" x14ac:dyDescent="0.25">
      <c r="A641" s="34" t="s">
        <v>53</v>
      </c>
      <c r="B641" s="89">
        <v>46142</v>
      </c>
      <c r="C641" s="46" t="s">
        <v>889</v>
      </c>
      <c r="D641" s="46" t="s">
        <v>890</v>
      </c>
      <c r="E641" s="46" t="s">
        <v>254</v>
      </c>
      <c r="F641" s="46" t="s">
        <v>1014</v>
      </c>
      <c r="H641" s="218">
        <v>-115.6</v>
      </c>
      <c r="I641" s="220">
        <v>124312.28</v>
      </c>
      <c r="J641" s="217"/>
      <c r="K641" s="214">
        <v>-1</v>
      </c>
    </row>
    <row r="642" spans="1:11" ht="12.75" customHeight="1" x14ac:dyDescent="0.25">
      <c r="A642" s="34" t="s">
        <v>53</v>
      </c>
      <c r="B642" s="89">
        <v>46142</v>
      </c>
      <c r="C642" s="46" t="s">
        <v>889</v>
      </c>
      <c r="D642" s="46" t="s">
        <v>890</v>
      </c>
      <c r="E642" s="46" t="s">
        <v>254</v>
      </c>
      <c r="F642" s="46" t="s">
        <v>1015</v>
      </c>
      <c r="H642" s="218">
        <v>-89.39</v>
      </c>
      <c r="I642" s="220">
        <v>124222.89</v>
      </c>
      <c r="J642" s="217"/>
      <c r="K642" s="214">
        <v>-1</v>
      </c>
    </row>
    <row r="643" spans="1:11" ht="12.75" customHeight="1" x14ac:dyDescent="0.25">
      <c r="A643" s="34" t="s">
        <v>68</v>
      </c>
      <c r="B643" s="89">
        <v>46142</v>
      </c>
      <c r="C643" s="46" t="s">
        <v>889</v>
      </c>
      <c r="D643" s="46" t="s">
        <v>890</v>
      </c>
      <c r="E643" s="46" t="s">
        <v>254</v>
      </c>
      <c r="F643" s="46" t="s">
        <v>1002</v>
      </c>
      <c r="H643" s="218">
        <v>-20.52</v>
      </c>
      <c r="I643" s="220">
        <v>124202.37</v>
      </c>
      <c r="J643" s="217"/>
      <c r="K643" s="214">
        <v>-1</v>
      </c>
    </row>
    <row r="644" spans="1:11" ht="12.75" customHeight="1" x14ac:dyDescent="0.25">
      <c r="A644" s="34" t="s">
        <v>68</v>
      </c>
      <c r="B644" s="89">
        <v>46142</v>
      </c>
      <c r="C644" s="46" t="s">
        <v>889</v>
      </c>
      <c r="D644" s="46" t="s">
        <v>890</v>
      </c>
      <c r="E644" s="46" t="s">
        <v>254</v>
      </c>
      <c r="F644" s="46" t="s">
        <v>1003</v>
      </c>
      <c r="H644" s="218">
        <v>-77.84</v>
      </c>
      <c r="I644" s="220">
        <v>124124.53</v>
      </c>
      <c r="J644" s="217"/>
      <c r="K644" s="214">
        <v>-1</v>
      </c>
    </row>
    <row r="645" spans="1:11" ht="12.75" customHeight="1" x14ac:dyDescent="0.25">
      <c r="A645" s="34" t="s">
        <v>68</v>
      </c>
      <c r="B645" s="89">
        <v>46142</v>
      </c>
      <c r="C645" s="46" t="s">
        <v>889</v>
      </c>
      <c r="D645" s="46" t="s">
        <v>890</v>
      </c>
      <c r="E645" s="46" t="s">
        <v>254</v>
      </c>
      <c r="F645" s="46" t="s">
        <v>1007</v>
      </c>
      <c r="H645" s="218">
        <v>-50</v>
      </c>
      <c r="I645" s="220">
        <v>124074.53</v>
      </c>
      <c r="J645" s="217"/>
      <c r="K645" s="214">
        <v>-1</v>
      </c>
    </row>
    <row r="646" spans="1:11" ht="12.75" customHeight="1" x14ac:dyDescent="0.25">
      <c r="A646" s="34" t="s">
        <v>68</v>
      </c>
      <c r="B646" s="89">
        <v>46142</v>
      </c>
      <c r="C646" s="46" t="s">
        <v>889</v>
      </c>
      <c r="D646" s="46" t="s">
        <v>890</v>
      </c>
      <c r="E646" s="46" t="s">
        <v>254</v>
      </c>
      <c r="F646" s="46" t="s">
        <v>1016</v>
      </c>
      <c r="H646" s="218">
        <v>-60.3</v>
      </c>
      <c r="I646" s="220">
        <v>124014.23</v>
      </c>
      <c r="J646" s="217"/>
      <c r="K646" s="214">
        <v>-1</v>
      </c>
    </row>
    <row r="647" spans="1:11" ht="12.75" customHeight="1" x14ac:dyDescent="0.25">
      <c r="A647" s="34" t="s">
        <v>68</v>
      </c>
      <c r="B647" s="89">
        <v>46142</v>
      </c>
      <c r="C647" s="46" t="s">
        <v>889</v>
      </c>
      <c r="D647" s="46" t="s">
        <v>890</v>
      </c>
      <c r="E647" s="46" t="s">
        <v>254</v>
      </c>
      <c r="F647" s="46" t="s">
        <v>1014</v>
      </c>
      <c r="H647" s="218">
        <v>-115.6</v>
      </c>
      <c r="I647" s="220">
        <v>123898.63</v>
      </c>
      <c r="J647" s="217"/>
      <c r="K647" s="214">
        <v>-1</v>
      </c>
    </row>
    <row r="648" spans="1:11" ht="12.75" customHeight="1" x14ac:dyDescent="0.25">
      <c r="A648" s="34" t="s">
        <v>68</v>
      </c>
      <c r="B648" s="89">
        <v>46142</v>
      </c>
      <c r="C648" s="46" t="s">
        <v>889</v>
      </c>
      <c r="D648" s="46" t="s">
        <v>890</v>
      </c>
      <c r="E648" s="46" t="s">
        <v>254</v>
      </c>
      <c r="F648" s="46" t="s">
        <v>1015</v>
      </c>
      <c r="H648" s="218">
        <v>-93.96</v>
      </c>
      <c r="I648" s="220">
        <v>123804.67</v>
      </c>
      <c r="J648" s="217"/>
      <c r="K648" s="214">
        <v>-1</v>
      </c>
    </row>
    <row r="649" spans="1:11" ht="12.75" customHeight="1" x14ac:dyDescent="0.25">
      <c r="A649" s="34" t="s">
        <v>68</v>
      </c>
      <c r="B649" s="89">
        <v>46142</v>
      </c>
      <c r="C649" s="46" t="s">
        <v>891</v>
      </c>
      <c r="D649" s="46" t="s">
        <v>892</v>
      </c>
      <c r="E649" s="46" t="s">
        <v>232</v>
      </c>
      <c r="F649" s="46" t="s">
        <v>20</v>
      </c>
      <c r="G649" s="76">
        <v>476.48</v>
      </c>
      <c r="H649" s="218"/>
      <c r="I649" s="220">
        <v>124281.15</v>
      </c>
      <c r="J649" s="217"/>
      <c r="K649" s="214">
        <v>1</v>
      </c>
    </row>
    <row r="650" spans="1:11" ht="12.75" customHeight="1" x14ac:dyDescent="0.25">
      <c r="A650" s="34" t="s">
        <v>68</v>
      </c>
      <c r="B650" s="89">
        <v>46142</v>
      </c>
      <c r="C650" s="46" t="s">
        <v>891</v>
      </c>
      <c r="D650" s="46" t="s">
        <v>892</v>
      </c>
      <c r="E650" s="46" t="s">
        <v>232</v>
      </c>
      <c r="F650" s="46" t="s">
        <v>20</v>
      </c>
      <c r="G650" s="76">
        <v>23.52</v>
      </c>
      <c r="H650" s="218"/>
      <c r="I650" s="220">
        <v>124304.67</v>
      </c>
      <c r="J650" s="217"/>
      <c r="K650" s="214">
        <v>1</v>
      </c>
    </row>
    <row r="651" spans="1:11" ht="12.75" customHeight="1" x14ac:dyDescent="0.25">
      <c r="A651" s="34" t="s">
        <v>68</v>
      </c>
      <c r="B651" s="89">
        <v>46142</v>
      </c>
      <c r="C651" s="46" t="s">
        <v>893</v>
      </c>
      <c r="D651" s="46" t="s">
        <v>894</v>
      </c>
      <c r="E651" s="46" t="s">
        <v>232</v>
      </c>
      <c r="F651" s="46" t="s">
        <v>20</v>
      </c>
      <c r="G651" s="76">
        <v>500</v>
      </c>
      <c r="H651" s="218"/>
      <c r="I651" s="220">
        <v>124804.67</v>
      </c>
      <c r="J651" s="217"/>
      <c r="K651" s="214">
        <v>1</v>
      </c>
    </row>
    <row r="652" spans="1:11" ht="12.75" customHeight="1" x14ac:dyDescent="0.25">
      <c r="A652" s="34" t="s">
        <v>68</v>
      </c>
      <c r="B652" s="89">
        <v>46142</v>
      </c>
      <c r="C652" s="46" t="s">
        <v>895</v>
      </c>
      <c r="D652" s="46" t="s">
        <v>896</v>
      </c>
      <c r="E652" s="46" t="s">
        <v>232</v>
      </c>
      <c r="F652" s="46" t="s">
        <v>20</v>
      </c>
      <c r="G652" s="76">
        <v>43.52</v>
      </c>
      <c r="H652" s="218"/>
      <c r="I652" s="220">
        <v>124848.19</v>
      </c>
      <c r="J652" s="217"/>
      <c r="K652" s="214">
        <v>1</v>
      </c>
    </row>
    <row r="653" spans="1:11" ht="12.75" customHeight="1" x14ac:dyDescent="0.25">
      <c r="A653" s="34" t="s">
        <v>68</v>
      </c>
      <c r="B653" s="89">
        <v>46142</v>
      </c>
      <c r="C653" s="46" t="s">
        <v>895</v>
      </c>
      <c r="D653" s="46" t="s">
        <v>896</v>
      </c>
      <c r="E653" s="46" t="s">
        <v>232</v>
      </c>
      <c r="F653" s="46" t="s">
        <v>20</v>
      </c>
      <c r="G653" s="76">
        <v>49.52</v>
      </c>
      <c r="H653" s="218"/>
      <c r="I653" s="220">
        <v>124897.71</v>
      </c>
      <c r="J653" s="217"/>
      <c r="K653" s="214">
        <v>1</v>
      </c>
    </row>
    <row r="654" spans="1:11" ht="12.75" customHeight="1" x14ac:dyDescent="0.25">
      <c r="A654" s="34" t="s">
        <v>68</v>
      </c>
      <c r="B654" s="89">
        <v>46142</v>
      </c>
      <c r="C654" s="46" t="s">
        <v>895</v>
      </c>
      <c r="D654" s="46" t="s">
        <v>896</v>
      </c>
      <c r="E654" s="46" t="s">
        <v>232</v>
      </c>
      <c r="F654" s="46" t="s">
        <v>20</v>
      </c>
      <c r="G654" s="76">
        <v>75</v>
      </c>
      <c r="H654" s="218"/>
      <c r="I654" s="220">
        <v>124972.71</v>
      </c>
      <c r="J654" s="217"/>
      <c r="K654" s="214">
        <v>1</v>
      </c>
    </row>
    <row r="655" spans="1:11" ht="12.75" customHeight="1" x14ac:dyDescent="0.25">
      <c r="A655" s="34" t="s">
        <v>68</v>
      </c>
      <c r="B655" s="89">
        <v>46142</v>
      </c>
      <c r="C655" s="46" t="s">
        <v>895</v>
      </c>
      <c r="D655" s="46" t="s">
        <v>896</v>
      </c>
      <c r="E655" s="46" t="s">
        <v>232</v>
      </c>
      <c r="F655" s="46" t="s">
        <v>20</v>
      </c>
      <c r="G655" s="76">
        <v>1.96</v>
      </c>
      <c r="H655" s="218"/>
      <c r="I655" s="220">
        <v>124974.67</v>
      </c>
      <c r="J655" s="217"/>
      <c r="K655" s="214">
        <v>1</v>
      </c>
    </row>
    <row r="656" spans="1:11" ht="12.75" customHeight="1" x14ac:dyDescent="0.25">
      <c r="A656" s="34" t="s">
        <v>68</v>
      </c>
      <c r="B656" s="89">
        <v>46142</v>
      </c>
      <c r="C656" s="46" t="s">
        <v>897</v>
      </c>
      <c r="D656" s="46" t="s">
        <v>55</v>
      </c>
      <c r="E656" s="46" t="s">
        <v>69</v>
      </c>
      <c r="F656" s="46" t="s">
        <v>1017</v>
      </c>
      <c r="G656" s="76">
        <v>1.01</v>
      </c>
      <c r="H656" s="218"/>
      <c r="I656" s="220">
        <v>124975.67999999999</v>
      </c>
      <c r="J656" s="217"/>
      <c r="K656" s="214">
        <v>1</v>
      </c>
    </row>
    <row r="657" spans="1:11" ht="12.75" customHeight="1" x14ac:dyDescent="0.25">
      <c r="A657" s="34" t="s">
        <v>68</v>
      </c>
      <c r="B657" s="89">
        <v>46142</v>
      </c>
      <c r="C657" s="46" t="s">
        <v>897</v>
      </c>
      <c r="D657" s="46" t="s">
        <v>55</v>
      </c>
      <c r="E657" s="46" t="s">
        <v>69</v>
      </c>
      <c r="F657" s="46" t="s">
        <v>1017</v>
      </c>
      <c r="G657" s="76">
        <v>1052.99</v>
      </c>
      <c r="H657" s="218"/>
      <c r="I657" s="220">
        <v>126028.67</v>
      </c>
      <c r="J657" s="217"/>
      <c r="K657" s="214">
        <v>1</v>
      </c>
    </row>
    <row r="658" spans="1:11" ht="12.75" customHeight="1" x14ac:dyDescent="0.25">
      <c r="A658" s="34" t="s">
        <v>68</v>
      </c>
      <c r="B658" s="89">
        <v>46142</v>
      </c>
      <c r="C658" s="46" t="s">
        <v>898</v>
      </c>
      <c r="D658" s="46" t="s">
        <v>899</v>
      </c>
      <c r="E658" s="46" t="s">
        <v>232</v>
      </c>
      <c r="F658" s="46" t="s">
        <v>129</v>
      </c>
      <c r="G658" s="76">
        <v>73.040000000000006</v>
      </c>
      <c r="H658" s="218"/>
      <c r="I658" s="220">
        <v>126101.71</v>
      </c>
      <c r="J658" s="217"/>
      <c r="K658" s="214">
        <v>1</v>
      </c>
    </row>
    <row r="659" spans="1:11" ht="12.75" customHeight="1" x14ac:dyDescent="0.25">
      <c r="A659" s="34" t="s">
        <v>53</v>
      </c>
      <c r="B659" s="89">
        <v>46142</v>
      </c>
      <c r="C659" s="46" t="s">
        <v>900</v>
      </c>
      <c r="D659" s="46"/>
      <c r="E659" s="46" t="s">
        <v>928</v>
      </c>
      <c r="F659" s="46" t="s">
        <v>1018</v>
      </c>
      <c r="G659" s="76">
        <v>10709.12</v>
      </c>
      <c r="H659" s="218"/>
      <c r="I659" s="220">
        <v>136810.82999999999</v>
      </c>
      <c r="J659" s="217"/>
      <c r="K659" s="214">
        <v>1</v>
      </c>
    </row>
    <row r="660" spans="1:11" ht="12.75" customHeight="1" x14ac:dyDescent="0.25">
      <c r="A660" s="34" t="s">
        <v>68</v>
      </c>
      <c r="B660" s="89">
        <v>46142</v>
      </c>
      <c r="C660" s="46" t="s">
        <v>900</v>
      </c>
      <c r="D660" s="46"/>
      <c r="E660" s="46" t="s">
        <v>928</v>
      </c>
      <c r="F660" s="46" t="s">
        <v>1019</v>
      </c>
      <c r="G660" s="76">
        <v>8744.33</v>
      </c>
      <c r="H660" s="218"/>
      <c r="I660" s="220">
        <v>145555.16</v>
      </c>
      <c r="J660" s="217"/>
      <c r="K660" s="214">
        <v>1</v>
      </c>
    </row>
    <row r="661" spans="1:11" ht="12.75" customHeight="1" x14ac:dyDescent="0.25">
      <c r="A661" s="34" t="s">
        <v>53</v>
      </c>
      <c r="B661" s="89">
        <v>46142</v>
      </c>
      <c r="C661" s="46" t="s">
        <v>901</v>
      </c>
      <c r="D661" s="46" t="s">
        <v>902</v>
      </c>
      <c r="E661" s="46" t="s">
        <v>902</v>
      </c>
      <c r="F661" s="46" t="s">
        <v>193</v>
      </c>
      <c r="H661" s="218">
        <v>-29723.07</v>
      </c>
      <c r="I661" s="220">
        <v>115832.09</v>
      </c>
      <c r="J661" s="217"/>
      <c r="K661" s="214">
        <v>-1</v>
      </c>
    </row>
    <row r="662" spans="1:11" ht="12.75" customHeight="1" x14ac:dyDescent="0.25">
      <c r="A662" s="34" t="s">
        <v>68</v>
      </c>
      <c r="B662" s="89">
        <v>46142</v>
      </c>
      <c r="C662" s="46" t="s">
        <v>901</v>
      </c>
      <c r="D662" s="46" t="s">
        <v>902</v>
      </c>
      <c r="E662" s="46" t="s">
        <v>902</v>
      </c>
      <c r="F662" s="46" t="s">
        <v>193</v>
      </c>
      <c r="H662" s="218">
        <v>-28557.46</v>
      </c>
      <c r="I662" s="220">
        <v>87274.63</v>
      </c>
      <c r="J662" s="217"/>
      <c r="K662" s="214">
        <v>-1</v>
      </c>
    </row>
    <row r="663" spans="1:11" ht="12.75" customHeight="1" x14ac:dyDescent="0.25">
      <c r="A663" s="34" t="s">
        <v>53</v>
      </c>
      <c r="B663" s="89">
        <v>46142</v>
      </c>
      <c r="C663" s="46" t="s">
        <v>903</v>
      </c>
      <c r="D663" s="46" t="s">
        <v>190</v>
      </c>
      <c r="E663" s="46" t="s">
        <v>929</v>
      </c>
      <c r="F663" s="46" t="s">
        <v>929</v>
      </c>
      <c r="H663" s="218">
        <v>-9.9</v>
      </c>
      <c r="I663" s="220">
        <v>87264.73</v>
      </c>
      <c r="J663" s="217" t="s">
        <v>350</v>
      </c>
      <c r="K663" s="214">
        <v>-2</v>
      </c>
    </row>
    <row r="664" spans="1:11" ht="12.75" customHeight="1" x14ac:dyDescent="0.25">
      <c r="A664" s="34" t="s">
        <v>68</v>
      </c>
      <c r="B664" s="89">
        <v>46142</v>
      </c>
      <c r="C664" s="46" t="s">
        <v>903</v>
      </c>
      <c r="D664" s="46" t="s">
        <v>190</v>
      </c>
      <c r="E664" s="46" t="s">
        <v>929</v>
      </c>
      <c r="F664" s="46" t="s">
        <v>929</v>
      </c>
      <c r="H664" s="218">
        <v>-9.9</v>
      </c>
      <c r="I664" s="220">
        <v>87254.83</v>
      </c>
      <c r="J664" s="217" t="s">
        <v>350</v>
      </c>
      <c r="K664" s="214">
        <v>-2</v>
      </c>
    </row>
    <row r="665" spans="1:11" ht="12.75" customHeight="1" x14ac:dyDescent="0.25">
      <c r="A665" s="34" t="s">
        <v>53</v>
      </c>
      <c r="B665" s="89">
        <v>46142</v>
      </c>
      <c r="C665" s="46" t="s">
        <v>904</v>
      </c>
      <c r="D665" s="46" t="s">
        <v>905</v>
      </c>
      <c r="E665" s="46" t="s">
        <v>905</v>
      </c>
      <c r="F665" s="46" t="s">
        <v>1020</v>
      </c>
      <c r="G665" s="76">
        <v>388.15</v>
      </c>
      <c r="H665" s="218"/>
      <c r="I665" s="220">
        <v>87642.98</v>
      </c>
      <c r="J665" s="217"/>
      <c r="K665" s="214">
        <v>1</v>
      </c>
    </row>
    <row r="666" spans="1:11" ht="12.75" customHeight="1" x14ac:dyDescent="0.25">
      <c r="A666" s="34" t="s">
        <v>53</v>
      </c>
      <c r="B666" s="89">
        <v>46142</v>
      </c>
      <c r="C666" s="46" t="s">
        <v>906</v>
      </c>
      <c r="D666" s="46" t="s">
        <v>907</v>
      </c>
      <c r="E666" s="46" t="s">
        <v>930</v>
      </c>
      <c r="F666" s="46" t="s">
        <v>930</v>
      </c>
      <c r="H666" s="218">
        <v>-4322.01</v>
      </c>
      <c r="I666" s="220">
        <v>83320.97</v>
      </c>
      <c r="J666" s="217"/>
      <c r="K666" s="214">
        <v>-1</v>
      </c>
    </row>
    <row r="667" spans="1:11" ht="12.75" customHeight="1" x14ac:dyDescent="0.25">
      <c r="A667" s="34" t="s">
        <v>68</v>
      </c>
      <c r="B667" s="89">
        <v>46142</v>
      </c>
      <c r="C667" s="46" t="s">
        <v>908</v>
      </c>
      <c r="D667" s="46" t="s">
        <v>907</v>
      </c>
      <c r="E667" s="46" t="s">
        <v>931</v>
      </c>
      <c r="F667" s="46" t="s">
        <v>931</v>
      </c>
      <c r="H667" s="218">
        <v>-4051.59</v>
      </c>
      <c r="I667" s="220">
        <v>79269.38</v>
      </c>
      <c r="J667" s="217"/>
      <c r="K667" s="214">
        <v>-1</v>
      </c>
    </row>
    <row r="668" spans="1:11" ht="12.75" customHeight="1" x14ac:dyDescent="0.25">
      <c r="A668" s="34" t="s">
        <v>53</v>
      </c>
      <c r="B668" s="89">
        <v>46142</v>
      </c>
      <c r="C668" s="46" t="s">
        <v>1029</v>
      </c>
      <c r="D668" s="46"/>
      <c r="E668" s="46" t="s">
        <v>1031</v>
      </c>
      <c r="F668" s="46" t="s">
        <v>1033</v>
      </c>
      <c r="H668" s="76">
        <v>-1415</v>
      </c>
      <c r="I668" s="220">
        <v>77854.38</v>
      </c>
      <c r="J668" s="217"/>
      <c r="K668" s="214">
        <v>-1</v>
      </c>
    </row>
    <row r="669" spans="1:11" ht="12.75" customHeight="1" x14ac:dyDescent="0.25">
      <c r="A669" s="34" t="s">
        <v>68</v>
      </c>
      <c r="B669" s="89">
        <v>46142</v>
      </c>
      <c r="C669" s="46" t="s">
        <v>1030</v>
      </c>
      <c r="D669" s="46"/>
      <c r="E669" s="46" t="s">
        <v>1032</v>
      </c>
      <c r="F669" s="46" t="s">
        <v>1033</v>
      </c>
      <c r="H669" s="76">
        <v>-1130</v>
      </c>
      <c r="I669" s="220">
        <v>76724.38</v>
      </c>
      <c r="J669" s="217"/>
      <c r="K669" s="214">
        <v>-1</v>
      </c>
    </row>
    <row r="670" spans="1:11" ht="15" customHeight="1" x14ac:dyDescent="0.25">
      <c r="B670" s="49"/>
      <c r="C670" s="50"/>
      <c r="D670" s="50"/>
      <c r="E670" s="50"/>
      <c r="F670" s="51" t="s">
        <v>194</v>
      </c>
      <c r="G670" s="67">
        <v>232236.86</v>
      </c>
      <c r="H670" s="67">
        <v>412335.68</v>
      </c>
      <c r="I670" s="91">
        <v>76724.38</v>
      </c>
      <c r="J670" s="192"/>
      <c r="K670" s="53"/>
    </row>
    <row r="671" spans="1:11" ht="15" customHeight="1" x14ac:dyDescent="0.25">
      <c r="B671" s="49"/>
      <c r="C671" s="50"/>
      <c r="D671" s="50"/>
      <c r="E671" s="50"/>
      <c r="F671" s="50"/>
      <c r="H671" s="38"/>
      <c r="I671" s="90"/>
      <c r="J671" s="192"/>
      <c r="K671" s="62"/>
    </row>
    <row r="672" spans="1:11" ht="15" customHeight="1" x14ac:dyDescent="0.25">
      <c r="B672" s="49"/>
      <c r="C672" s="50"/>
      <c r="D672" s="50"/>
      <c r="E672" s="50"/>
      <c r="F672" s="50"/>
      <c r="H672" s="38"/>
      <c r="I672" s="38"/>
      <c r="J672" s="192"/>
      <c r="K672" s="62"/>
    </row>
    <row r="673" spans="2:11" ht="15" customHeight="1" thickBot="1" x14ac:dyDescent="0.3">
      <c r="B673" s="49"/>
      <c r="C673" s="50"/>
      <c r="D673" s="50"/>
      <c r="E673" s="50"/>
      <c r="F673" s="50">
        <v>1</v>
      </c>
      <c r="G673" s="39">
        <f>SUMIF(K6:K669,1,H6:H669)+SUMIF(K6:K669,1,G6:G669)</f>
        <v>23377.600000000002</v>
      </c>
      <c r="H673" s="38" t="s">
        <v>195</v>
      </c>
      <c r="I673" s="38"/>
      <c r="J673" s="192"/>
      <c r="K673" s="62"/>
    </row>
    <row r="674" spans="2:11" ht="15" customHeight="1" thickTop="1" x14ac:dyDescent="0.25">
      <c r="B674" s="49"/>
      <c r="C674" s="50"/>
      <c r="D674" s="50"/>
      <c r="E674" s="50"/>
      <c r="F674" s="50"/>
      <c r="G674" s="38"/>
      <c r="H674" s="38"/>
      <c r="I674" s="38"/>
      <c r="J674" s="192"/>
      <c r="K674" s="62"/>
    </row>
    <row r="675" spans="2:11" ht="15" customHeight="1" thickBot="1" x14ac:dyDescent="0.3">
      <c r="B675" s="49"/>
      <c r="C675" s="50"/>
      <c r="D675" s="50"/>
      <c r="E675" s="50"/>
      <c r="F675" s="50">
        <v>-1</v>
      </c>
      <c r="G675" s="39">
        <f>SUMIF(K6:K669,-1,H6:H669)+SUMIF(K6:K669,-1,G6:G669)</f>
        <v>-78591.89999999998</v>
      </c>
      <c r="H675" s="38" t="s">
        <v>41</v>
      </c>
      <c r="I675" s="38"/>
      <c r="J675" s="192"/>
      <c r="K675" s="62"/>
    </row>
    <row r="676" spans="2:11" ht="15" customHeight="1" thickTop="1" x14ac:dyDescent="0.25">
      <c r="B676" s="49"/>
      <c r="C676" s="50"/>
      <c r="D676" s="50"/>
      <c r="E676" s="50"/>
      <c r="F676" s="50"/>
      <c r="G676" s="38"/>
      <c r="H676" s="38"/>
      <c r="I676" s="38"/>
      <c r="J676" s="192"/>
      <c r="K676" s="62"/>
    </row>
    <row r="677" spans="2:11" ht="15" customHeight="1" x14ac:dyDescent="0.25">
      <c r="B677" s="52"/>
      <c r="C677" s="41"/>
      <c r="D677" s="41"/>
      <c r="E677" s="41"/>
      <c r="F677" s="41"/>
      <c r="G677" s="81"/>
      <c r="H677" s="81"/>
      <c r="I677" s="81"/>
      <c r="J677" s="193"/>
      <c r="K677" s="62"/>
    </row>
    <row r="678" spans="2:11" ht="15" customHeight="1" x14ac:dyDescent="0.25">
      <c r="B678" s="52"/>
      <c r="C678" s="41"/>
      <c r="D678" s="41"/>
      <c r="E678" s="41"/>
      <c r="F678" s="41"/>
      <c r="G678" s="81"/>
      <c r="H678" s="81"/>
      <c r="I678" s="81"/>
      <c r="J678" s="193"/>
      <c r="K678" s="62"/>
    </row>
    <row r="679" spans="2:11" ht="15" customHeight="1" x14ac:dyDescent="0.25">
      <c r="B679" s="52"/>
      <c r="C679" s="41"/>
      <c r="D679" s="41"/>
      <c r="E679" s="41"/>
      <c r="F679" s="41"/>
      <c r="G679" s="81"/>
      <c r="H679" s="81"/>
      <c r="I679" s="81"/>
      <c r="J679" s="193"/>
      <c r="K679" s="62"/>
    </row>
    <row r="680" spans="2:11" ht="15" customHeight="1" x14ac:dyDescent="0.25">
      <c r="B680" s="52"/>
      <c r="C680" s="41"/>
      <c r="D680" s="41"/>
      <c r="E680" s="41"/>
      <c r="F680" s="41"/>
      <c r="G680" s="81"/>
      <c r="H680" s="81"/>
      <c r="I680" s="81"/>
      <c r="J680" s="193"/>
      <c r="K680" s="62"/>
    </row>
    <row r="681" spans="2:11" ht="15" customHeight="1" x14ac:dyDescent="0.25">
      <c r="B681" s="52"/>
      <c r="C681" s="41"/>
      <c r="D681" s="41"/>
      <c r="E681" s="41"/>
      <c r="F681" s="41"/>
      <c r="G681" s="81"/>
      <c r="H681" s="81"/>
      <c r="I681" s="81"/>
      <c r="J681" s="193"/>
      <c r="K681" s="62"/>
    </row>
  </sheetData>
  <sortState xmlns:xlrd2="http://schemas.microsoft.com/office/spreadsheetml/2017/richdata2" ref="A6:K697">
    <sortCondition ref="B6:B697"/>
  </sortState>
  <mergeCells count="3">
    <mergeCell ref="B1:H1"/>
    <mergeCell ref="B2:I2"/>
    <mergeCell ref="B3:I3"/>
  </mergeCells>
  <pageMargins left="0.5" right="0.5" top="0.5" bottom="0.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"/>
  <sheetViews>
    <sheetView zoomScale="85" zoomScaleNormal="85" workbookViewId="0">
      <pane ySplit="2" topLeftCell="A3" activePane="bottomLeft" state="frozen"/>
      <selection activeCell="G16" sqref="G16"/>
      <selection pane="bottomLeft" activeCell="A3" sqref="A3"/>
    </sheetView>
  </sheetViews>
  <sheetFormatPr defaultColWidth="9.33203125" defaultRowHeight="13.2" x14ac:dyDescent="0.25"/>
  <cols>
    <col min="1" max="1" width="22.6640625" style="42" customWidth="1"/>
    <col min="2" max="2" width="12" style="2" bestFit="1" customWidth="1"/>
    <col min="3" max="3" width="12.44140625" style="42" bestFit="1" customWidth="1"/>
    <col min="4" max="4" width="14.33203125" style="42" customWidth="1"/>
    <col min="5" max="5" width="33.77734375" style="2" customWidth="1"/>
    <col min="6" max="6" width="46" style="36" customWidth="1"/>
    <col min="7" max="7" width="14.6640625" style="44" bestFit="1" customWidth="1"/>
    <col min="8" max="8" width="12.109375" style="44" customWidth="1"/>
    <col min="9" max="9" width="50.109375" style="36" hidden="1" customWidth="1"/>
    <col min="10" max="10" width="12" style="207" bestFit="1" customWidth="1"/>
    <col min="11" max="12" width="9.33203125" style="2"/>
    <col min="13" max="13" width="12.6640625" style="2" bestFit="1" customWidth="1"/>
    <col min="14" max="16384" width="9.33203125" style="2"/>
  </cols>
  <sheetData>
    <row r="1" spans="1:10" x14ac:dyDescent="0.25">
      <c r="A1" s="58" t="s">
        <v>196</v>
      </c>
    </row>
    <row r="2" spans="1:10" s="34" customFormat="1" x14ac:dyDescent="0.25">
      <c r="A2" s="68" t="s">
        <v>45</v>
      </c>
      <c r="B2" s="63" t="s">
        <v>31</v>
      </c>
      <c r="C2" s="64" t="s">
        <v>46</v>
      </c>
      <c r="D2" s="64" t="s">
        <v>47</v>
      </c>
      <c r="E2" s="65" t="s">
        <v>35</v>
      </c>
      <c r="F2" s="66" t="s">
        <v>48</v>
      </c>
      <c r="G2" s="69" t="s">
        <v>32</v>
      </c>
      <c r="H2" s="69" t="s">
        <v>197</v>
      </c>
      <c r="I2" s="186"/>
      <c r="J2" s="201"/>
    </row>
    <row r="3" spans="1:10" x14ac:dyDescent="0.25">
      <c r="A3" s="34" t="s">
        <v>198</v>
      </c>
      <c r="B3" s="53" t="s">
        <v>347</v>
      </c>
      <c r="D3" s="53" t="s">
        <v>36</v>
      </c>
      <c r="E3" s="34"/>
      <c r="F3" s="34" t="s">
        <v>8</v>
      </c>
      <c r="G3" s="75">
        <v>-250204.89</v>
      </c>
      <c r="H3" s="44" t="s">
        <v>7</v>
      </c>
      <c r="I3" s="36" t="s">
        <v>1025</v>
      </c>
    </row>
    <row r="4" spans="1:10" ht="13.8" thickBot="1" x14ac:dyDescent="0.3">
      <c r="A4" s="34"/>
      <c r="C4" s="58"/>
      <c r="D4" s="58"/>
      <c r="F4" s="75"/>
      <c r="G4" s="77">
        <f>SUM(G3)</f>
        <v>-250204.89</v>
      </c>
    </row>
    <row r="5" spans="1:10" ht="13.8" thickTop="1" x14ac:dyDescent="0.25">
      <c r="A5" s="34"/>
      <c r="B5" s="53"/>
      <c r="C5" s="75"/>
      <c r="D5" s="53"/>
      <c r="E5" s="34"/>
      <c r="F5" s="34"/>
      <c r="G5" s="75"/>
    </row>
    <row r="6" spans="1:10" x14ac:dyDescent="0.25">
      <c r="A6" s="58" t="s">
        <v>199</v>
      </c>
      <c r="C6" s="58"/>
      <c r="D6" s="58"/>
      <c r="F6" s="75"/>
    </row>
    <row r="7" spans="1:10" x14ac:dyDescent="0.25">
      <c r="A7" s="68" t="s">
        <v>45</v>
      </c>
      <c r="B7" s="63" t="s">
        <v>31</v>
      </c>
      <c r="C7" s="64" t="s">
        <v>46</v>
      </c>
      <c r="D7" s="64" t="s">
        <v>47</v>
      </c>
      <c r="E7" s="65" t="s">
        <v>35</v>
      </c>
      <c r="F7" s="92" t="s">
        <v>48</v>
      </c>
      <c r="G7" s="69" t="s">
        <v>32</v>
      </c>
      <c r="H7" s="69" t="s">
        <v>197</v>
      </c>
      <c r="I7" s="186"/>
      <c r="J7" s="208"/>
    </row>
    <row r="8" spans="1:10" s="34" customFormat="1" x14ac:dyDescent="0.25">
      <c r="A8" s="34" t="s">
        <v>53</v>
      </c>
      <c r="B8" s="89">
        <v>46141</v>
      </c>
      <c r="C8" s="46" t="s">
        <v>871</v>
      </c>
      <c r="D8" s="46" t="s">
        <v>872</v>
      </c>
      <c r="E8" s="46" t="s">
        <v>927</v>
      </c>
      <c r="F8" s="46" t="s">
        <v>284</v>
      </c>
      <c r="G8" s="76">
        <v>40</v>
      </c>
      <c r="H8" s="219" t="s">
        <v>15</v>
      </c>
      <c r="I8" s="215" t="s">
        <v>1034</v>
      </c>
      <c r="J8" s="201"/>
    </row>
    <row r="9" spans="1:10" s="34" customFormat="1" x14ac:dyDescent="0.25">
      <c r="A9" s="34" t="s">
        <v>53</v>
      </c>
      <c r="B9" s="89">
        <v>46141</v>
      </c>
      <c r="C9" s="46" t="s">
        <v>873</v>
      </c>
      <c r="D9" s="46" t="s">
        <v>874</v>
      </c>
      <c r="E9" s="46" t="s">
        <v>255</v>
      </c>
      <c r="F9" s="46" t="s">
        <v>249</v>
      </c>
      <c r="G9" s="76">
        <v>75</v>
      </c>
      <c r="H9" s="219" t="s">
        <v>15</v>
      </c>
      <c r="I9" s="234" t="s">
        <v>1035</v>
      </c>
      <c r="J9" s="201"/>
    </row>
    <row r="10" spans="1:10" s="34" customFormat="1" x14ac:dyDescent="0.25">
      <c r="A10" s="34" t="s">
        <v>53</v>
      </c>
      <c r="B10" s="89">
        <v>46141</v>
      </c>
      <c r="C10" s="46" t="s">
        <v>873</v>
      </c>
      <c r="D10" s="46" t="s">
        <v>874</v>
      </c>
      <c r="E10" s="46" t="s">
        <v>255</v>
      </c>
      <c r="F10" s="46" t="s">
        <v>249</v>
      </c>
      <c r="G10" s="76">
        <v>75</v>
      </c>
      <c r="H10" s="219" t="s">
        <v>15</v>
      </c>
      <c r="I10" s="234"/>
      <c r="J10" s="201"/>
    </row>
    <row r="11" spans="1:10" s="34" customFormat="1" x14ac:dyDescent="0.25">
      <c r="A11" s="34" t="s">
        <v>53</v>
      </c>
      <c r="B11" s="89">
        <v>46141</v>
      </c>
      <c r="C11" s="46" t="s">
        <v>873</v>
      </c>
      <c r="D11" s="46" t="s">
        <v>874</v>
      </c>
      <c r="E11" s="46" t="s">
        <v>255</v>
      </c>
      <c r="F11" s="46" t="s">
        <v>249</v>
      </c>
      <c r="G11" s="76">
        <v>48.96</v>
      </c>
      <c r="H11" s="219" t="s">
        <v>15</v>
      </c>
      <c r="I11" s="234"/>
      <c r="J11" s="201"/>
    </row>
    <row r="12" spans="1:10" s="34" customFormat="1" x14ac:dyDescent="0.25">
      <c r="A12" s="34" t="s">
        <v>53</v>
      </c>
      <c r="B12" s="89">
        <v>46141</v>
      </c>
      <c r="C12" s="46" t="s">
        <v>873</v>
      </c>
      <c r="D12" s="46" t="s">
        <v>874</v>
      </c>
      <c r="E12" s="46" t="s">
        <v>255</v>
      </c>
      <c r="F12" s="46" t="s">
        <v>249</v>
      </c>
      <c r="G12" s="76">
        <v>1000</v>
      </c>
      <c r="H12" s="219" t="s">
        <v>15</v>
      </c>
      <c r="I12" s="234"/>
      <c r="J12" s="201"/>
    </row>
    <row r="13" spans="1:10" s="34" customFormat="1" x14ac:dyDescent="0.25">
      <c r="A13" s="34" t="s">
        <v>68</v>
      </c>
      <c r="B13" s="89">
        <v>46142</v>
      </c>
      <c r="C13" s="46" t="s">
        <v>891</v>
      </c>
      <c r="D13" s="46" t="s">
        <v>892</v>
      </c>
      <c r="E13" s="46" t="s">
        <v>232</v>
      </c>
      <c r="F13" s="46" t="s">
        <v>20</v>
      </c>
      <c r="G13" s="76">
        <v>476.48</v>
      </c>
      <c r="H13" s="219" t="s">
        <v>15</v>
      </c>
      <c r="I13" s="234" t="s">
        <v>1023</v>
      </c>
      <c r="J13" s="201"/>
    </row>
    <row r="14" spans="1:10" s="34" customFormat="1" x14ac:dyDescent="0.25">
      <c r="A14" s="34" t="s">
        <v>68</v>
      </c>
      <c r="B14" s="89">
        <v>46142</v>
      </c>
      <c r="C14" s="46" t="s">
        <v>891</v>
      </c>
      <c r="D14" s="46" t="s">
        <v>892</v>
      </c>
      <c r="E14" s="46" t="s">
        <v>232</v>
      </c>
      <c r="F14" s="46" t="s">
        <v>20</v>
      </c>
      <c r="G14" s="76">
        <v>23.52</v>
      </c>
      <c r="H14" s="219" t="s">
        <v>15</v>
      </c>
      <c r="I14" s="234"/>
      <c r="J14" s="201"/>
    </row>
    <row r="15" spans="1:10" s="34" customFormat="1" x14ac:dyDescent="0.25">
      <c r="A15" s="34" t="s">
        <v>68</v>
      </c>
      <c r="B15" s="89">
        <v>46142</v>
      </c>
      <c r="C15" s="46" t="s">
        <v>893</v>
      </c>
      <c r="D15" s="46" t="s">
        <v>894</v>
      </c>
      <c r="E15" s="46" t="s">
        <v>232</v>
      </c>
      <c r="F15" s="46" t="s">
        <v>20</v>
      </c>
      <c r="G15" s="76">
        <v>500</v>
      </c>
      <c r="H15" s="219" t="s">
        <v>15</v>
      </c>
      <c r="I15" s="234"/>
      <c r="J15" s="201"/>
    </row>
    <row r="16" spans="1:10" s="34" customFormat="1" x14ac:dyDescent="0.25">
      <c r="A16" s="34" t="s">
        <v>68</v>
      </c>
      <c r="B16" s="89">
        <v>46142</v>
      </c>
      <c r="C16" s="46" t="s">
        <v>895</v>
      </c>
      <c r="D16" s="46" t="s">
        <v>896</v>
      </c>
      <c r="E16" s="46" t="s">
        <v>232</v>
      </c>
      <c r="F16" s="46" t="s">
        <v>20</v>
      </c>
      <c r="G16" s="76">
        <v>43.52</v>
      </c>
      <c r="H16" s="219" t="s">
        <v>15</v>
      </c>
      <c r="I16" s="234"/>
      <c r="J16" s="201"/>
    </row>
    <row r="17" spans="1:12" s="34" customFormat="1" x14ac:dyDescent="0.25">
      <c r="A17" s="34" t="s">
        <v>68</v>
      </c>
      <c r="B17" s="89">
        <v>46142</v>
      </c>
      <c r="C17" s="46" t="s">
        <v>895</v>
      </c>
      <c r="D17" s="46" t="s">
        <v>896</v>
      </c>
      <c r="E17" s="46" t="s">
        <v>232</v>
      </c>
      <c r="F17" s="46" t="s">
        <v>20</v>
      </c>
      <c r="G17" s="76">
        <v>49.52</v>
      </c>
      <c r="H17" s="219" t="s">
        <v>15</v>
      </c>
      <c r="I17" s="234"/>
      <c r="J17" s="201"/>
    </row>
    <row r="18" spans="1:12" s="34" customFormat="1" x14ac:dyDescent="0.25">
      <c r="A18" s="34" t="s">
        <v>68</v>
      </c>
      <c r="B18" s="89">
        <v>46142</v>
      </c>
      <c r="C18" s="46" t="s">
        <v>895</v>
      </c>
      <c r="D18" s="46" t="s">
        <v>896</v>
      </c>
      <c r="E18" s="46" t="s">
        <v>232</v>
      </c>
      <c r="F18" s="46" t="s">
        <v>20</v>
      </c>
      <c r="G18" s="76">
        <v>75</v>
      </c>
      <c r="H18" s="219" t="s">
        <v>15</v>
      </c>
      <c r="I18" s="234"/>
      <c r="J18" s="201"/>
    </row>
    <row r="19" spans="1:12" s="34" customFormat="1" x14ac:dyDescent="0.25">
      <c r="A19" s="34" t="s">
        <v>68</v>
      </c>
      <c r="B19" s="89">
        <v>46142</v>
      </c>
      <c r="C19" s="46" t="s">
        <v>895</v>
      </c>
      <c r="D19" s="46" t="s">
        <v>896</v>
      </c>
      <c r="E19" s="46" t="s">
        <v>232</v>
      </c>
      <c r="F19" s="46" t="s">
        <v>20</v>
      </c>
      <c r="G19" s="76">
        <v>1.96</v>
      </c>
      <c r="H19" s="219" t="s">
        <v>15</v>
      </c>
      <c r="I19" s="234"/>
      <c r="J19" s="201"/>
    </row>
    <row r="20" spans="1:12" s="34" customFormat="1" x14ac:dyDescent="0.25">
      <c r="A20" s="34" t="s">
        <v>68</v>
      </c>
      <c r="B20" s="89">
        <v>46142</v>
      </c>
      <c r="C20" s="46" t="s">
        <v>897</v>
      </c>
      <c r="D20" s="46" t="s">
        <v>55</v>
      </c>
      <c r="E20" s="46" t="s">
        <v>69</v>
      </c>
      <c r="F20" s="46" t="s">
        <v>1017</v>
      </c>
      <c r="G20" s="76">
        <v>1.01</v>
      </c>
      <c r="H20" s="219" t="s">
        <v>15</v>
      </c>
      <c r="I20" s="234" t="s">
        <v>1023</v>
      </c>
      <c r="J20" s="201"/>
    </row>
    <row r="21" spans="1:12" s="34" customFormat="1" x14ac:dyDescent="0.25">
      <c r="A21" s="34" t="s">
        <v>68</v>
      </c>
      <c r="B21" s="89">
        <v>46142</v>
      </c>
      <c r="C21" s="46" t="s">
        <v>897</v>
      </c>
      <c r="D21" s="46" t="s">
        <v>55</v>
      </c>
      <c r="E21" s="46" t="s">
        <v>69</v>
      </c>
      <c r="F21" s="46" t="s">
        <v>1017</v>
      </c>
      <c r="G21" s="76">
        <v>1052.99</v>
      </c>
      <c r="H21" s="219" t="s">
        <v>15</v>
      </c>
      <c r="I21" s="234"/>
      <c r="J21" s="201"/>
    </row>
    <row r="22" spans="1:12" s="34" customFormat="1" x14ac:dyDescent="0.25">
      <c r="A22" s="34" t="s">
        <v>68</v>
      </c>
      <c r="B22" s="89">
        <v>46142</v>
      </c>
      <c r="C22" s="46" t="s">
        <v>898</v>
      </c>
      <c r="D22" s="46" t="s">
        <v>899</v>
      </c>
      <c r="E22" s="46" t="s">
        <v>232</v>
      </c>
      <c r="F22" s="46" t="s">
        <v>129</v>
      </c>
      <c r="G22" s="76">
        <v>73.040000000000006</v>
      </c>
      <c r="H22" s="219" t="s">
        <v>15</v>
      </c>
      <c r="I22" s="215" t="s">
        <v>1035</v>
      </c>
      <c r="J22" s="201"/>
    </row>
    <row r="23" spans="1:12" s="34" customFormat="1" x14ac:dyDescent="0.25">
      <c r="A23" s="34" t="s">
        <v>53</v>
      </c>
      <c r="B23" s="89">
        <v>46142</v>
      </c>
      <c r="C23" s="46" t="s">
        <v>900</v>
      </c>
      <c r="D23" s="46"/>
      <c r="E23" s="46" t="s">
        <v>928</v>
      </c>
      <c r="F23" s="46" t="s">
        <v>1018</v>
      </c>
      <c r="G23" s="76">
        <v>10709.12</v>
      </c>
      <c r="H23" s="219" t="s">
        <v>15</v>
      </c>
      <c r="I23" s="215" t="s">
        <v>1024</v>
      </c>
      <c r="J23" s="201"/>
    </row>
    <row r="24" spans="1:12" s="34" customFormat="1" x14ac:dyDescent="0.25">
      <c r="A24" s="34" t="s">
        <v>68</v>
      </c>
      <c r="B24" s="89">
        <v>46142</v>
      </c>
      <c r="C24" s="46" t="s">
        <v>900</v>
      </c>
      <c r="D24" s="46"/>
      <c r="E24" s="46" t="s">
        <v>928</v>
      </c>
      <c r="F24" s="46" t="s">
        <v>1019</v>
      </c>
      <c r="G24" s="76">
        <v>8744.33</v>
      </c>
      <c r="H24" s="219" t="s">
        <v>15</v>
      </c>
      <c r="I24" s="215" t="s">
        <v>1024</v>
      </c>
      <c r="J24" s="201"/>
    </row>
    <row r="25" spans="1:12" s="34" customFormat="1" x14ac:dyDescent="0.25">
      <c r="A25" s="34" t="s">
        <v>53</v>
      </c>
      <c r="B25" s="89">
        <v>46142</v>
      </c>
      <c r="C25" s="46" t="s">
        <v>904</v>
      </c>
      <c r="D25" s="46" t="s">
        <v>905</v>
      </c>
      <c r="E25" s="46" t="s">
        <v>905</v>
      </c>
      <c r="F25" s="46" t="s">
        <v>1020</v>
      </c>
      <c r="G25" s="76">
        <v>388.15</v>
      </c>
      <c r="H25" s="219" t="s">
        <v>15</v>
      </c>
      <c r="I25" s="215" t="s">
        <v>1023</v>
      </c>
      <c r="J25" s="201"/>
    </row>
    <row r="26" spans="1:12" s="34" customFormat="1" ht="12.75" customHeight="1" thickBot="1" x14ac:dyDescent="0.3">
      <c r="B26" s="89"/>
      <c r="C26" s="46"/>
      <c r="D26" s="46"/>
      <c r="E26" s="46"/>
      <c r="F26" s="46"/>
      <c r="G26" s="77">
        <f>SUM(G8:G25)</f>
        <v>23377.600000000002</v>
      </c>
      <c r="H26" s="204"/>
      <c r="I26" s="215"/>
      <c r="J26" s="217"/>
      <c r="K26" s="214"/>
    </row>
    <row r="27" spans="1:12" ht="13.8" thickTop="1" x14ac:dyDescent="0.25">
      <c r="G27" s="2"/>
    </row>
    <row r="28" spans="1:12" s="34" customFormat="1" ht="12.75" customHeight="1" x14ac:dyDescent="0.25">
      <c r="A28" s="34" t="s">
        <v>68</v>
      </c>
      <c r="B28" s="89">
        <v>45985</v>
      </c>
      <c r="C28" s="46" t="s">
        <v>263</v>
      </c>
      <c r="D28" s="46" t="s">
        <v>264</v>
      </c>
      <c r="E28" s="46" t="s">
        <v>260</v>
      </c>
      <c r="F28" s="46" t="s">
        <v>269</v>
      </c>
      <c r="G28" s="218">
        <v>-55.8</v>
      </c>
      <c r="H28" s="44" t="s">
        <v>7</v>
      </c>
      <c r="I28" s="215" t="s">
        <v>270</v>
      </c>
      <c r="J28" s="207"/>
      <c r="K28" s="214"/>
    </row>
    <row r="29" spans="1:12" s="34" customFormat="1" ht="12.75" customHeight="1" x14ac:dyDescent="0.25">
      <c r="A29" s="34" t="s">
        <v>53</v>
      </c>
      <c r="B29" s="89">
        <v>46029</v>
      </c>
      <c r="C29" s="46" t="s">
        <v>277</v>
      </c>
      <c r="D29" s="46" t="s">
        <v>278</v>
      </c>
      <c r="E29" s="46" t="s">
        <v>281</v>
      </c>
      <c r="F29" s="46" t="s">
        <v>268</v>
      </c>
      <c r="G29" s="218">
        <v>-117497.31</v>
      </c>
      <c r="H29" s="44" t="s">
        <v>7</v>
      </c>
      <c r="I29" s="215" t="s">
        <v>1040</v>
      </c>
      <c r="J29" s="207"/>
      <c r="K29" s="2"/>
    </row>
    <row r="30" spans="1:12" s="34" customFormat="1" ht="12.75" customHeight="1" x14ac:dyDescent="0.25">
      <c r="A30" s="34" t="s">
        <v>53</v>
      </c>
      <c r="B30" s="89">
        <v>46055</v>
      </c>
      <c r="C30" s="46" t="s">
        <v>286</v>
      </c>
      <c r="D30" s="46" t="s">
        <v>287</v>
      </c>
      <c r="E30" s="46" t="s">
        <v>254</v>
      </c>
      <c r="F30" s="46" t="s">
        <v>267</v>
      </c>
      <c r="G30" s="218">
        <v>-131.55000000000001</v>
      </c>
      <c r="H30" s="44" t="s">
        <v>7</v>
      </c>
      <c r="I30" s="234" t="s">
        <v>285</v>
      </c>
      <c r="J30" s="207"/>
      <c r="K30" s="214"/>
      <c r="L30" s="76"/>
    </row>
    <row r="31" spans="1:12" s="34" customFormat="1" ht="12.75" customHeight="1" x14ac:dyDescent="0.25">
      <c r="A31" s="34" t="s">
        <v>68</v>
      </c>
      <c r="B31" s="89">
        <v>46055</v>
      </c>
      <c r="C31" s="46" t="s">
        <v>286</v>
      </c>
      <c r="D31" s="46" t="s">
        <v>287</v>
      </c>
      <c r="E31" s="46" t="s">
        <v>254</v>
      </c>
      <c r="F31" s="46" t="s">
        <v>267</v>
      </c>
      <c r="G31" s="218">
        <v>-131.55000000000001</v>
      </c>
      <c r="H31" s="44" t="s">
        <v>7</v>
      </c>
      <c r="I31" s="234"/>
      <c r="J31" s="207"/>
      <c r="K31" s="214"/>
    </row>
    <row r="32" spans="1:12" s="34" customFormat="1" ht="12.75" customHeight="1" x14ac:dyDescent="0.25">
      <c r="A32" s="34" t="s">
        <v>53</v>
      </c>
      <c r="B32" s="89">
        <v>46098</v>
      </c>
      <c r="C32" s="46" t="s">
        <v>293</v>
      </c>
      <c r="D32" s="46" t="s">
        <v>294</v>
      </c>
      <c r="E32" s="46" t="s">
        <v>318</v>
      </c>
      <c r="F32" s="46" t="s">
        <v>322</v>
      </c>
      <c r="G32" s="218">
        <v>-225</v>
      </c>
      <c r="H32" s="44" t="s">
        <v>7</v>
      </c>
      <c r="I32" s="234" t="s">
        <v>270</v>
      </c>
      <c r="J32" s="207"/>
      <c r="K32" s="214"/>
    </row>
    <row r="33" spans="1:11" s="34" customFormat="1" ht="12.75" customHeight="1" x14ac:dyDescent="0.25">
      <c r="A33" s="34" t="s">
        <v>68</v>
      </c>
      <c r="B33" s="89">
        <v>46098</v>
      </c>
      <c r="C33" s="46" t="s">
        <v>293</v>
      </c>
      <c r="D33" s="46" t="s">
        <v>294</v>
      </c>
      <c r="E33" s="46" t="s">
        <v>318</v>
      </c>
      <c r="F33" s="46" t="s">
        <v>322</v>
      </c>
      <c r="G33" s="218">
        <v>-225</v>
      </c>
      <c r="H33" s="44" t="s">
        <v>7</v>
      </c>
      <c r="I33" s="234"/>
      <c r="J33" s="207"/>
      <c r="K33" s="214"/>
    </row>
    <row r="34" spans="1:11" x14ac:dyDescent="0.25">
      <c r="A34" s="34" t="s">
        <v>53</v>
      </c>
      <c r="B34" s="89">
        <v>46134</v>
      </c>
      <c r="C34" s="46" t="s">
        <v>833</v>
      </c>
      <c r="D34" s="46" t="s">
        <v>834</v>
      </c>
      <c r="E34" s="46" t="s">
        <v>924</v>
      </c>
      <c r="F34" s="46" t="s">
        <v>979</v>
      </c>
      <c r="G34" s="218">
        <v>-135</v>
      </c>
      <c r="H34" s="44" t="s">
        <v>7</v>
      </c>
      <c r="I34" s="234" t="s">
        <v>1026</v>
      </c>
      <c r="K34" s="214"/>
    </row>
    <row r="35" spans="1:11" x14ac:dyDescent="0.25">
      <c r="A35" s="34" t="s">
        <v>68</v>
      </c>
      <c r="B35" s="89">
        <v>46134</v>
      </c>
      <c r="C35" s="46" t="s">
        <v>833</v>
      </c>
      <c r="D35" s="46" t="s">
        <v>834</v>
      </c>
      <c r="E35" s="46" t="s">
        <v>924</v>
      </c>
      <c r="F35" s="46" t="s">
        <v>979</v>
      </c>
      <c r="G35" s="218">
        <v>-135</v>
      </c>
      <c r="H35" s="44" t="s">
        <v>7</v>
      </c>
      <c r="I35" s="234"/>
      <c r="K35" s="214"/>
    </row>
    <row r="36" spans="1:11" x14ac:dyDescent="0.25">
      <c r="A36" s="34" t="s">
        <v>53</v>
      </c>
      <c r="B36" s="89">
        <v>46139</v>
      </c>
      <c r="C36" s="46" t="s">
        <v>854</v>
      </c>
      <c r="D36" s="46" t="s">
        <v>855</v>
      </c>
      <c r="E36" s="46" t="s">
        <v>290</v>
      </c>
      <c r="F36" s="46" t="s">
        <v>986</v>
      </c>
      <c r="G36" s="218">
        <v>-296.72000000000003</v>
      </c>
      <c r="H36" s="44" t="s">
        <v>7</v>
      </c>
      <c r="I36" s="234" t="s">
        <v>1034</v>
      </c>
      <c r="K36" s="214"/>
    </row>
    <row r="37" spans="1:11" x14ac:dyDescent="0.25">
      <c r="A37" s="34" t="s">
        <v>68</v>
      </c>
      <c r="B37" s="89">
        <v>46139</v>
      </c>
      <c r="C37" s="46" t="s">
        <v>854</v>
      </c>
      <c r="D37" s="46" t="s">
        <v>855</v>
      </c>
      <c r="E37" s="46" t="s">
        <v>290</v>
      </c>
      <c r="F37" s="46" t="s">
        <v>987</v>
      </c>
      <c r="G37" s="218">
        <v>-374.5</v>
      </c>
      <c r="H37" s="44" t="s">
        <v>7</v>
      </c>
      <c r="I37" s="234"/>
      <c r="K37" s="214"/>
    </row>
    <row r="38" spans="1:11" x14ac:dyDescent="0.25">
      <c r="A38" s="34" t="s">
        <v>53</v>
      </c>
      <c r="B38" s="89">
        <v>46139</v>
      </c>
      <c r="C38" s="46" t="s">
        <v>856</v>
      </c>
      <c r="D38" s="46" t="s">
        <v>857</v>
      </c>
      <c r="E38" s="46" t="s">
        <v>925</v>
      </c>
      <c r="F38" s="46" t="s">
        <v>988</v>
      </c>
      <c r="G38" s="218">
        <v>-39.69</v>
      </c>
      <c r="H38" s="44" t="s">
        <v>7</v>
      </c>
      <c r="I38" s="215" t="s">
        <v>1026</v>
      </c>
      <c r="K38" s="214"/>
    </row>
    <row r="39" spans="1:11" x14ac:dyDescent="0.25">
      <c r="A39" s="34" t="s">
        <v>53</v>
      </c>
      <c r="B39" s="89">
        <v>46140</v>
      </c>
      <c r="C39" s="46" t="s">
        <v>858</v>
      </c>
      <c r="D39" s="46" t="s">
        <v>859</v>
      </c>
      <c r="E39" s="46" t="s">
        <v>243</v>
      </c>
      <c r="F39" s="46" t="s">
        <v>989</v>
      </c>
      <c r="G39" s="218">
        <v>-1400</v>
      </c>
      <c r="H39" s="44" t="s">
        <v>7</v>
      </c>
      <c r="I39" s="234" t="s">
        <v>1035</v>
      </c>
      <c r="K39" s="214"/>
    </row>
    <row r="40" spans="1:11" x14ac:dyDescent="0.25">
      <c r="A40" s="34" t="s">
        <v>68</v>
      </c>
      <c r="B40" s="89">
        <v>46140</v>
      </c>
      <c r="C40" s="46" t="s">
        <v>858</v>
      </c>
      <c r="D40" s="46" t="s">
        <v>859</v>
      </c>
      <c r="E40" s="46" t="s">
        <v>243</v>
      </c>
      <c r="F40" s="46" t="s">
        <v>989</v>
      </c>
      <c r="G40" s="218">
        <v>-1400</v>
      </c>
      <c r="H40" s="44" t="s">
        <v>7</v>
      </c>
      <c r="I40" s="234"/>
      <c r="K40" s="214"/>
    </row>
    <row r="41" spans="1:11" x14ac:dyDescent="0.25">
      <c r="A41" s="34" t="s">
        <v>68</v>
      </c>
      <c r="B41" s="89">
        <v>46141</v>
      </c>
      <c r="C41" s="46" t="s">
        <v>864</v>
      </c>
      <c r="D41" s="46" t="s">
        <v>865</v>
      </c>
      <c r="E41" s="46" t="s">
        <v>926</v>
      </c>
      <c r="F41" s="46" t="s">
        <v>992</v>
      </c>
      <c r="G41" s="218">
        <v>-125</v>
      </c>
      <c r="H41" s="44" t="s">
        <v>7</v>
      </c>
      <c r="I41" s="215" t="s">
        <v>1035</v>
      </c>
      <c r="K41" s="214"/>
    </row>
    <row r="42" spans="1:11" x14ac:dyDescent="0.25">
      <c r="A42" s="34" t="s">
        <v>53</v>
      </c>
      <c r="B42" s="89">
        <v>46142</v>
      </c>
      <c r="C42" s="46" t="s">
        <v>875</v>
      </c>
      <c r="D42" s="46" t="s">
        <v>876</v>
      </c>
      <c r="E42" s="46" t="s">
        <v>192</v>
      </c>
      <c r="F42" s="46" t="s">
        <v>993</v>
      </c>
      <c r="G42" s="218">
        <v>-41.8</v>
      </c>
      <c r="H42" s="44" t="s">
        <v>7</v>
      </c>
      <c r="I42" s="236" t="s">
        <v>1023</v>
      </c>
      <c r="K42" s="214"/>
    </row>
    <row r="43" spans="1:11" x14ac:dyDescent="0.25">
      <c r="A43" s="34" t="s">
        <v>53</v>
      </c>
      <c r="B43" s="89">
        <v>46142</v>
      </c>
      <c r="C43" s="46" t="s">
        <v>875</v>
      </c>
      <c r="D43" s="46" t="s">
        <v>876</v>
      </c>
      <c r="E43" s="46" t="s">
        <v>192</v>
      </c>
      <c r="F43" s="46" t="s">
        <v>994</v>
      </c>
      <c r="G43" s="218">
        <v>-4.18</v>
      </c>
      <c r="H43" s="44" t="s">
        <v>7</v>
      </c>
      <c r="I43" s="236"/>
      <c r="K43" s="214"/>
    </row>
    <row r="44" spans="1:11" x14ac:dyDescent="0.25">
      <c r="A44" s="34" t="s">
        <v>53</v>
      </c>
      <c r="B44" s="89">
        <v>46142</v>
      </c>
      <c r="C44" s="46" t="s">
        <v>875</v>
      </c>
      <c r="D44" s="46" t="s">
        <v>876</v>
      </c>
      <c r="E44" s="46" t="s">
        <v>192</v>
      </c>
      <c r="F44" s="46" t="s">
        <v>995</v>
      </c>
      <c r="G44" s="218">
        <v>-6.71</v>
      </c>
      <c r="H44" s="44" t="s">
        <v>7</v>
      </c>
      <c r="I44" s="236"/>
      <c r="K44" s="214"/>
    </row>
    <row r="45" spans="1:11" x14ac:dyDescent="0.25">
      <c r="A45" s="34" t="s">
        <v>68</v>
      </c>
      <c r="B45" s="89">
        <v>46142</v>
      </c>
      <c r="C45" s="46" t="s">
        <v>877</v>
      </c>
      <c r="D45" s="46" t="s">
        <v>878</v>
      </c>
      <c r="E45" s="46" t="s">
        <v>915</v>
      </c>
      <c r="F45" s="46" t="s">
        <v>996</v>
      </c>
      <c r="G45" s="218">
        <v>-3225</v>
      </c>
      <c r="H45" s="44" t="s">
        <v>7</v>
      </c>
      <c r="I45" s="235" t="s">
        <v>1036</v>
      </c>
      <c r="K45" s="214"/>
    </row>
    <row r="46" spans="1:11" x14ac:dyDescent="0.25">
      <c r="A46" s="34" t="s">
        <v>68</v>
      </c>
      <c r="B46" s="89">
        <v>46142</v>
      </c>
      <c r="C46" s="46" t="s">
        <v>877</v>
      </c>
      <c r="D46" s="46" t="s">
        <v>878</v>
      </c>
      <c r="E46" s="46" t="s">
        <v>915</v>
      </c>
      <c r="F46" s="46" t="s">
        <v>996</v>
      </c>
      <c r="G46" s="218">
        <v>-125</v>
      </c>
      <c r="H46" s="44" t="s">
        <v>7</v>
      </c>
      <c r="I46" s="235"/>
      <c r="K46" s="214"/>
    </row>
    <row r="47" spans="1:11" x14ac:dyDescent="0.25">
      <c r="A47" s="34" t="s">
        <v>53</v>
      </c>
      <c r="B47" s="89">
        <v>46142</v>
      </c>
      <c r="C47" s="46" t="s">
        <v>879</v>
      </c>
      <c r="D47" s="46" t="s">
        <v>880</v>
      </c>
      <c r="E47" s="46" t="s">
        <v>275</v>
      </c>
      <c r="F47" s="46" t="s">
        <v>997</v>
      </c>
      <c r="G47" s="218">
        <v>-38.47</v>
      </c>
      <c r="H47" s="44" t="s">
        <v>7</v>
      </c>
      <c r="I47" s="235" t="s">
        <v>1023</v>
      </c>
      <c r="K47" s="214"/>
    </row>
    <row r="48" spans="1:11" x14ac:dyDescent="0.25">
      <c r="A48" s="34" t="s">
        <v>53</v>
      </c>
      <c r="B48" s="89">
        <v>46142</v>
      </c>
      <c r="C48" s="46" t="s">
        <v>881</v>
      </c>
      <c r="D48" s="46" t="s">
        <v>882</v>
      </c>
      <c r="E48" s="46" t="s">
        <v>275</v>
      </c>
      <c r="F48" s="46" t="s">
        <v>998</v>
      </c>
      <c r="G48" s="218">
        <v>-115.08</v>
      </c>
      <c r="H48" s="44" t="s">
        <v>7</v>
      </c>
      <c r="I48" s="235"/>
      <c r="K48" s="214"/>
    </row>
    <row r="49" spans="1:12" x14ac:dyDescent="0.25">
      <c r="A49" s="34" t="s">
        <v>53</v>
      </c>
      <c r="B49" s="89">
        <v>46142</v>
      </c>
      <c r="C49" s="46" t="s">
        <v>883</v>
      </c>
      <c r="D49" s="46" t="s">
        <v>884</v>
      </c>
      <c r="E49" s="46" t="s">
        <v>275</v>
      </c>
      <c r="F49" s="46" t="s">
        <v>999</v>
      </c>
      <c r="G49" s="218">
        <v>-74.33</v>
      </c>
      <c r="H49" s="44" t="s">
        <v>7</v>
      </c>
      <c r="I49" s="235"/>
      <c r="K49" s="214"/>
    </row>
    <row r="50" spans="1:12" x14ac:dyDescent="0.25">
      <c r="A50" s="34" t="s">
        <v>53</v>
      </c>
      <c r="B50" s="89">
        <v>46142</v>
      </c>
      <c r="C50" s="46" t="s">
        <v>885</v>
      </c>
      <c r="D50" s="46" t="s">
        <v>886</v>
      </c>
      <c r="E50" s="46" t="s">
        <v>275</v>
      </c>
      <c r="F50" s="46" t="s">
        <v>1000</v>
      </c>
      <c r="G50" s="218">
        <v>-593.48</v>
      </c>
      <c r="H50" s="44" t="s">
        <v>7</v>
      </c>
      <c r="I50" s="235"/>
      <c r="K50" s="214"/>
    </row>
    <row r="51" spans="1:12" x14ac:dyDescent="0.25">
      <c r="A51" s="34" t="s">
        <v>53</v>
      </c>
      <c r="B51" s="89">
        <v>46142</v>
      </c>
      <c r="C51" s="46" t="s">
        <v>887</v>
      </c>
      <c r="D51" s="46" t="s">
        <v>888</v>
      </c>
      <c r="E51" s="46" t="s">
        <v>104</v>
      </c>
      <c r="F51" s="46" t="s">
        <v>1001</v>
      </c>
      <c r="G51" s="218">
        <v>-28</v>
      </c>
      <c r="H51" s="44" t="s">
        <v>7</v>
      </c>
      <c r="I51" s="235" t="s">
        <v>1037</v>
      </c>
      <c r="K51" s="214"/>
    </row>
    <row r="52" spans="1:12" x14ac:dyDescent="0.25">
      <c r="A52" s="34" t="s">
        <v>68</v>
      </c>
      <c r="B52" s="89">
        <v>46142</v>
      </c>
      <c r="C52" s="46" t="s">
        <v>887</v>
      </c>
      <c r="D52" s="46" t="s">
        <v>888</v>
      </c>
      <c r="E52" s="46" t="s">
        <v>104</v>
      </c>
      <c r="F52" s="46" t="s">
        <v>1001</v>
      </c>
      <c r="G52" s="218">
        <v>-7</v>
      </c>
      <c r="H52" s="44" t="s">
        <v>7</v>
      </c>
      <c r="I52" s="235"/>
      <c r="K52" s="214"/>
    </row>
    <row r="53" spans="1:12" x14ac:dyDescent="0.25">
      <c r="A53" s="34" t="s">
        <v>53</v>
      </c>
      <c r="B53" s="89">
        <v>46142</v>
      </c>
      <c r="C53" s="46" t="s">
        <v>889</v>
      </c>
      <c r="D53" s="46" t="s">
        <v>890</v>
      </c>
      <c r="E53" s="46" t="s">
        <v>254</v>
      </c>
      <c r="F53" s="46" t="s">
        <v>1002</v>
      </c>
      <c r="G53" s="218">
        <v>-20.52</v>
      </c>
      <c r="H53" s="44" t="s">
        <v>7</v>
      </c>
      <c r="I53" s="236"/>
      <c r="K53" s="214"/>
    </row>
    <row r="54" spans="1:12" x14ac:dyDescent="0.25">
      <c r="A54" s="34" t="s">
        <v>53</v>
      </c>
      <c r="B54" s="89">
        <v>46142</v>
      </c>
      <c r="C54" s="46" t="s">
        <v>889</v>
      </c>
      <c r="D54" s="46" t="s">
        <v>890</v>
      </c>
      <c r="E54" s="46" t="s">
        <v>254</v>
      </c>
      <c r="F54" s="46" t="s">
        <v>1003</v>
      </c>
      <c r="G54" s="218">
        <v>-77.84</v>
      </c>
      <c r="H54" s="44" t="s">
        <v>7</v>
      </c>
      <c r="I54" s="236"/>
      <c r="K54" s="214"/>
    </row>
    <row r="55" spans="1:12" x14ac:dyDescent="0.25">
      <c r="A55" s="34" t="s">
        <v>53</v>
      </c>
      <c r="B55" s="89">
        <v>46142</v>
      </c>
      <c r="C55" s="46" t="s">
        <v>889</v>
      </c>
      <c r="D55" s="46" t="s">
        <v>890</v>
      </c>
      <c r="E55" s="46" t="s">
        <v>254</v>
      </c>
      <c r="F55" s="46" t="s">
        <v>237</v>
      </c>
      <c r="G55" s="218">
        <v>-48.64</v>
      </c>
      <c r="H55" s="44" t="s">
        <v>7</v>
      </c>
      <c r="I55" s="236"/>
      <c r="K55" s="214"/>
    </row>
    <row r="56" spans="1:12" x14ac:dyDescent="0.25">
      <c r="A56" s="34" t="s">
        <v>53</v>
      </c>
      <c r="B56" s="89">
        <v>46142</v>
      </c>
      <c r="C56" s="46" t="s">
        <v>889</v>
      </c>
      <c r="D56" s="46" t="s">
        <v>890</v>
      </c>
      <c r="E56" s="46" t="s">
        <v>254</v>
      </c>
      <c r="F56" s="46" t="s">
        <v>1004</v>
      </c>
      <c r="G56" s="218">
        <v>-20.3</v>
      </c>
      <c r="H56" s="44" t="s">
        <v>7</v>
      </c>
      <c r="I56" s="236"/>
      <c r="K56" s="214"/>
    </row>
    <row r="57" spans="1:12" x14ac:dyDescent="0.25">
      <c r="A57" s="34" t="s">
        <v>53</v>
      </c>
      <c r="B57" s="89">
        <v>46142</v>
      </c>
      <c r="C57" s="46" t="s">
        <v>889</v>
      </c>
      <c r="D57" s="46" t="s">
        <v>890</v>
      </c>
      <c r="E57" s="46" t="s">
        <v>254</v>
      </c>
      <c r="F57" s="46" t="s">
        <v>1005</v>
      </c>
      <c r="G57" s="76">
        <v>4.0599999999999996</v>
      </c>
      <c r="H57" s="44" t="s">
        <v>7</v>
      </c>
      <c r="I57" s="236"/>
      <c r="J57" s="89"/>
      <c r="K57" s="214"/>
    </row>
    <row r="58" spans="1:12" x14ac:dyDescent="0.25">
      <c r="A58" s="34" t="s">
        <v>53</v>
      </c>
      <c r="B58" s="89">
        <v>46142</v>
      </c>
      <c r="C58" s="46" t="s">
        <v>889</v>
      </c>
      <c r="D58" s="46" t="s">
        <v>890</v>
      </c>
      <c r="E58" s="46" t="s">
        <v>254</v>
      </c>
      <c r="F58" s="46" t="s">
        <v>1006</v>
      </c>
      <c r="G58" s="218">
        <v>-40.4</v>
      </c>
      <c r="H58" s="44" t="s">
        <v>7</v>
      </c>
      <c r="I58" s="236"/>
      <c r="J58" s="89"/>
      <c r="K58" s="214"/>
    </row>
    <row r="59" spans="1:12" s="34" customFormat="1" ht="12.75" customHeight="1" x14ac:dyDescent="0.25">
      <c r="A59" s="34" t="s">
        <v>53</v>
      </c>
      <c r="B59" s="89">
        <v>46142</v>
      </c>
      <c r="C59" s="46" t="s">
        <v>889</v>
      </c>
      <c r="D59" s="46" t="s">
        <v>890</v>
      </c>
      <c r="E59" s="46" t="s">
        <v>254</v>
      </c>
      <c r="F59" s="46" t="s">
        <v>1007</v>
      </c>
      <c r="G59" s="218">
        <v>-50</v>
      </c>
      <c r="H59" s="44" t="s">
        <v>7</v>
      </c>
      <c r="I59" s="236"/>
      <c r="J59" s="89"/>
      <c r="K59" s="214"/>
      <c r="L59" s="76"/>
    </row>
    <row r="60" spans="1:12" s="34" customFormat="1" ht="12.75" customHeight="1" x14ac:dyDescent="0.25">
      <c r="A60" s="34" t="s">
        <v>53</v>
      </c>
      <c r="B60" s="89">
        <v>46142</v>
      </c>
      <c r="C60" s="46" t="s">
        <v>889</v>
      </c>
      <c r="D60" s="46" t="s">
        <v>890</v>
      </c>
      <c r="E60" s="46" t="s">
        <v>254</v>
      </c>
      <c r="F60" s="46" t="s">
        <v>1008</v>
      </c>
      <c r="G60" s="218">
        <v>-26.73</v>
      </c>
      <c r="H60" s="44" t="s">
        <v>7</v>
      </c>
      <c r="I60" s="236"/>
      <c r="J60" s="89"/>
      <c r="K60" s="214"/>
    </row>
    <row r="61" spans="1:12" x14ac:dyDescent="0.25">
      <c r="A61" s="34" t="s">
        <v>53</v>
      </c>
      <c r="B61" s="89">
        <v>46142</v>
      </c>
      <c r="C61" s="46" t="s">
        <v>889</v>
      </c>
      <c r="D61" s="46" t="s">
        <v>890</v>
      </c>
      <c r="E61" s="46" t="s">
        <v>254</v>
      </c>
      <c r="F61" s="46" t="s">
        <v>1009</v>
      </c>
      <c r="G61" s="218">
        <v>-103.42</v>
      </c>
      <c r="H61" s="44" t="s">
        <v>7</v>
      </c>
      <c r="I61" s="236"/>
    </row>
    <row r="62" spans="1:12" x14ac:dyDescent="0.25">
      <c r="A62" s="34" t="s">
        <v>53</v>
      </c>
      <c r="B62" s="89">
        <v>46142</v>
      </c>
      <c r="C62" s="46" t="s">
        <v>889</v>
      </c>
      <c r="D62" s="46" t="s">
        <v>890</v>
      </c>
      <c r="E62" s="46" t="s">
        <v>254</v>
      </c>
      <c r="F62" s="46" t="s">
        <v>1010</v>
      </c>
      <c r="G62" s="218">
        <v>-48.13</v>
      </c>
      <c r="H62" s="44" t="s">
        <v>7</v>
      </c>
      <c r="I62" s="236"/>
    </row>
    <row r="63" spans="1:12" x14ac:dyDescent="0.25">
      <c r="A63" s="34" t="s">
        <v>53</v>
      </c>
      <c r="B63" s="89">
        <v>46142</v>
      </c>
      <c r="C63" s="46" t="s">
        <v>889</v>
      </c>
      <c r="D63" s="46" t="s">
        <v>890</v>
      </c>
      <c r="E63" s="46" t="s">
        <v>254</v>
      </c>
      <c r="F63" s="46" t="s">
        <v>1011</v>
      </c>
      <c r="G63" s="218">
        <v>-85.58</v>
      </c>
      <c r="H63" s="44" t="s">
        <v>7</v>
      </c>
      <c r="I63" s="236"/>
    </row>
    <row r="64" spans="1:12" x14ac:dyDescent="0.25">
      <c r="A64" s="34" t="s">
        <v>53</v>
      </c>
      <c r="B64" s="89">
        <v>46142</v>
      </c>
      <c r="C64" s="46" t="s">
        <v>889</v>
      </c>
      <c r="D64" s="46" t="s">
        <v>890</v>
      </c>
      <c r="E64" s="46" t="s">
        <v>254</v>
      </c>
      <c r="F64" s="46" t="s">
        <v>1012</v>
      </c>
      <c r="G64" s="218">
        <v>-72.25</v>
      </c>
      <c r="H64" s="44" t="s">
        <v>7</v>
      </c>
      <c r="I64" s="236"/>
    </row>
    <row r="65" spans="1:12" x14ac:dyDescent="0.25">
      <c r="A65" s="34" t="s">
        <v>53</v>
      </c>
      <c r="B65" s="89">
        <v>46142</v>
      </c>
      <c r="C65" s="46" t="s">
        <v>889</v>
      </c>
      <c r="D65" s="46" t="s">
        <v>890</v>
      </c>
      <c r="E65" s="46" t="s">
        <v>254</v>
      </c>
      <c r="F65" s="46" t="s">
        <v>1013</v>
      </c>
      <c r="G65" s="218">
        <v>-14.85</v>
      </c>
      <c r="H65" s="44" t="s">
        <v>7</v>
      </c>
      <c r="I65" s="236"/>
    </row>
    <row r="66" spans="1:12" x14ac:dyDescent="0.25">
      <c r="A66" s="34" t="s">
        <v>53</v>
      </c>
      <c r="B66" s="89">
        <v>46142</v>
      </c>
      <c r="C66" s="46" t="s">
        <v>889</v>
      </c>
      <c r="D66" s="46" t="s">
        <v>890</v>
      </c>
      <c r="E66" s="46" t="s">
        <v>254</v>
      </c>
      <c r="F66" s="46" t="s">
        <v>1014</v>
      </c>
      <c r="G66" s="218">
        <v>-115.6</v>
      </c>
      <c r="H66" s="44" t="s">
        <v>7</v>
      </c>
      <c r="I66" s="236"/>
    </row>
    <row r="67" spans="1:12" x14ac:dyDescent="0.25">
      <c r="A67" s="34" t="s">
        <v>53</v>
      </c>
      <c r="B67" s="89">
        <v>46142</v>
      </c>
      <c r="C67" s="46" t="s">
        <v>889</v>
      </c>
      <c r="D67" s="46" t="s">
        <v>890</v>
      </c>
      <c r="E67" s="46" t="s">
        <v>254</v>
      </c>
      <c r="F67" s="46" t="s">
        <v>1015</v>
      </c>
      <c r="G67" s="218">
        <v>-89.39</v>
      </c>
      <c r="H67" s="44" t="s">
        <v>7</v>
      </c>
      <c r="I67" s="236"/>
    </row>
    <row r="68" spans="1:12" x14ac:dyDescent="0.25">
      <c r="A68" s="34" t="s">
        <v>68</v>
      </c>
      <c r="B68" s="89">
        <v>46142</v>
      </c>
      <c r="C68" s="46" t="s">
        <v>889</v>
      </c>
      <c r="D68" s="46" t="s">
        <v>890</v>
      </c>
      <c r="E68" s="46" t="s">
        <v>254</v>
      </c>
      <c r="F68" s="46" t="s">
        <v>1002</v>
      </c>
      <c r="G68" s="218">
        <v>-20.52</v>
      </c>
      <c r="H68" s="44" t="s">
        <v>7</v>
      </c>
      <c r="I68" s="236"/>
    </row>
    <row r="69" spans="1:12" x14ac:dyDescent="0.25">
      <c r="A69" s="34" t="s">
        <v>68</v>
      </c>
      <c r="B69" s="89">
        <v>46142</v>
      </c>
      <c r="C69" s="46" t="s">
        <v>889</v>
      </c>
      <c r="D69" s="46" t="s">
        <v>890</v>
      </c>
      <c r="E69" s="46" t="s">
        <v>254</v>
      </c>
      <c r="F69" s="46" t="s">
        <v>1003</v>
      </c>
      <c r="G69" s="218">
        <v>-77.84</v>
      </c>
      <c r="H69" s="44" t="s">
        <v>7</v>
      </c>
      <c r="I69" s="236"/>
    </row>
    <row r="70" spans="1:12" x14ac:dyDescent="0.25">
      <c r="A70" s="34" t="s">
        <v>68</v>
      </c>
      <c r="B70" s="89">
        <v>46142</v>
      </c>
      <c r="C70" s="46" t="s">
        <v>889</v>
      </c>
      <c r="D70" s="46" t="s">
        <v>890</v>
      </c>
      <c r="E70" s="46" t="s">
        <v>254</v>
      </c>
      <c r="F70" s="46" t="s">
        <v>1007</v>
      </c>
      <c r="G70" s="218">
        <v>-50</v>
      </c>
      <c r="H70" s="44" t="s">
        <v>7</v>
      </c>
      <c r="I70" s="236"/>
    </row>
    <row r="71" spans="1:12" x14ac:dyDescent="0.25">
      <c r="A71" s="34" t="s">
        <v>68</v>
      </c>
      <c r="B71" s="89">
        <v>46142</v>
      </c>
      <c r="C71" s="46" t="s">
        <v>889</v>
      </c>
      <c r="D71" s="46" t="s">
        <v>890</v>
      </c>
      <c r="E71" s="46" t="s">
        <v>254</v>
      </c>
      <c r="F71" s="46" t="s">
        <v>1016</v>
      </c>
      <c r="G71" s="218">
        <v>-60.3</v>
      </c>
      <c r="H71" s="44" t="s">
        <v>7</v>
      </c>
      <c r="I71" s="236"/>
    </row>
    <row r="72" spans="1:12" x14ac:dyDescent="0.25">
      <c r="A72" s="34" t="s">
        <v>68</v>
      </c>
      <c r="B72" s="89">
        <v>46142</v>
      </c>
      <c r="C72" s="46" t="s">
        <v>889</v>
      </c>
      <c r="D72" s="46" t="s">
        <v>890</v>
      </c>
      <c r="E72" s="46" t="s">
        <v>254</v>
      </c>
      <c r="F72" s="46" t="s">
        <v>1014</v>
      </c>
      <c r="G72" s="218">
        <v>-115.6</v>
      </c>
      <c r="H72" s="44" t="s">
        <v>7</v>
      </c>
      <c r="I72" s="236"/>
    </row>
    <row r="73" spans="1:12" x14ac:dyDescent="0.25">
      <c r="A73" s="34" t="s">
        <v>68</v>
      </c>
      <c r="B73" s="89">
        <v>46142</v>
      </c>
      <c r="C73" s="46" t="s">
        <v>889</v>
      </c>
      <c r="D73" s="46" t="s">
        <v>890</v>
      </c>
      <c r="E73" s="46" t="s">
        <v>254</v>
      </c>
      <c r="F73" s="46" t="s">
        <v>1015</v>
      </c>
      <c r="G73" s="218">
        <v>-93.96</v>
      </c>
      <c r="H73" s="44" t="s">
        <v>7</v>
      </c>
      <c r="I73" s="236"/>
    </row>
    <row r="74" spans="1:12" x14ac:dyDescent="0.25">
      <c r="A74" s="34" t="s">
        <v>53</v>
      </c>
      <c r="B74" s="89">
        <v>46142</v>
      </c>
      <c r="C74" s="46" t="s">
        <v>901</v>
      </c>
      <c r="D74" s="46" t="s">
        <v>902</v>
      </c>
      <c r="E74" s="46" t="s">
        <v>902</v>
      </c>
      <c r="F74" s="46" t="s">
        <v>193</v>
      </c>
      <c r="G74" s="218">
        <v>-29723.07</v>
      </c>
      <c r="H74" s="44" t="s">
        <v>7</v>
      </c>
      <c r="I74" s="234" t="s">
        <v>1034</v>
      </c>
    </row>
    <row r="75" spans="1:12" x14ac:dyDescent="0.25">
      <c r="A75" s="34" t="s">
        <v>68</v>
      </c>
      <c r="B75" s="89">
        <v>46142</v>
      </c>
      <c r="C75" s="46" t="s">
        <v>901</v>
      </c>
      <c r="D75" s="46" t="s">
        <v>902</v>
      </c>
      <c r="E75" s="46" t="s">
        <v>902</v>
      </c>
      <c r="F75" s="46" t="s">
        <v>193</v>
      </c>
      <c r="G75" s="218">
        <v>-28557.46</v>
      </c>
      <c r="H75" s="44" t="s">
        <v>7</v>
      </c>
      <c r="I75" s="234"/>
    </row>
    <row r="76" spans="1:12" x14ac:dyDescent="0.25">
      <c r="A76" s="34" t="s">
        <v>53</v>
      </c>
      <c r="B76" s="89">
        <v>46142</v>
      </c>
      <c r="C76" s="46" t="s">
        <v>906</v>
      </c>
      <c r="D76" s="46" t="s">
        <v>907</v>
      </c>
      <c r="E76" s="46" t="s">
        <v>930</v>
      </c>
      <c r="F76" s="46" t="s">
        <v>930</v>
      </c>
      <c r="G76" s="218">
        <v>-4322.01</v>
      </c>
      <c r="H76" s="44" t="s">
        <v>7</v>
      </c>
      <c r="I76" s="36" t="s">
        <v>1027</v>
      </c>
    </row>
    <row r="77" spans="1:12" x14ac:dyDescent="0.25">
      <c r="A77" s="34" t="s">
        <v>68</v>
      </c>
      <c r="B77" s="89">
        <v>46142</v>
      </c>
      <c r="C77" s="46" t="s">
        <v>908</v>
      </c>
      <c r="D77" s="46" t="s">
        <v>907</v>
      </c>
      <c r="E77" s="46" t="s">
        <v>931</v>
      </c>
      <c r="F77" s="46" t="s">
        <v>931</v>
      </c>
      <c r="G77" s="218">
        <v>-4051.59</v>
      </c>
      <c r="H77" s="44" t="s">
        <v>7</v>
      </c>
      <c r="I77" s="36" t="s">
        <v>1028</v>
      </c>
    </row>
    <row r="78" spans="1:12" s="34" customFormat="1" ht="12.75" customHeight="1" x14ac:dyDescent="0.25">
      <c r="A78" s="34" t="s">
        <v>53</v>
      </c>
      <c r="B78" s="89">
        <v>46142</v>
      </c>
      <c r="C78" s="46" t="s">
        <v>1029</v>
      </c>
      <c r="D78" s="46"/>
      <c r="E78" s="46" t="s">
        <v>1031</v>
      </c>
      <c r="F78" s="46" t="s">
        <v>1033</v>
      </c>
      <c r="G78" s="76">
        <v>-1415</v>
      </c>
      <c r="H78" s="44" t="s">
        <v>7</v>
      </c>
      <c r="I78" s="36" t="s">
        <v>1038</v>
      </c>
      <c r="J78" s="217"/>
      <c r="K78" s="214"/>
      <c r="L78" s="76"/>
    </row>
    <row r="79" spans="1:12" s="34" customFormat="1" ht="12.75" customHeight="1" x14ac:dyDescent="0.25">
      <c r="A79" s="34" t="s">
        <v>68</v>
      </c>
      <c r="B79" s="89">
        <v>46142</v>
      </c>
      <c r="C79" s="46" t="s">
        <v>1030</v>
      </c>
      <c r="D79" s="46"/>
      <c r="E79" s="46" t="s">
        <v>1032</v>
      </c>
      <c r="F79" s="46" t="s">
        <v>1033</v>
      </c>
      <c r="G79" s="76">
        <v>-1130</v>
      </c>
      <c r="H79" s="44" t="s">
        <v>7</v>
      </c>
      <c r="I79" s="36" t="s">
        <v>1039</v>
      </c>
      <c r="J79" s="217"/>
      <c r="K79" s="214"/>
    </row>
    <row r="80" spans="1:12" ht="13.8" thickBot="1" x14ac:dyDescent="0.3">
      <c r="G80" s="77">
        <f>SUM(G28:G79)</f>
        <v>-196858.11000000004</v>
      </c>
    </row>
    <row r="81" ht="13.8" thickTop="1" x14ac:dyDescent="0.25"/>
  </sheetData>
  <mergeCells count="14">
    <mergeCell ref="I9:I12"/>
    <mergeCell ref="I30:I31"/>
    <mergeCell ref="I32:I33"/>
    <mergeCell ref="I34:I35"/>
    <mergeCell ref="I45:I46"/>
    <mergeCell ref="I42:I44"/>
    <mergeCell ref="I74:I75"/>
    <mergeCell ref="I13:I19"/>
    <mergeCell ref="I20:I21"/>
    <mergeCell ref="I36:I37"/>
    <mergeCell ref="I39:I40"/>
    <mergeCell ref="I51:I52"/>
    <mergeCell ref="I47:I50"/>
    <mergeCell ref="I53:I7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"/>
  <sheetViews>
    <sheetView zoomScale="85" zoomScaleNormal="85" workbookViewId="0">
      <pane ySplit="2" topLeftCell="A3" activePane="bottomLeft" state="frozen"/>
      <selection pane="bottomLeft" activeCell="A3" sqref="A3"/>
    </sheetView>
  </sheetViews>
  <sheetFormatPr defaultColWidth="9.33203125" defaultRowHeight="13.2" x14ac:dyDescent="0.25"/>
  <cols>
    <col min="1" max="1" width="12" style="45" bestFit="1" customWidth="1"/>
    <col min="2" max="2" width="12.6640625" style="43" bestFit="1" customWidth="1"/>
    <col min="3" max="3" width="14.6640625" style="43" customWidth="1"/>
    <col min="4" max="4" width="20.44140625" style="43" customWidth="1"/>
    <col min="5" max="5" width="57.33203125" style="43" customWidth="1"/>
    <col min="6" max="6" width="56.109375" style="43" customWidth="1"/>
    <col min="7" max="7" width="13.44140625" style="43" bestFit="1" customWidth="1"/>
    <col min="8" max="8" width="14.6640625" style="43" bestFit="1" customWidth="1"/>
    <col min="9" max="9" width="17.33203125" style="206" customWidth="1"/>
    <col min="10" max="10" width="12" style="43" bestFit="1" customWidth="1"/>
    <col min="11" max="16384" width="9.33203125" style="43"/>
  </cols>
  <sheetData>
    <row r="1" spans="1:11" x14ac:dyDescent="0.25">
      <c r="A1" s="104" t="s">
        <v>196</v>
      </c>
      <c r="I1" s="43"/>
    </row>
    <row r="2" spans="1:11" s="33" customFormat="1" x14ac:dyDescent="0.25">
      <c r="A2" s="94" t="s">
        <v>45</v>
      </c>
      <c r="B2" s="95" t="s">
        <v>31</v>
      </c>
      <c r="C2" s="94" t="s">
        <v>32</v>
      </c>
      <c r="D2" s="94" t="s">
        <v>200</v>
      </c>
      <c r="E2" s="94" t="s">
        <v>35</v>
      </c>
      <c r="F2" s="95" t="s">
        <v>48</v>
      </c>
      <c r="G2" s="94" t="s">
        <v>34</v>
      </c>
    </row>
    <row r="3" spans="1:11" s="2" customFormat="1" x14ac:dyDescent="0.25">
      <c r="A3" s="34" t="s">
        <v>198</v>
      </c>
      <c r="B3" s="53" t="s">
        <v>291</v>
      </c>
      <c r="C3" s="75">
        <v>-425662.57</v>
      </c>
      <c r="D3" s="53" t="s">
        <v>36</v>
      </c>
      <c r="E3" s="34"/>
      <c r="F3" s="34" t="s">
        <v>8</v>
      </c>
      <c r="G3" s="207">
        <v>-4</v>
      </c>
      <c r="H3" s="44"/>
      <c r="I3" s="36"/>
    </row>
    <row r="4" spans="1:11" x14ac:dyDescent="0.25">
      <c r="A4" s="34"/>
      <c r="B4" s="53"/>
      <c r="C4" s="75"/>
      <c r="D4" s="53"/>
      <c r="E4" s="34"/>
      <c r="F4" s="34"/>
      <c r="G4" s="34"/>
      <c r="H4" s="44"/>
    </row>
    <row r="5" spans="1:11" x14ac:dyDescent="0.25">
      <c r="A5" s="97" t="s">
        <v>199</v>
      </c>
      <c r="B5" s="53"/>
      <c r="C5" s="75"/>
      <c r="D5" s="53"/>
      <c r="E5" s="34"/>
      <c r="F5" s="34"/>
      <c r="I5" s="43"/>
    </row>
    <row r="6" spans="1:11" x14ac:dyDescent="0.25">
      <c r="A6" s="93" t="s">
        <v>45</v>
      </c>
      <c r="B6" s="93" t="s">
        <v>31</v>
      </c>
      <c r="C6" s="93" t="s">
        <v>46</v>
      </c>
      <c r="D6" s="93" t="s">
        <v>47</v>
      </c>
      <c r="E6" s="93" t="s">
        <v>35</v>
      </c>
      <c r="F6" s="95" t="s">
        <v>48</v>
      </c>
      <c r="G6" s="95" t="s">
        <v>49</v>
      </c>
      <c r="H6" s="95" t="s">
        <v>50</v>
      </c>
      <c r="I6" s="95" t="s">
        <v>51</v>
      </c>
      <c r="J6" s="95" t="s">
        <v>201</v>
      </c>
      <c r="K6" s="96" t="s">
        <v>34</v>
      </c>
    </row>
    <row r="7" spans="1:11" x14ac:dyDescent="0.25">
      <c r="A7" s="34" t="s">
        <v>53</v>
      </c>
      <c r="B7" s="89">
        <v>46110</v>
      </c>
      <c r="C7" s="46" t="s">
        <v>299</v>
      </c>
      <c r="D7" s="46" t="s">
        <v>133</v>
      </c>
      <c r="E7" s="46" t="s">
        <v>63</v>
      </c>
      <c r="F7" s="46" t="s">
        <v>325</v>
      </c>
      <c r="G7" s="76">
        <v>98.08</v>
      </c>
      <c r="H7" s="219"/>
      <c r="I7" s="215"/>
      <c r="J7" s="201" t="s">
        <v>359</v>
      </c>
      <c r="K7" s="34">
        <v>3</v>
      </c>
    </row>
    <row r="8" spans="1:11" x14ac:dyDescent="0.25">
      <c r="A8" s="34" t="s">
        <v>53</v>
      </c>
      <c r="B8" s="89">
        <v>46110</v>
      </c>
      <c r="C8" s="46" t="s">
        <v>299</v>
      </c>
      <c r="D8" s="46" t="s">
        <v>133</v>
      </c>
      <c r="E8" s="46" t="s">
        <v>63</v>
      </c>
      <c r="F8" s="46" t="s">
        <v>325</v>
      </c>
      <c r="G8" s="76">
        <v>949.92</v>
      </c>
      <c r="H8" s="219"/>
      <c r="I8" s="215"/>
      <c r="J8" s="201" t="s">
        <v>359</v>
      </c>
      <c r="K8" s="34">
        <v>3</v>
      </c>
    </row>
    <row r="9" spans="1:11" x14ac:dyDescent="0.25">
      <c r="A9" s="34" t="s">
        <v>53</v>
      </c>
      <c r="B9" s="89">
        <v>46111</v>
      </c>
      <c r="C9" s="46" t="s">
        <v>300</v>
      </c>
      <c r="D9" s="46" t="s">
        <v>301</v>
      </c>
      <c r="E9" s="46" t="s">
        <v>62</v>
      </c>
      <c r="F9" s="46" t="s">
        <v>17</v>
      </c>
      <c r="G9" s="76">
        <v>2.9</v>
      </c>
      <c r="H9" s="219"/>
      <c r="I9" s="215"/>
      <c r="J9" s="201" t="s">
        <v>373</v>
      </c>
      <c r="K9" s="34">
        <v>3</v>
      </c>
    </row>
    <row r="10" spans="1:11" x14ac:dyDescent="0.25">
      <c r="A10" s="34" t="s">
        <v>53</v>
      </c>
      <c r="B10" s="89">
        <v>46111</v>
      </c>
      <c r="C10" s="46" t="s">
        <v>300</v>
      </c>
      <c r="D10" s="46" t="s">
        <v>301</v>
      </c>
      <c r="E10" s="46" t="s">
        <v>62</v>
      </c>
      <c r="F10" s="46" t="s">
        <v>17</v>
      </c>
      <c r="G10" s="76">
        <v>1048.96</v>
      </c>
      <c r="H10" s="219"/>
      <c r="I10" s="215"/>
      <c r="J10" s="201" t="s">
        <v>373</v>
      </c>
      <c r="K10" s="34">
        <v>3</v>
      </c>
    </row>
    <row r="11" spans="1:11" x14ac:dyDescent="0.25">
      <c r="A11" s="34" t="s">
        <v>53</v>
      </c>
      <c r="B11" s="89">
        <v>46112</v>
      </c>
      <c r="C11" s="46" t="s">
        <v>306</v>
      </c>
      <c r="D11" s="46" t="s">
        <v>307</v>
      </c>
      <c r="E11" s="46" t="s">
        <v>161</v>
      </c>
      <c r="F11" s="46" t="s">
        <v>20</v>
      </c>
      <c r="G11" s="76">
        <v>673.96</v>
      </c>
      <c r="H11" s="219"/>
      <c r="I11" s="215"/>
      <c r="J11" s="201" t="s">
        <v>375</v>
      </c>
      <c r="K11" s="34">
        <v>3</v>
      </c>
    </row>
    <row r="12" spans="1:11" x14ac:dyDescent="0.25">
      <c r="A12" s="34" t="s">
        <v>53</v>
      </c>
      <c r="B12" s="89">
        <v>46112</v>
      </c>
      <c r="C12" s="46" t="s">
        <v>306</v>
      </c>
      <c r="D12" s="46" t="s">
        <v>307</v>
      </c>
      <c r="E12" s="46" t="s">
        <v>161</v>
      </c>
      <c r="F12" s="46" t="s">
        <v>20</v>
      </c>
      <c r="G12" s="76">
        <v>176.04</v>
      </c>
      <c r="H12" s="219"/>
      <c r="I12" s="215"/>
      <c r="J12" s="201" t="s">
        <v>375</v>
      </c>
      <c r="K12" s="34">
        <v>3</v>
      </c>
    </row>
    <row r="13" spans="1:11" x14ac:dyDescent="0.25">
      <c r="A13" s="34" t="s">
        <v>53</v>
      </c>
      <c r="B13" s="89">
        <v>46112</v>
      </c>
      <c r="C13" s="46" t="s">
        <v>306</v>
      </c>
      <c r="D13" s="46" t="s">
        <v>307</v>
      </c>
      <c r="E13" s="46" t="s">
        <v>161</v>
      </c>
      <c r="F13" s="46" t="s">
        <v>20</v>
      </c>
      <c r="G13" s="76">
        <v>48.96</v>
      </c>
      <c r="H13" s="219"/>
      <c r="I13" s="215"/>
      <c r="J13" s="201" t="s">
        <v>375</v>
      </c>
      <c r="K13" s="34">
        <v>3</v>
      </c>
    </row>
    <row r="14" spans="1:11" x14ac:dyDescent="0.25">
      <c r="A14" s="34" t="s">
        <v>53</v>
      </c>
      <c r="B14" s="89">
        <v>46112</v>
      </c>
      <c r="C14" s="46" t="s">
        <v>306</v>
      </c>
      <c r="D14" s="46" t="s">
        <v>307</v>
      </c>
      <c r="E14" s="46" t="s">
        <v>161</v>
      </c>
      <c r="F14" s="46" t="s">
        <v>20</v>
      </c>
      <c r="G14" s="76">
        <v>75</v>
      </c>
      <c r="H14" s="219"/>
      <c r="I14" s="215"/>
      <c r="J14" s="201" t="s">
        <v>375</v>
      </c>
      <c r="K14" s="34">
        <v>3</v>
      </c>
    </row>
    <row r="15" spans="1:11" x14ac:dyDescent="0.25">
      <c r="A15" s="34" t="s">
        <v>53</v>
      </c>
      <c r="B15" s="89">
        <v>46112</v>
      </c>
      <c r="C15" s="46" t="s">
        <v>306</v>
      </c>
      <c r="D15" s="46" t="s">
        <v>307</v>
      </c>
      <c r="E15" s="46" t="s">
        <v>161</v>
      </c>
      <c r="F15" s="46" t="s">
        <v>20</v>
      </c>
      <c r="G15" s="76">
        <v>75</v>
      </c>
      <c r="H15" s="219"/>
      <c r="I15" s="215"/>
      <c r="J15" s="201" t="s">
        <v>375</v>
      </c>
      <c r="K15" s="34">
        <v>3</v>
      </c>
    </row>
    <row r="16" spans="1:11" x14ac:dyDescent="0.25">
      <c r="A16" s="34" t="s">
        <v>53</v>
      </c>
      <c r="B16" s="89">
        <v>46112</v>
      </c>
      <c r="C16" s="46" t="s">
        <v>308</v>
      </c>
      <c r="D16" s="46" t="s">
        <v>288</v>
      </c>
      <c r="E16" s="46" t="s">
        <v>161</v>
      </c>
      <c r="F16" s="46" t="s">
        <v>20</v>
      </c>
      <c r="G16" s="76">
        <v>75</v>
      </c>
      <c r="H16" s="219"/>
      <c r="I16" s="215"/>
      <c r="J16" s="201" t="s">
        <v>375</v>
      </c>
      <c r="K16" s="34">
        <v>3</v>
      </c>
    </row>
    <row r="17" spans="1:11" x14ac:dyDescent="0.25">
      <c r="A17" s="34" t="s">
        <v>53</v>
      </c>
      <c r="B17" s="89">
        <v>46112</v>
      </c>
      <c r="C17" s="46" t="s">
        <v>308</v>
      </c>
      <c r="D17" s="46" t="s">
        <v>288</v>
      </c>
      <c r="E17" s="46" t="s">
        <v>161</v>
      </c>
      <c r="F17" s="46" t="s">
        <v>20</v>
      </c>
      <c r="G17" s="76">
        <v>75</v>
      </c>
      <c r="H17" s="219"/>
      <c r="I17" s="215"/>
      <c r="J17" s="201" t="s">
        <v>375</v>
      </c>
      <c r="K17" s="34">
        <v>3</v>
      </c>
    </row>
    <row r="18" spans="1:11" x14ac:dyDescent="0.25">
      <c r="A18" s="34" t="s">
        <v>53</v>
      </c>
      <c r="B18" s="89">
        <v>46112</v>
      </c>
      <c r="C18" s="46" t="s">
        <v>308</v>
      </c>
      <c r="D18" s="46" t="s">
        <v>288</v>
      </c>
      <c r="E18" s="46" t="s">
        <v>161</v>
      </c>
      <c r="F18" s="46" t="s">
        <v>20</v>
      </c>
      <c r="G18" s="76">
        <v>26.04</v>
      </c>
      <c r="H18" s="219"/>
      <c r="I18" s="215"/>
      <c r="J18" s="201" t="s">
        <v>375</v>
      </c>
      <c r="K18" s="34">
        <v>3</v>
      </c>
    </row>
    <row r="19" spans="1:11" x14ac:dyDescent="0.25">
      <c r="A19" s="34" t="s">
        <v>53</v>
      </c>
      <c r="B19" s="89">
        <v>46112</v>
      </c>
      <c r="C19" s="46" t="s">
        <v>308</v>
      </c>
      <c r="D19" s="46" t="s">
        <v>288</v>
      </c>
      <c r="E19" s="46" t="s">
        <v>161</v>
      </c>
      <c r="F19" s="46" t="s">
        <v>20</v>
      </c>
      <c r="G19" s="76">
        <v>48.96</v>
      </c>
      <c r="H19" s="219"/>
      <c r="I19" s="215"/>
      <c r="J19" s="53" t="s">
        <v>375</v>
      </c>
      <c r="K19" s="34">
        <v>3</v>
      </c>
    </row>
    <row r="20" spans="1:11" x14ac:dyDescent="0.25">
      <c r="A20" s="34" t="s">
        <v>53</v>
      </c>
      <c r="B20" s="89">
        <v>46112</v>
      </c>
      <c r="C20" s="46" t="s">
        <v>308</v>
      </c>
      <c r="D20" s="46" t="s">
        <v>288</v>
      </c>
      <c r="E20" s="46" t="s">
        <v>161</v>
      </c>
      <c r="F20" s="46" t="s">
        <v>20</v>
      </c>
      <c r="G20" s="76">
        <v>823.96</v>
      </c>
      <c r="H20" s="219"/>
      <c r="I20" s="215"/>
      <c r="J20" s="53" t="s">
        <v>375</v>
      </c>
      <c r="K20" s="34">
        <v>3</v>
      </c>
    </row>
    <row r="21" spans="1:11" x14ac:dyDescent="0.25">
      <c r="A21" s="34" t="s">
        <v>53</v>
      </c>
      <c r="B21" s="89">
        <v>46112</v>
      </c>
      <c r="C21" s="46" t="s">
        <v>311</v>
      </c>
      <c r="D21" s="46"/>
      <c r="E21" s="46" t="s">
        <v>319</v>
      </c>
      <c r="F21" s="46" t="s">
        <v>339</v>
      </c>
      <c r="G21" s="76">
        <v>10807.57</v>
      </c>
      <c r="H21" s="219"/>
      <c r="I21" s="215"/>
      <c r="J21" s="89">
        <v>46113</v>
      </c>
      <c r="K21" s="34">
        <v>4</v>
      </c>
    </row>
    <row r="22" spans="1:11" x14ac:dyDescent="0.25">
      <c r="A22" s="34" t="s">
        <v>68</v>
      </c>
      <c r="B22" s="89">
        <v>46112</v>
      </c>
      <c r="C22" s="46" t="s">
        <v>311</v>
      </c>
      <c r="D22" s="46"/>
      <c r="E22" s="46" t="s">
        <v>319</v>
      </c>
      <c r="F22" s="46" t="s">
        <v>340</v>
      </c>
      <c r="G22" s="76">
        <v>8824.7199999999993</v>
      </c>
      <c r="H22" s="219"/>
      <c r="I22" s="215"/>
      <c r="J22" s="89">
        <v>46113</v>
      </c>
      <c r="K22" s="34">
        <v>4</v>
      </c>
    </row>
    <row r="23" spans="1:11" x14ac:dyDescent="0.25">
      <c r="A23" s="34" t="s">
        <v>53</v>
      </c>
      <c r="B23" s="89">
        <v>46112</v>
      </c>
      <c r="C23" s="46" t="s">
        <v>312</v>
      </c>
      <c r="D23" s="46" t="s">
        <v>313</v>
      </c>
      <c r="E23" s="46" t="s">
        <v>313</v>
      </c>
      <c r="F23" s="46" t="s">
        <v>341</v>
      </c>
      <c r="G23" s="76">
        <v>706.14</v>
      </c>
      <c r="H23" s="219"/>
      <c r="I23" s="215"/>
      <c r="J23" s="201" t="s">
        <v>376</v>
      </c>
      <c r="K23" s="34">
        <v>3</v>
      </c>
    </row>
    <row r="24" spans="1:11" x14ac:dyDescent="0.25">
      <c r="A24" s="34" t="s">
        <v>53</v>
      </c>
      <c r="B24" s="89">
        <v>46106</v>
      </c>
      <c r="C24" s="46" t="s">
        <v>295</v>
      </c>
      <c r="D24" s="46" t="s">
        <v>296</v>
      </c>
      <c r="E24" s="46" t="s">
        <v>243</v>
      </c>
      <c r="F24" s="46" t="s">
        <v>323</v>
      </c>
      <c r="H24" s="218">
        <v>-1400</v>
      </c>
      <c r="I24" s="215"/>
      <c r="J24" s="207" t="s">
        <v>376</v>
      </c>
      <c r="K24" s="214">
        <v>-3</v>
      </c>
    </row>
    <row r="25" spans="1:11" x14ac:dyDescent="0.25">
      <c r="A25" s="34" t="s">
        <v>68</v>
      </c>
      <c r="B25" s="89">
        <v>46106</v>
      </c>
      <c r="C25" s="46" t="s">
        <v>295</v>
      </c>
      <c r="D25" s="46" t="s">
        <v>296</v>
      </c>
      <c r="E25" s="46" t="s">
        <v>243</v>
      </c>
      <c r="F25" s="46" t="s">
        <v>323</v>
      </c>
      <c r="H25" s="218">
        <v>-1400</v>
      </c>
      <c r="I25" s="215"/>
      <c r="J25" s="207" t="s">
        <v>376</v>
      </c>
      <c r="K25" s="214">
        <v>-3</v>
      </c>
    </row>
    <row r="26" spans="1:11" x14ac:dyDescent="0.25">
      <c r="A26" s="34" t="s">
        <v>68</v>
      </c>
      <c r="B26" s="89">
        <v>46106</v>
      </c>
      <c r="C26" s="46" t="s">
        <v>297</v>
      </c>
      <c r="D26" s="46" t="s">
        <v>298</v>
      </c>
      <c r="E26" s="46" t="s">
        <v>290</v>
      </c>
      <c r="F26" s="46" t="s">
        <v>324</v>
      </c>
      <c r="H26" s="218">
        <v>-374.59</v>
      </c>
      <c r="I26" s="221"/>
      <c r="J26" s="207" t="s">
        <v>375</v>
      </c>
      <c r="K26" s="214">
        <v>-3</v>
      </c>
    </row>
    <row r="27" spans="1:11" x14ac:dyDescent="0.25">
      <c r="A27" s="34" t="s">
        <v>53</v>
      </c>
      <c r="B27" s="89">
        <v>46112</v>
      </c>
      <c r="C27" s="46" t="s">
        <v>302</v>
      </c>
      <c r="D27" s="46" t="s">
        <v>303</v>
      </c>
      <c r="E27" s="46" t="s">
        <v>254</v>
      </c>
      <c r="F27" s="46"/>
      <c r="H27" s="218">
        <v>-1.91</v>
      </c>
      <c r="I27" s="221"/>
      <c r="J27" s="207" t="s">
        <v>376</v>
      </c>
      <c r="K27" s="214">
        <v>-3</v>
      </c>
    </row>
    <row r="28" spans="1:11" x14ac:dyDescent="0.25">
      <c r="A28" s="34" t="s">
        <v>68</v>
      </c>
      <c r="B28" s="89">
        <v>46112</v>
      </c>
      <c r="C28" s="46" t="s">
        <v>302</v>
      </c>
      <c r="D28" s="46" t="s">
        <v>303</v>
      </c>
      <c r="E28" s="46" t="s">
        <v>254</v>
      </c>
      <c r="F28" s="46"/>
      <c r="H28" s="218">
        <v>-0.52</v>
      </c>
      <c r="I28" s="221"/>
      <c r="J28" s="207" t="s">
        <v>376</v>
      </c>
      <c r="K28" s="214">
        <v>-3</v>
      </c>
    </row>
    <row r="29" spans="1:11" x14ac:dyDescent="0.25">
      <c r="A29" s="34" t="s">
        <v>53</v>
      </c>
      <c r="B29" s="89">
        <v>46112</v>
      </c>
      <c r="C29" s="46" t="s">
        <v>304</v>
      </c>
      <c r="D29" s="46" t="s">
        <v>305</v>
      </c>
      <c r="E29" s="46" t="s">
        <v>254</v>
      </c>
      <c r="F29" s="46" t="s">
        <v>326</v>
      </c>
      <c r="H29" s="218">
        <v>-20</v>
      </c>
      <c r="I29" s="221"/>
      <c r="J29" s="207" t="s">
        <v>376</v>
      </c>
      <c r="K29" s="214">
        <v>-3</v>
      </c>
    </row>
    <row r="30" spans="1:11" x14ac:dyDescent="0.25">
      <c r="A30" s="34" t="s">
        <v>53</v>
      </c>
      <c r="B30" s="89">
        <v>46112</v>
      </c>
      <c r="C30" s="46" t="s">
        <v>304</v>
      </c>
      <c r="D30" s="46" t="s">
        <v>305</v>
      </c>
      <c r="E30" s="46" t="s">
        <v>254</v>
      </c>
      <c r="F30" s="46" t="s">
        <v>327</v>
      </c>
      <c r="H30" s="218">
        <v>-17.829999999999998</v>
      </c>
      <c r="I30" s="221"/>
      <c r="J30" s="207" t="s">
        <v>376</v>
      </c>
      <c r="K30" s="214">
        <v>-3</v>
      </c>
    </row>
    <row r="31" spans="1:11" x14ac:dyDescent="0.25">
      <c r="A31" s="34" t="s">
        <v>53</v>
      </c>
      <c r="B31" s="89">
        <v>46112</v>
      </c>
      <c r="C31" s="46" t="s">
        <v>304</v>
      </c>
      <c r="D31" s="46" t="s">
        <v>305</v>
      </c>
      <c r="E31" s="46" t="s">
        <v>254</v>
      </c>
      <c r="F31" s="46" t="s">
        <v>328</v>
      </c>
      <c r="H31" s="218">
        <v>-13.51</v>
      </c>
      <c r="I31" s="221"/>
      <c r="J31" s="207" t="s">
        <v>376</v>
      </c>
      <c r="K31" s="214">
        <v>-3</v>
      </c>
    </row>
    <row r="32" spans="1:11" x14ac:dyDescent="0.25">
      <c r="A32" s="34" t="s">
        <v>53</v>
      </c>
      <c r="B32" s="89">
        <v>46112</v>
      </c>
      <c r="C32" s="46" t="s">
        <v>304</v>
      </c>
      <c r="D32" s="46" t="s">
        <v>305</v>
      </c>
      <c r="E32" s="46" t="s">
        <v>254</v>
      </c>
      <c r="F32" s="46" t="s">
        <v>329</v>
      </c>
      <c r="G32" s="76">
        <v>6.42</v>
      </c>
      <c r="I32" s="221"/>
      <c r="J32" s="207" t="s">
        <v>376</v>
      </c>
      <c r="K32" s="214">
        <v>-3</v>
      </c>
    </row>
    <row r="33" spans="1:11" x14ac:dyDescent="0.25">
      <c r="A33" s="34" t="s">
        <v>53</v>
      </c>
      <c r="B33" s="89">
        <v>46112</v>
      </c>
      <c r="C33" s="46" t="s">
        <v>304</v>
      </c>
      <c r="D33" s="46" t="s">
        <v>305</v>
      </c>
      <c r="E33" s="46" t="s">
        <v>254</v>
      </c>
      <c r="F33" s="46" t="s">
        <v>330</v>
      </c>
      <c r="H33" s="218">
        <v>-33.04</v>
      </c>
      <c r="I33" s="221"/>
      <c r="J33" s="207" t="s">
        <v>376</v>
      </c>
      <c r="K33" s="214">
        <v>-3</v>
      </c>
    </row>
    <row r="34" spans="1:11" x14ac:dyDescent="0.25">
      <c r="A34" s="34" t="s">
        <v>53</v>
      </c>
      <c r="B34" s="89">
        <v>46112</v>
      </c>
      <c r="C34" s="46" t="s">
        <v>304</v>
      </c>
      <c r="D34" s="46" t="s">
        <v>305</v>
      </c>
      <c r="E34" s="46" t="s">
        <v>254</v>
      </c>
      <c r="F34" s="46" t="s">
        <v>237</v>
      </c>
      <c r="H34" s="218">
        <v>-97.28</v>
      </c>
      <c r="I34" s="221"/>
      <c r="J34" s="207" t="s">
        <v>376</v>
      </c>
      <c r="K34" s="214">
        <v>-3</v>
      </c>
    </row>
    <row r="35" spans="1:11" x14ac:dyDescent="0.25">
      <c r="A35" s="34" t="s">
        <v>53</v>
      </c>
      <c r="B35" s="89">
        <v>46112</v>
      </c>
      <c r="C35" s="46" t="s">
        <v>304</v>
      </c>
      <c r="D35" s="46" t="s">
        <v>305</v>
      </c>
      <c r="E35" s="46" t="s">
        <v>254</v>
      </c>
      <c r="F35" s="46" t="s">
        <v>331</v>
      </c>
      <c r="H35" s="218">
        <v>-106.99</v>
      </c>
      <c r="I35" s="221"/>
      <c r="J35" s="207" t="s">
        <v>376</v>
      </c>
      <c r="K35" s="214">
        <v>-3</v>
      </c>
    </row>
    <row r="36" spans="1:11" x14ac:dyDescent="0.25">
      <c r="A36" s="34" t="s">
        <v>53</v>
      </c>
      <c r="B36" s="89">
        <v>46112</v>
      </c>
      <c r="C36" s="46" t="s">
        <v>304</v>
      </c>
      <c r="D36" s="46" t="s">
        <v>305</v>
      </c>
      <c r="E36" s="46" t="s">
        <v>254</v>
      </c>
      <c r="F36" s="46" t="s">
        <v>332</v>
      </c>
      <c r="H36" s="218">
        <v>-10</v>
      </c>
      <c r="I36" s="221"/>
      <c r="J36" s="207" t="s">
        <v>376</v>
      </c>
      <c r="K36" s="214">
        <v>-3</v>
      </c>
    </row>
    <row r="37" spans="1:11" x14ac:dyDescent="0.25">
      <c r="A37" s="34" t="s">
        <v>53</v>
      </c>
      <c r="B37" s="89">
        <v>46112</v>
      </c>
      <c r="C37" s="46" t="s">
        <v>304</v>
      </c>
      <c r="D37" s="46" t="s">
        <v>305</v>
      </c>
      <c r="E37" s="46" t="s">
        <v>254</v>
      </c>
      <c r="F37" s="46" t="s">
        <v>333</v>
      </c>
      <c r="H37" s="218">
        <v>-21.38</v>
      </c>
      <c r="I37" s="221"/>
      <c r="J37" s="207" t="s">
        <v>376</v>
      </c>
      <c r="K37" s="214">
        <v>-3</v>
      </c>
    </row>
    <row r="38" spans="1:11" x14ac:dyDescent="0.25">
      <c r="A38" s="34" t="s">
        <v>53</v>
      </c>
      <c r="B38" s="89">
        <v>46112</v>
      </c>
      <c r="C38" s="46" t="s">
        <v>304</v>
      </c>
      <c r="D38" s="46" t="s">
        <v>305</v>
      </c>
      <c r="E38" s="46" t="s">
        <v>254</v>
      </c>
      <c r="F38" s="46" t="s">
        <v>334</v>
      </c>
      <c r="H38" s="218">
        <v>-241.04</v>
      </c>
      <c r="I38" s="221"/>
      <c r="J38" s="207" t="s">
        <v>376</v>
      </c>
      <c r="K38" s="214">
        <v>-3</v>
      </c>
    </row>
    <row r="39" spans="1:11" x14ac:dyDescent="0.25">
      <c r="A39" s="34" t="s">
        <v>53</v>
      </c>
      <c r="B39" s="89">
        <v>46112</v>
      </c>
      <c r="C39" s="46" t="s">
        <v>304</v>
      </c>
      <c r="D39" s="46" t="s">
        <v>305</v>
      </c>
      <c r="E39" s="46" t="s">
        <v>254</v>
      </c>
      <c r="F39" s="46" t="s">
        <v>335</v>
      </c>
      <c r="H39" s="218">
        <v>-132.96</v>
      </c>
      <c r="I39" s="221"/>
      <c r="J39" s="207" t="s">
        <v>376</v>
      </c>
      <c r="K39" s="214">
        <v>-3</v>
      </c>
    </row>
    <row r="40" spans="1:11" x14ac:dyDescent="0.25">
      <c r="A40" s="34" t="s">
        <v>53</v>
      </c>
      <c r="B40" s="89">
        <v>46112</v>
      </c>
      <c r="C40" s="46" t="s">
        <v>304</v>
      </c>
      <c r="D40" s="46" t="s">
        <v>305</v>
      </c>
      <c r="E40" s="46" t="s">
        <v>254</v>
      </c>
      <c r="F40" s="46" t="s">
        <v>336</v>
      </c>
      <c r="H40" s="218">
        <v>-250</v>
      </c>
      <c r="I40" s="221"/>
      <c r="J40" s="207" t="s">
        <v>376</v>
      </c>
      <c r="K40" s="214">
        <v>-3</v>
      </c>
    </row>
    <row r="41" spans="1:11" x14ac:dyDescent="0.25">
      <c r="A41" s="34" t="s">
        <v>53</v>
      </c>
      <c r="B41" s="89">
        <v>46112</v>
      </c>
      <c r="C41" s="46" t="s">
        <v>304</v>
      </c>
      <c r="D41" s="46" t="s">
        <v>305</v>
      </c>
      <c r="E41" s="46" t="s">
        <v>254</v>
      </c>
      <c r="F41" s="46" t="s">
        <v>337</v>
      </c>
      <c r="H41" s="218">
        <v>-173.81</v>
      </c>
      <c r="I41" s="221"/>
      <c r="J41" s="207" t="s">
        <v>376</v>
      </c>
      <c r="K41" s="214">
        <v>-3</v>
      </c>
    </row>
    <row r="42" spans="1:11" x14ac:dyDescent="0.25">
      <c r="A42" s="34" t="s">
        <v>68</v>
      </c>
      <c r="B42" s="89">
        <v>46112</v>
      </c>
      <c r="C42" s="46" t="s">
        <v>304</v>
      </c>
      <c r="D42" s="46" t="s">
        <v>305</v>
      </c>
      <c r="E42" s="46" t="s">
        <v>254</v>
      </c>
      <c r="F42" s="46" t="s">
        <v>326</v>
      </c>
      <c r="H42" s="218">
        <v>-20</v>
      </c>
      <c r="I42" s="221"/>
      <c r="J42" s="207" t="s">
        <v>376</v>
      </c>
      <c r="K42" s="214">
        <v>-3</v>
      </c>
    </row>
    <row r="43" spans="1:11" x14ac:dyDescent="0.25">
      <c r="A43" s="34" t="s">
        <v>68</v>
      </c>
      <c r="B43" s="89">
        <v>46112</v>
      </c>
      <c r="C43" s="46" t="s">
        <v>304</v>
      </c>
      <c r="D43" s="46" t="s">
        <v>305</v>
      </c>
      <c r="E43" s="46" t="s">
        <v>254</v>
      </c>
      <c r="F43" s="46" t="s">
        <v>327</v>
      </c>
      <c r="H43" s="218">
        <v>-17.829999999999998</v>
      </c>
      <c r="I43" s="221"/>
      <c r="J43" s="207" t="s">
        <v>376</v>
      </c>
      <c r="K43" s="214">
        <v>-3</v>
      </c>
    </row>
    <row r="44" spans="1:11" x14ac:dyDescent="0.25">
      <c r="A44" s="34" t="s">
        <v>68</v>
      </c>
      <c r="B44" s="89">
        <v>46112</v>
      </c>
      <c r="C44" s="46" t="s">
        <v>304</v>
      </c>
      <c r="D44" s="46" t="s">
        <v>305</v>
      </c>
      <c r="E44" s="46" t="s">
        <v>254</v>
      </c>
      <c r="F44" s="46" t="s">
        <v>338</v>
      </c>
      <c r="H44" s="218">
        <v>-37.11</v>
      </c>
      <c r="I44" s="221"/>
      <c r="J44" s="207" t="s">
        <v>376</v>
      </c>
      <c r="K44" s="214">
        <v>-3</v>
      </c>
    </row>
    <row r="45" spans="1:11" x14ac:dyDescent="0.25">
      <c r="A45" s="34" t="s">
        <v>53</v>
      </c>
      <c r="B45" s="89">
        <v>46112</v>
      </c>
      <c r="C45" s="46" t="s">
        <v>309</v>
      </c>
      <c r="D45" s="46" t="s">
        <v>310</v>
      </c>
      <c r="E45" s="46" t="s">
        <v>310</v>
      </c>
      <c r="F45" s="46" t="s">
        <v>193</v>
      </c>
      <c r="H45" s="218">
        <v>-30793.74</v>
      </c>
      <c r="I45" s="221"/>
      <c r="J45" s="207" t="s">
        <v>373</v>
      </c>
      <c r="K45" s="214">
        <v>-3</v>
      </c>
    </row>
    <row r="46" spans="1:11" x14ac:dyDescent="0.25">
      <c r="A46" s="34" t="s">
        <v>68</v>
      </c>
      <c r="B46" s="89">
        <v>46112</v>
      </c>
      <c r="C46" s="46" t="s">
        <v>309</v>
      </c>
      <c r="D46" s="46" t="s">
        <v>310</v>
      </c>
      <c r="E46" s="46" t="s">
        <v>310</v>
      </c>
      <c r="F46" s="46" t="s">
        <v>193</v>
      </c>
      <c r="H46" s="218">
        <v>-29586.15</v>
      </c>
      <c r="I46" s="221"/>
      <c r="J46" s="207" t="s">
        <v>373</v>
      </c>
      <c r="K46" s="214">
        <v>-3</v>
      </c>
    </row>
    <row r="47" spans="1:11" x14ac:dyDescent="0.25">
      <c r="A47" s="34" t="s">
        <v>53</v>
      </c>
      <c r="B47" s="89">
        <v>46112</v>
      </c>
      <c r="C47" s="46" t="s">
        <v>314</v>
      </c>
      <c r="D47" s="46" t="s">
        <v>315</v>
      </c>
      <c r="E47" s="46" t="s">
        <v>320</v>
      </c>
      <c r="F47" s="46" t="s">
        <v>320</v>
      </c>
      <c r="H47" s="218">
        <v>-4122.76</v>
      </c>
      <c r="I47" s="221"/>
      <c r="J47" s="89">
        <v>46113</v>
      </c>
      <c r="K47" s="214">
        <v>-4</v>
      </c>
    </row>
    <row r="48" spans="1:11" x14ac:dyDescent="0.25">
      <c r="A48" s="34" t="s">
        <v>68</v>
      </c>
      <c r="B48" s="89">
        <v>46112</v>
      </c>
      <c r="C48" s="46" t="s">
        <v>316</v>
      </c>
      <c r="D48" s="46" t="s">
        <v>315</v>
      </c>
      <c r="E48" s="46" t="s">
        <v>321</v>
      </c>
      <c r="F48" s="46" t="s">
        <v>321</v>
      </c>
      <c r="H48" s="218">
        <v>-3994.34</v>
      </c>
      <c r="I48" s="221"/>
      <c r="J48" s="89">
        <v>46113</v>
      </c>
      <c r="K48" s="214">
        <v>-4</v>
      </c>
    </row>
    <row r="49" spans="1:11" x14ac:dyDescent="0.25">
      <c r="A49" s="34" t="s">
        <v>53</v>
      </c>
      <c r="B49" s="89">
        <v>46112</v>
      </c>
      <c r="C49" s="46" t="s">
        <v>342</v>
      </c>
      <c r="D49" s="46"/>
      <c r="E49" s="46" t="s">
        <v>344</v>
      </c>
      <c r="F49" s="46" t="s">
        <v>346</v>
      </c>
      <c r="H49" s="76">
        <v>-1415</v>
      </c>
      <c r="I49" s="221"/>
      <c r="J49" s="89">
        <v>46113</v>
      </c>
      <c r="K49" s="214">
        <v>-4</v>
      </c>
    </row>
    <row r="50" spans="1:11" x14ac:dyDescent="0.25">
      <c r="A50" s="34" t="s">
        <v>68</v>
      </c>
      <c r="B50" s="89">
        <v>46112</v>
      </c>
      <c r="C50" s="46" t="s">
        <v>343</v>
      </c>
      <c r="D50" s="46"/>
      <c r="E50" s="46" t="s">
        <v>345</v>
      </c>
      <c r="F50" s="46" t="s">
        <v>346</v>
      </c>
      <c r="H50" s="76">
        <v>-834</v>
      </c>
      <c r="I50" s="221"/>
      <c r="J50" s="89">
        <v>46113</v>
      </c>
      <c r="K50" s="214">
        <v>-4</v>
      </c>
    </row>
  </sheetData>
  <sortState xmlns:xlrd2="http://schemas.microsoft.com/office/spreadsheetml/2017/richdata2" ref="A7:K30">
    <sortCondition ref="G7:G30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2"/>
  <sheetViews>
    <sheetView showGridLines="0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3.2" x14ac:dyDescent="0.25"/>
  <cols>
    <col min="1" max="1" width="4" style="1" customWidth="1"/>
    <col min="2" max="2" width="25.77734375" style="1" customWidth="1"/>
    <col min="3" max="3" width="12.77734375" style="30" customWidth="1"/>
    <col min="4" max="4" width="12.33203125" style="31" customWidth="1"/>
    <col min="5" max="5" width="39.33203125" style="32" customWidth="1"/>
    <col min="6" max="6" width="13.109375" style="32" customWidth="1"/>
    <col min="7" max="7" width="14.6640625" style="72" bestFit="1" customWidth="1"/>
    <col min="8" max="8" width="13.77734375" style="72" customWidth="1"/>
    <col min="9" max="9" width="57.44140625" style="70" customWidth="1"/>
    <col min="10" max="10" width="15.77734375" style="60" customWidth="1"/>
    <col min="11" max="16384" width="9.33203125" style="1"/>
  </cols>
  <sheetData>
    <row r="1" spans="2:14" ht="13.8" thickBot="1" x14ac:dyDescent="0.3"/>
    <row r="2" spans="2:14" ht="13.8" thickBot="1" x14ac:dyDescent="0.3">
      <c r="B2" s="225" t="s">
        <v>1</v>
      </c>
      <c r="C2" s="226"/>
      <c r="D2" s="226"/>
      <c r="E2" s="226"/>
      <c r="F2" s="226"/>
      <c r="G2" s="226"/>
      <c r="H2" s="227"/>
    </row>
    <row r="3" spans="2:14" ht="13.8" thickBot="1" x14ac:dyDescent="0.3">
      <c r="B3" s="222" t="s">
        <v>2</v>
      </c>
      <c r="C3" s="223"/>
      <c r="D3" s="223"/>
      <c r="E3" s="223"/>
      <c r="F3" s="223"/>
      <c r="G3" s="223"/>
      <c r="H3" s="224"/>
    </row>
    <row r="4" spans="2:14" ht="13.8" thickBot="1" x14ac:dyDescent="0.3">
      <c r="B4" s="228">
        <v>44317</v>
      </c>
      <c r="C4" s="229"/>
      <c r="D4" s="229"/>
      <c r="E4" s="229"/>
      <c r="F4" s="229"/>
      <c r="G4" s="229"/>
      <c r="H4" s="230"/>
    </row>
    <row r="5" spans="2:14" ht="13.8" thickBot="1" x14ac:dyDescent="0.3">
      <c r="B5" s="107" t="s">
        <v>3</v>
      </c>
      <c r="C5" s="5"/>
      <c r="D5" s="12"/>
      <c r="E5" s="17"/>
      <c r="F5" s="17"/>
      <c r="G5" s="71"/>
      <c r="H5" s="108"/>
    </row>
    <row r="6" spans="2:14" x14ac:dyDescent="0.25">
      <c r="B6" s="109"/>
      <c r="C6" s="6"/>
      <c r="D6" s="13"/>
      <c r="E6" s="18"/>
      <c r="F6" s="18"/>
      <c r="G6" s="84"/>
      <c r="H6" s="110"/>
    </row>
    <row r="7" spans="2:14" x14ac:dyDescent="0.25">
      <c r="B7" s="111"/>
      <c r="C7" s="7"/>
      <c r="D7" s="14"/>
      <c r="F7" s="40" t="s">
        <v>4</v>
      </c>
      <c r="G7" s="79"/>
      <c r="H7" s="112">
        <v>169893.52</v>
      </c>
    </row>
    <row r="8" spans="2:14" x14ac:dyDescent="0.25">
      <c r="B8" s="111"/>
      <c r="C8" s="7"/>
      <c r="D8" s="14"/>
      <c r="E8" s="19"/>
      <c r="F8" s="19"/>
      <c r="G8" s="80"/>
      <c r="H8" s="113"/>
    </row>
    <row r="9" spans="2:14" x14ac:dyDescent="0.25">
      <c r="B9" s="114" t="s">
        <v>5</v>
      </c>
      <c r="C9" s="11"/>
      <c r="D9" s="15"/>
      <c r="E9" s="19"/>
      <c r="F9" s="19"/>
      <c r="G9" s="80"/>
      <c r="H9" s="113"/>
    </row>
    <row r="10" spans="2:14" x14ac:dyDescent="0.25">
      <c r="B10" s="114"/>
      <c r="C10" s="11"/>
      <c r="D10" s="15"/>
      <c r="E10" s="19"/>
      <c r="F10" s="19"/>
      <c r="G10" s="80"/>
      <c r="H10" s="113"/>
    </row>
    <row r="11" spans="2:14" ht="13.8" thickBot="1" x14ac:dyDescent="0.3">
      <c r="B11" s="143" t="s">
        <v>202</v>
      </c>
      <c r="C11" s="144" t="s">
        <v>15</v>
      </c>
      <c r="D11" s="145"/>
      <c r="E11" s="146" t="s">
        <v>203</v>
      </c>
      <c r="F11" s="147"/>
      <c r="G11" s="148">
        <v>450</v>
      </c>
      <c r="H11" s="149"/>
      <c r="I11" s="142" t="s">
        <v>204</v>
      </c>
      <c r="J11" s="150"/>
      <c r="K11" s="151"/>
      <c r="L11" s="151"/>
      <c r="M11" s="151"/>
      <c r="N11" s="151"/>
    </row>
    <row r="12" spans="2:14" ht="27" thickBot="1" x14ac:dyDescent="0.3">
      <c r="B12" s="152" t="s">
        <v>205</v>
      </c>
      <c r="C12" s="153" t="s">
        <v>15</v>
      </c>
      <c r="D12" s="154"/>
      <c r="E12" s="155" t="s">
        <v>206</v>
      </c>
      <c r="F12" s="156"/>
      <c r="G12" s="157">
        <v>1232.47</v>
      </c>
      <c r="H12" s="158"/>
      <c r="I12" s="159" t="s">
        <v>207</v>
      </c>
      <c r="J12" s="150"/>
      <c r="K12" s="151"/>
      <c r="L12" s="151"/>
      <c r="M12" s="151"/>
      <c r="N12" s="151"/>
    </row>
    <row r="13" spans="2:14" ht="27" thickBot="1" x14ac:dyDescent="0.3">
      <c r="B13" s="160" t="s">
        <v>208</v>
      </c>
      <c r="C13" s="161" t="s">
        <v>15</v>
      </c>
      <c r="D13" s="162"/>
      <c r="E13" s="163" t="s">
        <v>209</v>
      </c>
      <c r="F13" s="164"/>
      <c r="G13" s="165">
        <v>1322.39</v>
      </c>
      <c r="H13" s="166"/>
      <c r="I13" s="167" t="s">
        <v>210</v>
      </c>
      <c r="J13" s="150"/>
      <c r="K13" s="151"/>
      <c r="L13" s="151"/>
      <c r="M13" s="151"/>
      <c r="N13" s="151"/>
    </row>
    <row r="14" spans="2:14" ht="39.6" x14ac:dyDescent="0.25">
      <c r="B14" s="168" t="s">
        <v>211</v>
      </c>
      <c r="C14" s="169" t="s">
        <v>15</v>
      </c>
      <c r="D14" s="170"/>
      <c r="E14" s="171" t="s">
        <v>212</v>
      </c>
      <c r="F14" s="172"/>
      <c r="G14" s="173">
        <v>2330</v>
      </c>
      <c r="H14" s="174"/>
      <c r="I14" s="175" t="s">
        <v>213</v>
      </c>
      <c r="J14" s="176"/>
      <c r="K14" s="151"/>
      <c r="L14" s="151"/>
      <c r="M14" s="151"/>
      <c r="N14" s="151"/>
    </row>
    <row r="15" spans="2:14" x14ac:dyDescent="0.25">
      <c r="B15" s="115"/>
      <c r="C15" s="3"/>
      <c r="D15" s="15"/>
      <c r="E15" s="41"/>
      <c r="F15" s="20"/>
      <c r="G15" s="81"/>
      <c r="H15" s="116"/>
    </row>
    <row r="16" spans="2:14" x14ac:dyDescent="0.25">
      <c r="B16" s="117" t="s">
        <v>6</v>
      </c>
      <c r="C16" s="3"/>
      <c r="D16" s="16"/>
      <c r="E16" s="21"/>
      <c r="F16" s="21"/>
      <c r="G16" s="78"/>
      <c r="H16" s="118"/>
    </row>
    <row r="17" spans="2:13" x14ac:dyDescent="0.25">
      <c r="B17" s="117"/>
      <c r="C17" s="3"/>
      <c r="D17" s="16"/>
      <c r="E17" s="21"/>
      <c r="F17" s="21"/>
      <c r="G17" s="78"/>
      <c r="H17" s="118"/>
    </row>
    <row r="18" spans="2:13" x14ac:dyDescent="0.25">
      <c r="B18" s="119"/>
      <c r="C18" s="3"/>
      <c r="D18" s="16"/>
      <c r="E18" s="59"/>
      <c r="F18" s="21"/>
      <c r="G18" s="78"/>
      <c r="H18" s="118"/>
    </row>
    <row r="19" spans="2:13" x14ac:dyDescent="0.25">
      <c r="B19" s="120"/>
      <c r="C19" s="3"/>
      <c r="D19" s="16"/>
      <c r="F19" s="24" t="s">
        <v>9</v>
      </c>
      <c r="G19" s="79"/>
      <c r="H19" s="118">
        <f>SUM(G9:G18)</f>
        <v>5334.8600000000006</v>
      </c>
    </row>
    <row r="20" spans="2:13" x14ac:dyDescent="0.25">
      <c r="B20" s="120"/>
      <c r="C20" s="3"/>
      <c r="D20" s="16"/>
      <c r="F20" s="23"/>
      <c r="G20" s="79"/>
      <c r="H20" s="121"/>
    </row>
    <row r="21" spans="2:13" ht="13.8" thickBot="1" x14ac:dyDescent="0.3">
      <c r="B21" s="111"/>
      <c r="C21" s="7"/>
      <c r="D21" s="14"/>
      <c r="F21" s="19" t="s">
        <v>10</v>
      </c>
      <c r="G21" s="79"/>
      <c r="H21" s="122">
        <f>+H7-H19</f>
        <v>164558.65999999997</v>
      </c>
    </row>
    <row r="22" spans="2:13" ht="14.4" thickTop="1" thickBot="1" x14ac:dyDescent="0.3">
      <c r="B22" s="111"/>
      <c r="C22" s="3"/>
      <c r="D22" s="16"/>
      <c r="E22" s="25"/>
      <c r="F22" s="25"/>
      <c r="G22" s="82"/>
      <c r="H22" s="123"/>
    </row>
    <row r="23" spans="2:13" ht="13.8" thickBot="1" x14ac:dyDescent="0.3">
      <c r="B23" s="177" t="s">
        <v>11</v>
      </c>
      <c r="C23" s="178"/>
      <c r="D23" s="179"/>
      <c r="E23" s="180"/>
      <c r="F23" s="180"/>
      <c r="G23" s="181"/>
      <c r="H23" s="182"/>
    </row>
    <row r="24" spans="2:13" x14ac:dyDescent="0.25">
      <c r="B24" s="126"/>
      <c r="C24" s="6"/>
      <c r="D24" s="13"/>
      <c r="E24" s="18"/>
      <c r="F24" s="18"/>
      <c r="G24" s="84"/>
      <c r="H24" s="110"/>
    </row>
    <row r="25" spans="2:13" x14ac:dyDescent="0.25">
      <c r="B25" s="111"/>
      <c r="C25" s="7"/>
      <c r="D25" s="14"/>
      <c r="E25" s="1"/>
      <c r="F25" s="40" t="s">
        <v>12</v>
      </c>
      <c r="G25" s="79"/>
      <c r="H25" s="127">
        <f>+[1]GL!I201</f>
        <v>131447</v>
      </c>
      <c r="I25" s="73"/>
    </row>
    <row r="26" spans="2:13" x14ac:dyDescent="0.25">
      <c r="B26" s="120"/>
      <c r="C26" s="3"/>
      <c r="D26" s="16"/>
      <c r="E26" s="26"/>
      <c r="F26" s="26"/>
      <c r="G26" s="85"/>
      <c r="H26" s="123"/>
    </row>
    <row r="27" spans="2:13" x14ac:dyDescent="0.25">
      <c r="B27" s="128" t="s">
        <v>13</v>
      </c>
      <c r="C27" s="37"/>
      <c r="D27" s="30"/>
      <c r="E27" s="22"/>
      <c r="F27" s="22"/>
      <c r="G27" s="82"/>
      <c r="H27" s="123"/>
    </row>
    <row r="28" spans="2:13" x14ac:dyDescent="0.25">
      <c r="B28" s="128"/>
      <c r="C28" s="37"/>
      <c r="D28" s="30"/>
      <c r="E28" s="22"/>
      <c r="F28" s="22"/>
      <c r="G28" s="82"/>
      <c r="H28" s="123"/>
    </row>
    <row r="29" spans="2:13" x14ac:dyDescent="0.25">
      <c r="B29" s="140">
        <v>44200</v>
      </c>
      <c r="C29" s="3" t="s">
        <v>15</v>
      </c>
      <c r="D29" s="11" t="s">
        <v>214</v>
      </c>
      <c r="E29" s="183" t="s">
        <v>215</v>
      </c>
      <c r="F29" s="141"/>
      <c r="G29" s="90">
        <v>782.79</v>
      </c>
      <c r="H29" s="116"/>
      <c r="I29" s="237" t="s">
        <v>216</v>
      </c>
      <c r="J29" s="238"/>
      <c r="K29" s="238"/>
      <c r="L29" s="238"/>
      <c r="M29" s="239"/>
    </row>
    <row r="30" spans="2:13" x14ac:dyDescent="0.25">
      <c r="B30" s="140">
        <v>44201</v>
      </c>
      <c r="C30" s="3" t="s">
        <v>15</v>
      </c>
      <c r="D30" s="11" t="s">
        <v>217</v>
      </c>
      <c r="E30" s="183" t="s">
        <v>218</v>
      </c>
      <c r="F30" s="141"/>
      <c r="G30" s="90">
        <v>1882.47</v>
      </c>
      <c r="H30" s="116"/>
      <c r="I30" s="184" t="s">
        <v>219</v>
      </c>
    </row>
    <row r="31" spans="2:13" x14ac:dyDescent="0.25">
      <c r="B31" s="140">
        <v>44231</v>
      </c>
      <c r="C31" s="3" t="s">
        <v>15</v>
      </c>
      <c r="D31" s="11" t="s">
        <v>220</v>
      </c>
      <c r="E31" s="183" t="s">
        <v>221</v>
      </c>
      <c r="F31" s="141"/>
      <c r="G31" s="90">
        <v>782.47</v>
      </c>
      <c r="H31" s="185"/>
      <c r="I31" s="184" t="s">
        <v>222</v>
      </c>
    </row>
    <row r="32" spans="2:13" x14ac:dyDescent="0.25">
      <c r="B32" s="140">
        <v>44259</v>
      </c>
      <c r="C32" s="3" t="s">
        <v>15</v>
      </c>
      <c r="D32" s="11" t="s">
        <v>223</v>
      </c>
      <c r="E32" s="183" t="s">
        <v>224</v>
      </c>
      <c r="F32" s="141"/>
      <c r="G32" s="90">
        <v>782.39</v>
      </c>
      <c r="H32" s="185"/>
      <c r="I32" s="184" t="s">
        <v>225</v>
      </c>
    </row>
    <row r="33" spans="1:9" x14ac:dyDescent="0.25">
      <c r="B33" s="140">
        <v>44288</v>
      </c>
      <c r="C33" s="3" t="s">
        <v>15</v>
      </c>
      <c r="D33" s="11" t="s">
        <v>226</v>
      </c>
      <c r="E33" s="183" t="s">
        <v>227</v>
      </c>
      <c r="F33" s="141"/>
      <c r="G33" s="90">
        <v>780</v>
      </c>
      <c r="H33" s="185"/>
      <c r="I33" s="184" t="s">
        <v>228</v>
      </c>
    </row>
    <row r="34" spans="1:9" x14ac:dyDescent="0.25">
      <c r="B34" s="140">
        <v>44289</v>
      </c>
      <c r="C34" s="3" t="s">
        <v>15</v>
      </c>
      <c r="D34" s="11" t="s">
        <v>229</v>
      </c>
      <c r="E34" s="183" t="s">
        <v>230</v>
      </c>
      <c r="F34" s="141"/>
      <c r="G34" s="90">
        <v>1100</v>
      </c>
      <c r="H34" s="185"/>
      <c r="I34" s="184" t="s">
        <v>228</v>
      </c>
    </row>
    <row r="35" spans="1:9" x14ac:dyDescent="0.25">
      <c r="B35" s="128"/>
      <c r="C35" s="37"/>
      <c r="D35" s="30"/>
      <c r="E35" s="22"/>
      <c r="F35" s="22"/>
      <c r="G35" s="82"/>
      <c r="H35" s="123"/>
    </row>
    <row r="36" spans="1:9" x14ac:dyDescent="0.25">
      <c r="B36" s="129" t="s">
        <v>14</v>
      </c>
      <c r="D36" s="139" t="s">
        <v>231</v>
      </c>
      <c r="E36" s="22"/>
      <c r="F36" s="22"/>
      <c r="G36" s="82">
        <f>+[1]GL!G204</f>
        <v>600</v>
      </c>
      <c r="H36" s="123"/>
    </row>
    <row r="37" spans="1:9" x14ac:dyDescent="0.25">
      <c r="B37" s="129"/>
      <c r="D37" s="139"/>
      <c r="E37" s="22"/>
      <c r="F37" s="22"/>
      <c r="G37" s="87"/>
      <c r="H37" s="123"/>
    </row>
    <row r="38" spans="1:9" x14ac:dyDescent="0.25">
      <c r="B38" s="129"/>
      <c r="C38" s="10"/>
      <c r="D38" s="30"/>
      <c r="E38" s="22"/>
      <c r="F38" s="103" t="s">
        <v>23</v>
      </c>
      <c r="G38" s="82">
        <f>SUM(G28:G37)</f>
        <v>6710.1200000000008</v>
      </c>
      <c r="H38" s="123"/>
    </row>
    <row r="39" spans="1:9" x14ac:dyDescent="0.25">
      <c r="B39" s="129"/>
      <c r="C39" s="10"/>
      <c r="D39" s="30"/>
      <c r="E39" s="22"/>
      <c r="F39" s="16"/>
      <c r="G39" s="82"/>
      <c r="H39" s="123"/>
    </row>
    <row r="40" spans="1:9" x14ac:dyDescent="0.25">
      <c r="A40" s="1" t="s">
        <v>24</v>
      </c>
      <c r="B40" s="114" t="s">
        <v>25</v>
      </c>
      <c r="C40" s="3"/>
      <c r="D40" s="30"/>
      <c r="E40" s="16"/>
      <c r="F40" s="16"/>
      <c r="G40" s="85"/>
      <c r="H40" s="123"/>
    </row>
    <row r="41" spans="1:9" x14ac:dyDescent="0.25">
      <c r="B41" s="114"/>
      <c r="C41" s="3"/>
      <c r="D41" s="30"/>
      <c r="E41" s="16"/>
      <c r="F41" s="16"/>
      <c r="G41" s="85"/>
      <c r="H41" s="123"/>
    </row>
    <row r="42" spans="1:9" x14ac:dyDescent="0.25">
      <c r="B42" s="114"/>
      <c r="C42" s="3"/>
      <c r="D42" s="30"/>
      <c r="E42" s="16"/>
      <c r="F42" s="16"/>
      <c r="G42" s="85"/>
      <c r="H42" s="123"/>
    </row>
    <row r="43" spans="1:9" x14ac:dyDescent="0.25">
      <c r="B43" s="129" t="s">
        <v>26</v>
      </c>
      <c r="D43" s="139" t="s">
        <v>231</v>
      </c>
      <c r="E43" s="22"/>
      <c r="F43" s="22"/>
      <c r="G43" s="82">
        <f>+[1]GL!G206</f>
        <v>-39821.78</v>
      </c>
      <c r="H43" s="123"/>
    </row>
    <row r="44" spans="1:9" x14ac:dyDescent="0.25">
      <c r="B44" s="114"/>
      <c r="D44" s="139"/>
      <c r="E44" s="16"/>
      <c r="F44" s="16"/>
      <c r="G44" s="86"/>
      <c r="H44" s="123"/>
    </row>
    <row r="45" spans="1:9" x14ac:dyDescent="0.25">
      <c r="B45" s="114"/>
      <c r="D45" s="139"/>
      <c r="E45" s="16"/>
      <c r="F45" s="103" t="s">
        <v>23</v>
      </c>
      <c r="G45" s="85">
        <f>SUM(G42:G44)</f>
        <v>-39821.78</v>
      </c>
      <c r="H45" s="123"/>
    </row>
    <row r="46" spans="1:9" x14ac:dyDescent="0.25">
      <c r="B46" s="120"/>
      <c r="C46" s="4"/>
      <c r="D46" s="30"/>
      <c r="E46" s="29"/>
      <c r="F46" s="29"/>
      <c r="G46" s="88"/>
      <c r="H46" s="118"/>
    </row>
    <row r="47" spans="1:9" x14ac:dyDescent="0.25">
      <c r="B47" s="130"/>
      <c r="C47" s="1"/>
      <c r="D47" s="30"/>
      <c r="F47" s="61" t="s">
        <v>28</v>
      </c>
      <c r="G47" s="138">
        <f>+G45+G38</f>
        <v>-33111.659999999996</v>
      </c>
      <c r="H47" s="118"/>
    </row>
    <row r="48" spans="1:9" x14ac:dyDescent="0.25">
      <c r="B48" s="111"/>
      <c r="C48" s="8"/>
      <c r="D48" s="14"/>
      <c r="E48" s="27"/>
      <c r="F48" s="27"/>
      <c r="G48" s="82"/>
      <c r="H48" s="123"/>
    </row>
    <row r="49" spans="2:8" x14ac:dyDescent="0.25">
      <c r="B49" s="111"/>
      <c r="C49" s="9"/>
      <c r="D49" s="16"/>
      <c r="F49" s="28" t="s">
        <v>29</v>
      </c>
      <c r="G49" s="79"/>
      <c r="H49" s="118">
        <f>+H25-G47</f>
        <v>164558.66</v>
      </c>
    </row>
    <row r="50" spans="2:8" x14ac:dyDescent="0.25">
      <c r="B50" s="111"/>
      <c r="C50" s="9"/>
      <c r="D50" s="16"/>
      <c r="F50" s="28"/>
      <c r="G50" s="79"/>
      <c r="H50" s="121"/>
    </row>
    <row r="51" spans="2:8" ht="13.8" thickBot="1" x14ac:dyDescent="0.3">
      <c r="B51" s="111"/>
      <c r="C51" s="9"/>
      <c r="D51" s="16"/>
      <c r="F51" s="28" t="s">
        <v>30</v>
      </c>
      <c r="G51" s="79"/>
      <c r="H51" s="131">
        <f>+H21-H49</f>
        <v>0</v>
      </c>
    </row>
    <row r="52" spans="2:8" ht="14.4" thickTop="1" thickBot="1" x14ac:dyDescent="0.3">
      <c r="B52" s="132"/>
      <c r="C52" s="133"/>
      <c r="D52" s="134"/>
      <c r="E52" s="135"/>
      <c r="F52" s="135"/>
      <c r="G52" s="136"/>
      <c r="H52" s="137"/>
    </row>
  </sheetData>
  <mergeCells count="4">
    <mergeCell ref="B2:H2"/>
    <mergeCell ref="B3:H3"/>
    <mergeCell ref="B4:H4"/>
    <mergeCell ref="I29:M29"/>
  </mergeCells>
  <printOptions horizontalCentered="1"/>
  <pageMargins left="0.5" right="0.5" top="0.75" bottom="0.75" header="0.3" footer="0.3"/>
  <pageSetup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BD2A4E9190F478000D3BF7430858F" ma:contentTypeVersion="19" ma:contentTypeDescription="Create a new document." ma:contentTypeScope="" ma:versionID="bade4da8854789b6c51ada15fb217850">
  <xsd:schema xmlns:xsd="http://www.w3.org/2001/XMLSchema" xmlns:xs="http://www.w3.org/2001/XMLSchema" xmlns:p="http://schemas.microsoft.com/office/2006/metadata/properties" xmlns:ns2="a5a00226-42df-4cdf-abf3-70d111463837" xmlns:ns3="19bf3f30-e0e7-4d78-975b-e26688708161" targetNamespace="http://schemas.microsoft.com/office/2006/metadata/properties" ma:root="true" ma:fieldsID="406878da5add308e2b53f50d70b43558" ns2:_="" ns3:_="">
    <xsd:import namespace="a5a00226-42df-4cdf-abf3-70d111463837"/>
    <xsd:import namespace="19bf3f30-e0e7-4d78-975b-e26688708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00226-42df-4cdf-abf3-70d11146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889991-f470-4d41-bb07-f8464fff8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f3f30-e0e7-4d78-975b-e26688708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f1dde8-6a4e-4d16-886e-a95b15f7e7b8}" ma:internalName="TaxCatchAll" ma:showField="CatchAllData" ma:web="19bf3f30-e0e7-4d78-975b-e26688708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bf3f30-e0e7-4d78-975b-e26688708161" xsi:nil="true"/>
    <lcf76f155ced4ddcb4097134ff3c332f xmlns="a5a00226-42df-4cdf-abf3-70d1114638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D89E58-A9B2-4EE7-BEC1-0D34BC315F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EC9A67-A1AF-40A6-A8D2-49BDAD3C5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00226-42df-4cdf-abf3-70d111463837"/>
    <ds:schemaRef ds:uri="19bf3f30-e0e7-4d78-975b-e26688708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EEC01D-A71F-4975-B8B0-2C02D6ABEAAE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a5a00226-42df-4cdf-abf3-70d111463837"/>
    <ds:schemaRef ds:uri="http://schemas.openxmlformats.org/package/2006/metadata/core-properties"/>
    <ds:schemaRef ds:uri="19bf3f30-e0e7-4d78-975b-e266887081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Bank Statement</vt:lpstr>
      <vt:lpstr>GL</vt:lpstr>
      <vt:lpstr>Un-Reconcile transactions</vt:lpstr>
      <vt:lpstr>Old Reconciled</vt:lpstr>
      <vt:lpstr>AR Summary</vt:lpstr>
      <vt:lpstr>Summary!Print_Area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Aditaya Kapoor</dc:creator>
  <cp:lastModifiedBy>Zeneira Fejzic</cp:lastModifiedBy>
  <cp:revision/>
  <cp:lastPrinted>2025-04-15T10:46:09Z</cp:lastPrinted>
  <dcterms:created xsi:type="dcterms:W3CDTF">2017-06-27T06:43:45Z</dcterms:created>
  <dcterms:modified xsi:type="dcterms:W3CDTF">2026-05-20T19:47:47Z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0x010100ABCBD2A4E9190F478000D3BF7430858F</vt:lpwstr>
  </property>
  <property fmtid="{D5CDD505-2E9C-101B-9397-08002B2CF9AE}" pid="3" name="MediaServiceImageTags">
    <vt:lpwstr/>
  </property>
</Properties>
</file>