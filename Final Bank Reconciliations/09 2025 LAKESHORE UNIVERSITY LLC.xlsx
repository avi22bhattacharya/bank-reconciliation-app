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keshoremhc-my.sharepoint.com/personal/abhishek_gksil_lakeshoremhc_com/Documents/Bank Reconciliation/Actual Bank Recon review/102025/10162025/Alafaya Palm/Raw/"/>
    </mc:Choice>
  </mc:AlternateContent>
  <xr:revisionPtr revIDLastSave="1" documentId="11_DABCF7B52D4C81428F3B79A5A0A37958AC7972BD" xr6:coauthVersionLast="47" xr6:coauthVersionMax="47" xr10:uidLastSave="{F387A3BC-03B2-4B97-A0F7-F3218757E601}"/>
  <bookViews>
    <workbookView xWindow="-120" yWindow="-120" windowWidth="20730" windowHeight="11040" tabRatio="857" xr2:uid="{00000000-000D-0000-FFFF-FFFF00000000}"/>
  </bookViews>
  <sheets>
    <sheet name="Summary" sheetId="29" r:id="rId1"/>
    <sheet name="Summary old" sheetId="26" state="hidden" r:id="rId2"/>
    <sheet name="AR Notes" sheetId="28" state="hidden" r:id="rId3"/>
    <sheet name="Bank Statement" sheetId="9" r:id="rId4"/>
    <sheet name="GL" sheetId="25" r:id="rId5"/>
    <sheet name="Un-Reconcile transactions" sheetId="11" r:id="rId6"/>
    <sheet name="Old Reconciled" sheetId="27" state="hidden" r:id="rId7"/>
  </sheets>
  <definedNames>
    <definedName name="_xlnm._FilterDatabase" localSheetId="3" hidden="1">'Bank Statement'!$A$1:$E$182</definedName>
    <definedName name="_xlnm._FilterDatabase" localSheetId="4" hidden="1">GL!$A$5:$K$318</definedName>
    <definedName name="_xlnm._FilterDatabase" localSheetId="6" hidden="1">'Old Reconciled'!$A$6:$K$6</definedName>
    <definedName name="_xlnm._FilterDatabase" localSheetId="5" hidden="1">'Un-Reconcile transactions'!$B$7:$I$7</definedName>
    <definedName name="_xlnm.Print_Area" localSheetId="0">Summary!$A$1:$J$62</definedName>
    <definedName name="_xlnm.Print_Area" localSheetId="1">'Summary old'!$B$1:$H$90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29" l="1"/>
  <c r="G38" i="29"/>
  <c r="G4" i="11"/>
  <c r="G16" i="11"/>
  <c r="G45" i="11"/>
  <c r="G323" i="25"/>
  <c r="G321" i="25"/>
  <c r="B187" i="9"/>
  <c r="B185" i="9"/>
  <c r="H16" i="29" l="1"/>
  <c r="H22" i="29" l="1"/>
  <c r="H18" i="29" l="1"/>
  <c r="J11" i="26"/>
  <c r="J28" i="26"/>
  <c r="H24" i="26"/>
  <c r="G49" i="26"/>
  <c r="G57" i="29" l="1"/>
  <c r="H59" i="29" s="1"/>
  <c r="H61" i="29" s="1"/>
  <c r="H18" i="26"/>
  <c r="G83" i="26" l="1"/>
  <c r="G85" i="26" l="1"/>
  <c r="H23" i="28" l="1"/>
  <c r="H17" i="28"/>
  <c r="H19" i="28" s="1"/>
  <c r="G36" i="28" l="1"/>
  <c r="G38" i="28" s="1"/>
  <c r="G29" i="28"/>
  <c r="G31" i="28" s="1"/>
  <c r="G40" i="28" l="1"/>
  <c r="H42" i="28" s="1"/>
  <c r="H44" i="28" s="1"/>
  <c r="H20" i="26" l="1"/>
  <c r="H87" i="26" l="1"/>
  <c r="H89" i="26" s="1"/>
</calcChain>
</file>

<file path=xl/sharedStrings.xml><?xml version="1.0" encoding="utf-8"?>
<sst xmlns="http://schemas.openxmlformats.org/spreadsheetml/2006/main" count="3063" uniqueCount="806">
  <si>
    <t>Bank Reconciliation - LAKESHORE UNIVERSITY , LLC</t>
  </si>
  <si>
    <t>WFB Account number 4121510457</t>
  </si>
  <si>
    <t>Bank Information</t>
  </si>
  <si>
    <t>Balance per bank at the month end</t>
  </si>
  <si>
    <t>Outstanding Bank Deposits:</t>
  </si>
  <si>
    <t>AP</t>
  </si>
  <si>
    <t>Outstanding Bank Disbursement:</t>
  </si>
  <si>
    <t>AR</t>
  </si>
  <si>
    <t>STAGECOACH SWEEP DEBIT</t>
  </si>
  <si>
    <t>Outstanding Items Total</t>
  </si>
  <si>
    <t>Adjusted bank balance</t>
  </si>
  <si>
    <t>General Ledger Information - 11100014 LAKESHORE UNIVERSITY LLC - WFB</t>
  </si>
  <si>
    <t xml:space="preserve"> Balance per TB at the month end</t>
  </si>
  <si>
    <t>Un-reconcile Outstanding Deposits:</t>
  </si>
  <si>
    <t>Un-reconcile  Deposits:</t>
  </si>
  <si>
    <t xml:space="preserve">Total </t>
  </si>
  <si>
    <t>Un-reconciled Outstanding Disbursement:</t>
  </si>
  <si>
    <t>Un-reconciled  Disbursement:</t>
  </si>
  <si>
    <t>BALLOONS BY RENEE (v0000109)</t>
  </si>
  <si>
    <t>DUKE ENERGY (v0000370)</t>
  </si>
  <si>
    <t>SHEAFFER INDUSTRIES (v0000974)</t>
  </si>
  <si>
    <t>Charter Communications (v0006510)</t>
  </si>
  <si>
    <t xml:space="preserve">Sub-Total </t>
  </si>
  <si>
    <t>Adjusted book balance</t>
  </si>
  <si>
    <t>Variance (s/b zero)</t>
  </si>
  <si>
    <t>07/31/2023</t>
  </si>
  <si>
    <t>ONLINE TRANSFER WTR7 5 REF #BB0K9HKR4L</t>
  </si>
  <si>
    <t>email Pejman 1/31/24</t>
  </si>
  <si>
    <t>08/31/2023</t>
  </si>
  <si>
    <t>ONLINE TRANSFER LSM TO ALAFAYA WT 8 6 REF #BB0KL2BCD4</t>
  </si>
  <si>
    <t>12/29/2023</t>
  </si>
  <si>
    <t>J-199897</t>
  </si>
  <si>
    <t>Credit Card Deposit 07/19/2023</t>
  </si>
  <si>
    <t>emailed Pejman 1/31/24</t>
  </si>
  <si>
    <t>J-200511</t>
  </si>
  <si>
    <t>Credit Card Deposit 07/20/2023</t>
  </si>
  <si>
    <t>J-201049</t>
  </si>
  <si>
    <t>Credit Card Deposit 07/26/2023</t>
  </si>
  <si>
    <t>J-202864</t>
  </si>
  <si>
    <t>Credit Card Deposit 08/02/2023</t>
  </si>
  <si>
    <t>J-203316</t>
  </si>
  <si>
    <t>Credit Card Deposit 08/09/2023</t>
  </si>
  <si>
    <t>J-204518</t>
  </si>
  <si>
    <t>Credit Card Deposit 08/17/2023</t>
  </si>
  <si>
    <t>J-204827</t>
  </si>
  <si>
    <t>Credit Card Deposit 08/24/2023</t>
  </si>
  <si>
    <t>J-206474</t>
  </si>
  <si>
    <t>Credit Card Deposit 09/13/2023</t>
  </si>
  <si>
    <t>J-211820</t>
  </si>
  <si>
    <t>Credit Card Deposit 10/25/2023</t>
  </si>
  <si>
    <t>J-212451</t>
  </si>
  <si>
    <t>Credit Card Deposit 10/31/2023</t>
  </si>
  <si>
    <t>J-218048</t>
  </si>
  <si>
    <t>PayLease : Cash Deposit 12/28/2023</t>
  </si>
  <si>
    <t>to clear Jan 2024</t>
  </si>
  <si>
    <t>J-217534</t>
  </si>
  <si>
    <t>Lot 243 Pablo Javier Cruz SD credit to ledger</t>
  </si>
  <si>
    <t>Lot 337 Lateja Renae Littles SD credit to ledger</t>
  </si>
  <si>
    <t>Lot 381 Susan Dykes SD credit to ledger</t>
  </si>
  <si>
    <t>J-219853</t>
  </si>
  <si>
    <t>CKS 12/29/2023 Batch 38a29895-233b-48ee-a693-e583307a9b0f</t>
  </si>
  <si>
    <t>PayLease : Cash Deposit 12/29/2023</t>
  </si>
  <si>
    <t>RP : CC Deposit 12/29/2023</t>
  </si>
  <si>
    <t>J-219856</t>
  </si>
  <si>
    <t>PayLease : Cash Deposit 12/30/2023</t>
  </si>
  <si>
    <t>J-218919</t>
  </si>
  <si>
    <t>12.2023 PB Free Lot rent-Alafaya Palms OMAR QUINONEZ  #173</t>
  </si>
  <si>
    <t>J-219857</t>
  </si>
  <si>
    <t>PayLease : Cash Deposit 12/31/2023</t>
  </si>
  <si>
    <t>John Pierre Martinez Ramos (v0007935)</t>
  </si>
  <si>
    <t>Communications Consulting Group, Inc. (v0008172)</t>
  </si>
  <si>
    <t>AtlasLaw (v0000101)</t>
  </si>
  <si>
    <t>CREATIVE MULTICARE, INC. (v0001308)</t>
  </si>
  <si>
    <t>MICHAEL'S LIGHTING &amp; ELECTRIC,INC  (v0003348)</t>
  </si>
  <si>
    <t>DISPOSALL, INC. (v0001311)</t>
  </si>
  <si>
    <t>Maintain Landscaping (v0000680)</t>
  </si>
  <si>
    <t>LSM- NT - EFT (v0000666)</t>
  </si>
  <si>
    <t>Barney's Pumps, Inc. (v0007883)</t>
  </si>
  <si>
    <t>J-218058</t>
  </si>
  <si>
    <t>12/2023 Mortgages</t>
  </si>
  <si>
    <t>J-219797</t>
  </si>
  <si>
    <t>Park Mgmt Fees Dec 2023 :Reversed by J-219798</t>
  </si>
  <si>
    <t>J-219816</t>
  </si>
  <si>
    <t>December 2023 Cash Park to Home :Reversed by J-219817</t>
  </si>
  <si>
    <t>04/16/2021</t>
  </si>
  <si>
    <t>Alafaya Palms - Settlement 041621 000011037449954 Lakeshore Management I 9000631441 000011037449954 R00000091004259204180</t>
  </si>
  <si>
    <t xml:space="preserve">Researching </t>
  </si>
  <si>
    <t>04/27/2022</t>
  </si>
  <si>
    <t>DESKTOP CHECK DEPOSIT</t>
  </si>
  <si>
    <t>J-114439</t>
  </si>
  <si>
    <t>RP : ACH Deposit 04/15/2021</t>
  </si>
  <si>
    <t>$717.80 returned on 4/21/21, how was that debit cleared?</t>
  </si>
  <si>
    <t>Un-reconcile Deposits:</t>
  </si>
  <si>
    <t>Apr '22</t>
  </si>
  <si>
    <t>Un-reconcile Disbursements:</t>
  </si>
  <si>
    <t>Date</t>
  </si>
  <si>
    <t>Amount</t>
  </si>
  <si>
    <t>Check Number</t>
  </si>
  <si>
    <t>Code</t>
  </si>
  <si>
    <t>Description</t>
  </si>
  <si>
    <t/>
  </si>
  <si>
    <t>STAGECOACH SWEEP INTEREST PAYMENT</t>
  </si>
  <si>
    <t>STAGECOACH SWEEP CREDIT</t>
  </si>
  <si>
    <t>CHECK</t>
  </si>
  <si>
    <t>Un-Recorded deposits</t>
  </si>
  <si>
    <t>Un-Recorded withdrawal</t>
  </si>
  <si>
    <t>General Ledger</t>
  </si>
  <si>
    <t>Property: Alafaya Palms (014ap)</t>
  </si>
  <si>
    <t>11100014 LAKESHORE UNIVERSITY LLC - WFB   (Bank Account)</t>
  </si>
  <si>
    <t>Property Name</t>
  </si>
  <si>
    <t>Control</t>
  </si>
  <si>
    <t>Reference</t>
  </si>
  <si>
    <t>Remarks</t>
  </si>
  <si>
    <t>Debit</t>
  </si>
  <si>
    <t>Credit</t>
  </si>
  <si>
    <t>Balance</t>
  </si>
  <si>
    <t>Reconcile Date</t>
  </si>
  <si>
    <t>Alafaya Palms</t>
  </si>
  <si>
    <t>Management Fees</t>
  </si>
  <si>
    <t>Daily Deposit</t>
  </si>
  <si>
    <t>LSE (v0000665)</t>
  </si>
  <si>
    <t>Yes Energy Management, Inc. (v0002908)</t>
  </si>
  <si>
    <t>LAKESHORE MANAGEMENT - WFB (v0000616)</t>
  </si>
  <si>
    <t>Interest PMT WF Equip Loan Contract#24</t>
  </si>
  <si>
    <t>Principal PMT WF Equip Loan Contract#24</t>
  </si>
  <si>
    <t>AMX-PB LAKESHORE MANAGEMENT INC. (v0001555)</t>
  </si>
  <si>
    <t>Convenient Payments</t>
  </si>
  <si>
    <t>Lakeshore University LLC mtg pymt</t>
  </si>
  <si>
    <t>Totals:</t>
  </si>
  <si>
    <t>Bank</t>
  </si>
  <si>
    <t xml:space="preserve"> </t>
  </si>
  <si>
    <t>Comment</t>
  </si>
  <si>
    <t>GL</t>
  </si>
  <si>
    <t>Property name</t>
  </si>
  <si>
    <t xml:space="preserve">Reconcile Date </t>
  </si>
  <si>
    <t>LAKESIDE AQUATIC WEED CONTROL (v0000627)</t>
  </si>
  <si>
    <t>Twisted Artz LLC d/b/a Party People Events (v0009797)</t>
  </si>
  <si>
    <t>Hurricane Insurance Proceeds</t>
  </si>
  <si>
    <t>LSC Mobile Sales - Tranche A (v0007540)</t>
  </si>
  <si>
    <t>Recruiting ads</t>
  </si>
  <si>
    <t>Atlas Law (v0000101)</t>
  </si>
  <si>
    <t>United Site Services (v0004129)</t>
  </si>
  <si>
    <t>Staples Bus (v0001011)</t>
  </si>
  <si>
    <t>LOT# 262 DELIZ</t>
  </si>
  <si>
    <t>LOT# 305 ARTZBERGER</t>
  </si>
  <si>
    <t>LOT# 345 OQUENDO</t>
  </si>
  <si>
    <t>Lutz Bobo &amp; Telfair PA (v0001333)</t>
  </si>
  <si>
    <t>CENTRAL WATER &amp; ELECTRIC UTILITY SERVICES (v0000190)</t>
  </si>
  <si>
    <t>LOT# 206 GREEN</t>
  </si>
  <si>
    <t>LOT# 22 TOMKO</t>
  </si>
  <si>
    <t>BOIL ADVISORY BACTERIOLOGICAL SAMPLES</t>
  </si>
  <si>
    <t>08/29/2025</t>
  </si>
  <si>
    <t>K-484450</t>
  </si>
  <si>
    <t>30754</t>
  </si>
  <si>
    <t>K-484498</t>
  </si>
  <si>
    <t>30755</t>
  </si>
  <si>
    <t>K-484499</t>
  </si>
  <si>
    <t>30756</t>
  </si>
  <si>
    <t>K-484500</t>
  </si>
  <si>
    <t>30757</t>
  </si>
  <si>
    <t>K-484970</t>
  </si>
  <si>
    <t>30758</t>
  </si>
  <si>
    <t>K-485115</t>
  </si>
  <si>
    <t>30759</t>
  </si>
  <si>
    <t>K-485856</t>
  </si>
  <si>
    <t>1403</t>
  </si>
  <si>
    <t>K-485936</t>
  </si>
  <si>
    <t>30760</t>
  </si>
  <si>
    <t>J-313554</t>
  </si>
  <si>
    <t>8/2025 Mortgages 2-40</t>
  </si>
  <si>
    <t>LSM NT CHECK (v0004320)</t>
  </si>
  <si>
    <t>Konica Minolta (v0001386)</t>
  </si>
  <si>
    <t>Department of Business &amp; Professional Regulation (v0008869)</t>
  </si>
  <si>
    <t>8/2025 Mortgage Payments 2-40</t>
  </si>
  <si>
    <t>Danny Sierra</t>
  </si>
  <si>
    <t>Insurance Proceeds from SOL #8</t>
  </si>
  <si>
    <t>Truck</t>
  </si>
  <si>
    <t>vehicle gas</t>
  </si>
  <si>
    <t>Amazon monthly membership fee</t>
  </si>
  <si>
    <t>ORDER# 7663140333-000-001 BY MARILYN GONZALEZ</t>
  </si>
  <si>
    <t>LOT# 71 MONICK</t>
  </si>
  <si>
    <t>AP vs Calo</t>
  </si>
  <si>
    <t>AP vs Tomko</t>
  </si>
  <si>
    <t>AP vs Green</t>
  </si>
  <si>
    <t>Prospectus amendments</t>
  </si>
  <si>
    <t>AP vs Vasquez</t>
  </si>
  <si>
    <t>Utility Invoice Processing (UEM) 07/01/2025 - 07/31/2025 Inv# 1265790</t>
  </si>
  <si>
    <t>07/29/2025-08/26/2025-Electric-9101 4870 5160-Electric Outdoor-0 Wesleyan blvd</t>
  </si>
  <si>
    <t>ANNUAL FEE 10/01/24-9/30/25</t>
  </si>
  <si>
    <t>J-313621</t>
  </si>
  <si>
    <t>J-316898</t>
  </si>
  <si>
    <t>8.2025  PB Free Lot rent</t>
  </si>
  <si>
    <t>08/29/2025 Daily Deposit</t>
  </si>
  <si>
    <t>PayLease : Cash Deposit 08/29/2025</t>
  </si>
  <si>
    <t>RP : CC Deposit 08/29/2025</t>
  </si>
  <si>
    <t>8.25 PB Free Lot rent-Alafaya Palms OMAR QUINONEZ  #173</t>
  </si>
  <si>
    <t>J-313626</t>
  </si>
  <si>
    <t>J-315814</t>
  </si>
  <si>
    <t>Park Mgmt Fees Aug 2025</t>
  </si>
  <si>
    <t>08/31/2025 Daily Deposit</t>
  </si>
  <si>
    <t>Park Mgmt Fees Aug 2025 :Reversed by J-315961</t>
  </si>
  <si>
    <t>PayLease : Cash Deposit 08/31/2025</t>
  </si>
  <si>
    <t>J-319040</t>
  </si>
  <si>
    <t>MA August Cash Park to Home :Reversed by J-319115</t>
  </si>
  <si>
    <t>MA August Cash Park to Home</t>
  </si>
  <si>
    <t>09/02/2025</t>
  </si>
  <si>
    <t>09/03/2025</t>
  </si>
  <si>
    <t>30761</t>
  </si>
  <si>
    <t>09/04/2025</t>
  </si>
  <si>
    <t>09/05/2025</t>
  </si>
  <si>
    <t>09/08/2025</t>
  </si>
  <si>
    <t>09/09/2025</t>
  </si>
  <si>
    <t>09/10/2025</t>
  </si>
  <si>
    <t>09/11/2025</t>
  </si>
  <si>
    <t>30766</t>
  </si>
  <si>
    <t>30764</t>
  </si>
  <si>
    <t>30765</t>
  </si>
  <si>
    <t>30767</t>
  </si>
  <si>
    <t>30763</t>
  </si>
  <si>
    <t>09/12/2025</t>
  </si>
  <si>
    <t>09/15/2025</t>
  </si>
  <si>
    <t>30769</t>
  </si>
  <si>
    <t>30770</t>
  </si>
  <si>
    <t>09/16/2025</t>
  </si>
  <si>
    <t>30771</t>
  </si>
  <si>
    <t>30768</t>
  </si>
  <si>
    <t>09/17/2025</t>
  </si>
  <si>
    <t>30777</t>
  </si>
  <si>
    <t>30762</t>
  </si>
  <si>
    <t>09/18/2025</t>
  </si>
  <si>
    <t>09/19/2025</t>
  </si>
  <si>
    <t>30773</t>
  </si>
  <si>
    <t>09/22/2025</t>
  </si>
  <si>
    <t>30774</t>
  </si>
  <si>
    <t>30775</t>
  </si>
  <si>
    <t>30772</t>
  </si>
  <si>
    <t>09/23/2025</t>
  </si>
  <si>
    <t>09/24/2025</t>
  </si>
  <si>
    <t>30776</t>
  </si>
  <si>
    <t>09/25/2025</t>
  </si>
  <si>
    <t>09/26/2025</t>
  </si>
  <si>
    <t>09/29/2025</t>
  </si>
  <si>
    <t>30778</t>
  </si>
  <si>
    <t>09/30/2025</t>
  </si>
  <si>
    <t>014APOC BILL PAY 090225 GH3H6K 0000Lakeshore Manage 9000820926 GH3H6K 0R00000091006273434795N</t>
  </si>
  <si>
    <t>Alafaya Palms - Settlement 090225 000024843797126 Lakeshore Management I 9000631441 000024843797126 R00000091006274007618N</t>
  </si>
  <si>
    <t>BNKCD SETTLE MERCH DEP 250830 286000000277756 ALAFAYA PALMS MHC 1043763809 286000000277756 R00000091003951022269N</t>
  </si>
  <si>
    <t>Alafaya Palms - Settlement 090325 000024890619870 Lakeshore Management I 9000631441 000024890619870 R00000091004450150607N</t>
  </si>
  <si>
    <t>PAYLEASE.COM CREDIT XXXXX1995 Lakeshore Management, 1273639005 440691995 R00000091003638354122N</t>
  </si>
  <si>
    <t>Alafaya Palms - Settlement 090325 000024881277238 Alafaya Palms - 014 9000632861 000024881277238 R00000091004450078305N</t>
  </si>
  <si>
    <t>BNKCD SETTLE MERCH DEP 250903 286000000277756 ALAFAYA PALMS MHC 1043763809 286000000277756 R00000091004559890423N</t>
  </si>
  <si>
    <t>Alafaya Palms - Settlement 090325 000024882182778 Alafaya Palms - 014 9000632861 000024882182778 R00000091004450142105N</t>
  </si>
  <si>
    <t>ACH ORIGINATION - Alafaya Palms - FILE EDIMN00004 COID LAK3642370 LAK3642370 FILE EDIMN00004 0S00000091003637181557N</t>
  </si>
  <si>
    <t>Alafaya Palms - Settlement 090425 000024906269214 Lakeshore Management I 9000631441 000024906269214 R00000091004036673458N</t>
  </si>
  <si>
    <t>BNKCD SETTLE MERCH DEP 250904 286000000277756 ALAFAYA PALMS MHC 1043763809 286000000277756 R00000091004135252078N</t>
  </si>
  <si>
    <t>PAYLEASE.COM CREDIT XXXXX4821 Lakeshore Management, 1273639005 441304821 R00000091004036529803N</t>
  </si>
  <si>
    <t>Lakeshore Manage BILLPAY 090425 FXH9H3 RMR*IV*8.25 PB Free Lot rent 1**270.00*270.00*0.09000688057 FXH9H3 R00000091004036904526N</t>
  </si>
  <si>
    <t>Capital One PAYMENT 090425 Capital One, N.A. 1270882098 0R00000091004531704901N</t>
  </si>
  <si>
    <t>014APOC BILL PAY 090525 Z6TJ9K 0000Lakeshore Manage 9000820926 Z6TJ9K 0R00000091004531593136N</t>
  </si>
  <si>
    <t>Alafaya Palms - Return 090525 000024913325246 Lakeshore Management I 9000631441 000024913325246 0R00000091004531574058N</t>
  </si>
  <si>
    <t>Alafaya Palms - Settlement 090525 000024919864994 Lakeshore Management I 9000631441 000024919864994 R00000091004531611849N</t>
  </si>
  <si>
    <t>PAYLEASE.COM CREDIT XXXXX4383 Lakeshore Management, 1273639005 441754383 R00000091004531374020N</t>
  </si>
  <si>
    <t>BNKCD SETTLE MERCH DEP 250905 286000000277756 ALAFAYA PALMS MHC 1043763809 286000000277756 R00000091004539933343N</t>
  </si>
  <si>
    <t>Alafaya Palms - Settlement 090525 000024917574366 Alafaya Palms - 014 9000632861 000024917574366 R00000091004531575543N</t>
  </si>
  <si>
    <t>Alafaya Palms - Settlement 090525 000024917574358 Alafaya Palms - 014 9000632861 000024917574358 R00000091004531601057N</t>
  </si>
  <si>
    <t>Alafaya Palms - Settlement 090525 000024917574350 Alafaya Palms - 014 9000632861 000024917574350 R00000091004531610936N</t>
  </si>
  <si>
    <t>ACH ORIGINATION - Alafaya Palms - FILE EDIMN00004 COID LAK3642370 LAK3642370 FILE EDIMN00004 0S00000091005466866509N</t>
  </si>
  <si>
    <t>Alafaya Palms - Settlement 090825 000024933786530 Lakeshore Management I 9000631441 000024933786530 R00000091005569993715N</t>
  </si>
  <si>
    <t>PAYLEASE.COM CREDIT XXXXX4523 Lakeshore Management, 1273639005 442194523 R00000091005570028343N</t>
  </si>
  <si>
    <t>BNKCD SETTLE MERCH DEP 250906 286000000277756 ALAFAYA PALMS MHC 1043763809 286000000277756 R00000091005675715639N</t>
  </si>
  <si>
    <t>Alafaya Palms - Return 090925 000024944610450 Lakeshore Management I 9000631441 000024944610450 0R00000091005964013034N</t>
  </si>
  <si>
    <t>ACH ORIGINATION - Alafaya Palms - FILE EDIMN00004 COID LAK3642370 LAK3642370 FILE EDIMN00004 0S00000091006061262072N</t>
  </si>
  <si>
    <t>Alafaya Palms - Settlement 090925 000024951560690 Lakeshore Management I 9000631441 000024951560690 R00000091005963772559N</t>
  </si>
  <si>
    <t>PAYLEASE.COM CREDIT XXXXX2356 Lakeshore Management, 1273639005 442552356 R00000091005963991603N</t>
  </si>
  <si>
    <t>Alafaya Palms - Settlement 090925 000024944047974 Alafaya Palms - 014 9000632861 000024944047974 R00000091005964038052N</t>
  </si>
  <si>
    <t>Alafaya Palms - Settlement 090925 000024943941734 Alafaya Palms - 014 9000632861 000024943941734 R00000091005964009431N</t>
  </si>
  <si>
    <t>Alafaya Palms - Settlement 090925 000024944198358 Alafaya Palms - 014 9000632861 000024944198358 R00000091005964008989N</t>
  </si>
  <si>
    <t>Alafaya Palms - Settlement 090925 000024943941746 Alafaya Palms - 014 9000632861 000024943941746 R00000091005964009189N</t>
  </si>
  <si>
    <t>Alafaya Palms - Settlement 090925 000024949383358 Alafaya Palms - 014 9000632861 000024949383358 R00000091005964008090N</t>
  </si>
  <si>
    <t>Alafaya Palms - Settlement 090925 000024947410842 Alafaya Palms - 014 9000632861 000024947410842 R00000091005963989751N</t>
  </si>
  <si>
    <t>BNKCD SETTLE MERCH DEP 250909 286000000277756 ALAFAYA PALMS MHC 1043763809 286000000277756 R00000091005974801470N</t>
  </si>
  <si>
    <t>Alafaya Palms - Return 091025 000024955594258 Lakeshore Management I 9000631441 000024955594258 0R00000091006164414800N</t>
  </si>
  <si>
    <t>014APOC BILL PAY 091025 C58LBK 0000Lakeshore Manage 9000820926 C58LBK 0R00000091006164352105N</t>
  </si>
  <si>
    <t>ACH ORIGINATION - Alafaya Palms - FILE EDIMN00004 COID LAK3642370 LAK3642370 FILE EDIMN00004 0S00000091006061261203N</t>
  </si>
  <si>
    <t>Alafaya Palms - Settlement 091025 000024960404538 Lakeshore Management I 9000631441 000024960404538 R00000091006164147245N</t>
  </si>
  <si>
    <t>Alafaya Palms - Settlement 091025 000024957884726 Alafaya Palms - 014 9000632861 000024957884726 R00000091006164235237N</t>
  </si>
  <si>
    <t>Alafaya Palms - Return 091125 000024965119226 Lakeshore Management I 9000631441 000024965119226 0R00000091006370423148N</t>
  </si>
  <si>
    <t>ACH ORIGINATION - Alafaya Palms - FILE EDIMN00004 COID LAK3642370 LAK3642370 FILE EDIMN00004 0S00000091006276901356N</t>
  </si>
  <si>
    <t>ONLINE TRANSFER LSM TO ALAFAYA INS PRCDS 9 8N9 25 REF #BB0TVPGVGJ</t>
  </si>
  <si>
    <t>Alafaya Palms - Settlement 091125 000024967322770 Alafaya Palms - 014 9000632861 000024967322770 R00000091006370086828N</t>
  </si>
  <si>
    <t>Alafaya Palms - Settlement 091125 000024968902882 Lakeshore Management I 9000631441 000024968902882 R00000091006370086860N</t>
  </si>
  <si>
    <t>Alafaya Palms - Settlement 091125 000024967322818 Alafaya Palms - 014 9000632861 000024967322818 R00000091006370092452N</t>
  </si>
  <si>
    <t>014APOC BILL PAY 091225 BBYZBK 0000Lakeshore Manage 9000820926 BBYZBK 0R00000091003952413467N</t>
  </si>
  <si>
    <t>LAKEMGT-014APOC Settlement 091225 000024977270186 Lakeshore Management I 9000688057 000024977270186 0R00000091003952081905N</t>
  </si>
  <si>
    <t>ACH ORIGINATION - Alafaya Palms - FILE EDIMN00004 COID LAK3642370 LAK3642370 FILE EDIMN00004 0S00000091004056554449N</t>
  </si>
  <si>
    <t>Alafaya Palms - Settlement 091225 000024974902086 Alafaya Palms - 014 9000632861 000024974902086 R00000091003951575591N</t>
  </si>
  <si>
    <t>Alafaya Palms - Settlement 091225 000024976650178 Lakeshore Management I 9000631441 000024976650178 R00000091003951994277N</t>
  </si>
  <si>
    <t>BNKCD SETTLE MERCH DEP 250912 286000000277756 ALAFAYA PALMS MHC 1043763809 286000000277756 R00000091003959323182N</t>
  </si>
  <si>
    <t>ACH ORIGINATION - Alafaya Palms - FILE EDIMN00004 COID LAK3642370 LAK3642370 FILE EDIMN00004 0S00000091004056554681N</t>
  </si>
  <si>
    <t>Alafaya Palms - Settlement 091525 000024985521890 Lakeshore Management I 9000631441 000024985521890 R00000091004350835829N</t>
  </si>
  <si>
    <t>BNKCD SETTLE MERCH DEP 250913 286000000277756 ALAFAYA PALMS MHC 1043763809 286000000277756 R00000091004557570542N</t>
  </si>
  <si>
    <t>Alafaya Palms - Return 091625 000024994649430 Lakeshore Management I 9000631441 000024994649430 0R00000091004037924455N</t>
  </si>
  <si>
    <t>Alafaya Palms - Settlement 091625 000025001142654 Lakeshore Management I 9000631441 000025001142654 R00000091004037883386N</t>
  </si>
  <si>
    <t>Alafaya Palms - Settlement 091625 000024993900162 Alafaya Palms - 014 9000632861 000024993900162 R00000091004037856387N</t>
  </si>
  <si>
    <t>014APOC BILL PAY 091725 M5ZBCK 0000Lakeshore Manage 9000820926 M5ZBCK 0R00000091004438298445N</t>
  </si>
  <si>
    <t>ACH ORIGINATION - Alafaya Palms - FILE EDIMN00004 COID LAK3642370 LAK3642370 FILE EDIMN00004 0S00000091004234015750N</t>
  </si>
  <si>
    <t>Alafaya Palms - Settlement 091725 000025008964302 Lakeshore Management I 9000631441 000025008964302 R00000091004438213032N</t>
  </si>
  <si>
    <t>Alafaya Palms - Settlement 091725 000025005635498 Alafaya Palms - 014 9000632861 000025005635498 R00000091004438218908N</t>
  </si>
  <si>
    <t>LAKEMGT-014APOC Settlement 091825 000025016428970 Lakeshore Management I 9000688057 000025016428970 0R00000091005576824454N</t>
  </si>
  <si>
    <t>ACH ORIGINATION - Alafaya Palms - FILE EDIMN00004 COID LAK3642370 LAK3642370 FILE EDIMN00004 0S00000091005460293096N</t>
  </si>
  <si>
    <t>ONLINE TRANSFER LSM TO ALAFAYA INS PRCD DEP 9 17 25 SOL 8 REF #BB0TY6J6PM</t>
  </si>
  <si>
    <t>Alafaya Palms - Settlement 091825 000025016013594 Lakeshore Management I 9000631441 000025016013594 R00000091005576776679N</t>
  </si>
  <si>
    <t>INTELLIPAY BILLING 250918 A22204984 Lakeshore - Alafaya Pa 27-3685152 A22204984 0R00000091005765501144N</t>
  </si>
  <si>
    <t>LAKEMGT-014APOC Settlement 091925 000025023492842 Lakeshore Management I 9000688057 000025023492842 0R00000091005774396817N</t>
  </si>
  <si>
    <t>Alafaya Palms - Settlement 091925 000025023009586 Lakeshore Management I 9000631441 000025023009586 R00000091005774628125N</t>
  </si>
  <si>
    <t>BNKCD SETTLE MERCH DEP 250919 286000000277756 ALAFAYA PALMS MHC 1043763809 286000000277756 R00000091005861903033N</t>
  </si>
  <si>
    <t>ACH ORIGINATION - Alafaya Palms - FILE EDIMN00004 COID LAK3642370 LAK3642370 FILE EDIMN00004 0S00000091005868824923N</t>
  </si>
  <si>
    <t>Alafaya Palms - Settlement 092225 000025037716118 Alafaya Palms - 014 9000632861 000025037716118 R00000091005969683811N</t>
  </si>
  <si>
    <t>Alafaya Palms - Settlement 092225 000025039234110 Lakeshore Management I 9000631441 000025039234110 R00000091005969667619N</t>
  </si>
  <si>
    <t>PAYLEASE.COM CREDIT XXXXX8677 Lakeshore Management, 1273639005 443438677 R00000091005969647477N</t>
  </si>
  <si>
    <t>Alafaya Palms - Settlement 092225 000025035312342 Alafaya Palms - 014 9000632861 000025035312342 R00000091005969660247N</t>
  </si>
  <si>
    <t>Alafaya Palms - Settlement 092225 000025035152806 Alafaya Palms - 014 9000632861 000025035152806 R00000091005969658073N</t>
  </si>
  <si>
    <t>Alafaya Palms - Settlement 092225 000025035152838 Alafaya Palms - 014 9000632861 000025035152838 R00000091005969662042N</t>
  </si>
  <si>
    <t>Alafaya Palms - Settlement 092225 000025035152822 Alafaya Palms - 014 9000632861 000025035152822 R00000091005969661158N</t>
  </si>
  <si>
    <t>Alafaya Palms - Settlement 092225 000025035478758 Alafaya Palms - 014 9000632861 000025035478758 R00000091005969657352N</t>
  </si>
  <si>
    <t>Alafaya Palms - Settlement 092225 000025035152854 Alafaya Palms - 014 9000632861 000025035152854 R00000091005969658307N</t>
  </si>
  <si>
    <t>Alafaya Palms - Settlement 092225 000025035478810 Alafaya Palms - 014 9000632861 000025035478810 R00000091005969842851N</t>
  </si>
  <si>
    <t>014APOC BILL PAY 092325 SJTQCK 0000Lakeshore Manage 9000820926 SJTQCK 0R00000091006361748398N</t>
  </si>
  <si>
    <t>Alafaya Palms - Settlement 092325 000025049247566 Alafaya Palms - 014 9000632861 000025049247566 R00000091006362017206N</t>
  </si>
  <si>
    <t>Alafaya Palms - Settlement 092325 000025053714178 Lakeshore Management I 9000631441 000025053714178 R00000091006362046641N</t>
  </si>
  <si>
    <t>Alafaya Palms - Settlement 092325 000025049170614 Alafaya Palms - 014 9000632861 000025049170614 R00000091006362018707N</t>
  </si>
  <si>
    <t>Alafaya Palms - Settlement 092325 000025047832118 Alafaya Palms - 014 9000632861 000025047832118 R00000091006362047221N</t>
  </si>
  <si>
    <t>Alafaya Palms - Settlement 092325 000025048697866 Alafaya Palms - 014 9000632861 000025048697866 R00000091006362092524N</t>
  </si>
  <si>
    <t>Alafaya Palms - Settlement 092325 000025048697882 Alafaya Palms - 014 9000632861 000025048697882 R00000091006362090546N</t>
  </si>
  <si>
    <t>Alafaya Palms - Settlement 092325 000025048697874 Alafaya Palms - 014 9000632861 000025048697874 R00000091006362056779N</t>
  </si>
  <si>
    <t>Alafaya Palms - Settlement 092325 000025048741446 Alafaya Palms - 014 9000632861 000025048741446 R00000091006361713091N</t>
  </si>
  <si>
    <t>PAYLEASE.COM CREDIT XXXXX5169 Lakeshore Management, 1273639005 443525169 R00000091006361696909N</t>
  </si>
  <si>
    <t>Alafaya Palms - Settlement 092325 000025049521286 Alafaya Palms - 014 9000632861 000025049521286 R00000091006362054731N</t>
  </si>
  <si>
    <t>ACH ORIGINATION - Alafaya Palms - FILE EDIMN00004 COID LAK3642370 LAK3642370 FILE EDIMN00004 0S00000091006376469062N</t>
  </si>
  <si>
    <t>BNKCD SETTLE MERCH DEP 250924 286000000277756 ALAFAYA PALMS MHC 1043763809 286000000277756 R00000091003855031182N</t>
  </si>
  <si>
    <t>ACH ORIGINATION - Alafaya Palms - FILE EDIMN00004 COID LAK3642370 LAK3642370 FILE EDIMN00004 0S00000091003859127562N</t>
  </si>
  <si>
    <t>Alafaya Palms - Settlement 092525 000025067815558 Lakeshore Management I 9000631441 000025067815558 R00000091004254126471N</t>
  </si>
  <si>
    <t>WT FED#06C00 NORTHERN TRUST COM /ORG=DH ALAFAYA LLC SRF# 2025092502802839 TRN#250925189882 RFB#</t>
  </si>
  <si>
    <t>Alafaya Palms - Settlement 092525 000025066284890 Alafaya Palms - 014 9000632861 000025066284890 R00000091004254172287N</t>
  </si>
  <si>
    <t>Alafaya Palms - Settlement 092525 000025066284882 Alafaya Palms - 014 9000632861 000025066284882 R00000091004254051337N</t>
  </si>
  <si>
    <t>Alafaya Palms - Settlement 092625 000025075210870 Lakeshore Management I 9000631441 000025075210870 R00000091003632432277N</t>
  </si>
  <si>
    <t>Alafaya Palms - Settlement 092625 000025073917870 Alafaya Palms - 014 9000632861 000025073917870 R00000091003632332701N</t>
  </si>
  <si>
    <t>Alafaya Palms - Settlement 092625 000025071801518 Alafaya Palms - 014 9000632861 000025071801518 R00000091003632332540N</t>
  </si>
  <si>
    <t>Duke Energy DUKE PYMNT 250929 910184715497 LAKESHORE UNIVERSITY 9575375002 910184715497 0O00000091004038695106N</t>
  </si>
  <si>
    <t>LAKEMGT-014APOC Settlement 092925 000025085015494 Lakeshore Management I 9000688057 000025085015494 0R00000091004031282584N</t>
  </si>
  <si>
    <t>Alafaya Palms - Settlement 092925 000025084457150 Lakeshore Management I 9000631441 000025084457150 R00000091004031249577N</t>
  </si>
  <si>
    <t>ONLINE TRANSFER LSM TO ALAFAYA INS PRCDS SOL6 REF #BB0V43PTL3</t>
  </si>
  <si>
    <t>014APOC BILL PAY 093025 FL3FDK 0000Lakeshore Manage 9000820926 FL3FDK 0R00000091005479635939N</t>
  </si>
  <si>
    <t>Alafaya Palms - Settlement 093025 000025102470938 Lakeshore Management I 9000631441 000025102470938 R00000091005479652008N</t>
  </si>
  <si>
    <t>Alafaya Palms - Settlement 093025 000025100393938 Alafaya Palms - 014 9000632861 000025100393938 R00000091005479559794N</t>
  </si>
  <si>
    <t>BNKCD SETTLE MERCH DEP 250930 286000000277756 ALAFAYA PALMS MHC 1043763809 286000000277756 R00000091005569905275N</t>
  </si>
  <si>
    <t>J-313627</t>
  </si>
  <si>
    <t>J-315961</t>
  </si>
  <si>
    <t>:Reversal of J-315814</t>
  </si>
  <si>
    <t>J-319115</t>
  </si>
  <si>
    <t>:Reversal of J-319040</t>
  </si>
  <si>
    <t>K-486492</t>
  </si>
  <si>
    <t>1404</t>
  </si>
  <si>
    <t>K-486671</t>
  </si>
  <si>
    <t>1405</t>
  </si>
  <si>
    <t>J-316977</t>
  </si>
  <si>
    <t>J-319459</t>
  </si>
  <si>
    <t>Sweep Interest Payment - September'25</t>
  </si>
  <si>
    <t>K-486810</t>
  </si>
  <si>
    <t>J-317122</t>
  </si>
  <si>
    <t>J-318699</t>
  </si>
  <si>
    <t>K-487182</t>
  </si>
  <si>
    <t>1406</t>
  </si>
  <si>
    <t>K-487306</t>
  </si>
  <si>
    <t>K-487393</t>
  </si>
  <si>
    <t>1407</t>
  </si>
  <si>
    <t>K-487502</t>
  </si>
  <si>
    <t>1408</t>
  </si>
  <si>
    <t>J-318805</t>
  </si>
  <si>
    <t>K-487719</t>
  </si>
  <si>
    <t>K-487720</t>
  </si>
  <si>
    <t>K-487721</t>
  </si>
  <si>
    <t>K-487722</t>
  </si>
  <si>
    <t>K-487723</t>
  </si>
  <si>
    <t>K-487724</t>
  </si>
  <si>
    <t>K-487725</t>
  </si>
  <si>
    <t>K-487726</t>
  </si>
  <si>
    <t>J-318862</t>
  </si>
  <si>
    <t>J-319014</t>
  </si>
  <si>
    <t>K-488004</t>
  </si>
  <si>
    <t>1409</t>
  </si>
  <si>
    <t>K-488132</t>
  </si>
  <si>
    <t>1410</t>
  </si>
  <si>
    <t>K-488413</t>
  </si>
  <si>
    <t>1411</t>
  </si>
  <si>
    <t>J-319471</t>
  </si>
  <si>
    <t>K-488475</t>
  </si>
  <si>
    <t>K-488490</t>
  </si>
  <si>
    <t>1412</t>
  </si>
  <si>
    <t>K-488491</t>
  </si>
  <si>
    <t>1413</t>
  </si>
  <si>
    <t>K-488492</t>
  </si>
  <si>
    <t>1414</t>
  </si>
  <si>
    <t>K-488493</t>
  </si>
  <si>
    <t>1415</t>
  </si>
  <si>
    <t>K-488494</t>
  </si>
  <si>
    <t>1416</t>
  </si>
  <si>
    <t>K-488562</t>
  </si>
  <si>
    <t>1417</t>
  </si>
  <si>
    <t>K-488587</t>
  </si>
  <si>
    <t>1418</t>
  </si>
  <si>
    <t>K-488615</t>
  </si>
  <si>
    <t>1419</t>
  </si>
  <si>
    <t>J-319548</t>
  </si>
  <si>
    <t>K-488728</t>
  </si>
  <si>
    <t>1420</t>
  </si>
  <si>
    <t>K-488859</t>
  </si>
  <si>
    <t>1421</t>
  </si>
  <si>
    <t>K-489006</t>
  </si>
  <si>
    <t>1422</t>
  </si>
  <si>
    <t>K-489158</t>
  </si>
  <si>
    <t>1423</t>
  </si>
  <si>
    <t>K-489288</t>
  </si>
  <si>
    <t>1424</t>
  </si>
  <si>
    <t>J-319580</t>
  </si>
  <si>
    <t>K-489430</t>
  </si>
  <si>
    <t>1425</t>
  </si>
  <si>
    <t>K-489639</t>
  </si>
  <si>
    <t>J-319629</t>
  </si>
  <si>
    <t>J-319690</t>
  </si>
  <si>
    <t>J-319648</t>
  </si>
  <si>
    <t>K-489973</t>
  </si>
  <si>
    <t>K-489974</t>
  </si>
  <si>
    <t>K-489975</t>
  </si>
  <si>
    <t>K-489976</t>
  </si>
  <si>
    <t>K-490067</t>
  </si>
  <si>
    <t>1426</t>
  </si>
  <si>
    <t>J-319682</t>
  </si>
  <si>
    <t>K-490158</t>
  </si>
  <si>
    <t>1427</t>
  </si>
  <si>
    <t>K-490159</t>
  </si>
  <si>
    <t>1428</t>
  </si>
  <si>
    <t>K-490160</t>
  </si>
  <si>
    <t>1429</t>
  </si>
  <si>
    <t>K-490397</t>
  </si>
  <si>
    <t>1430</t>
  </si>
  <si>
    <t>K-490545</t>
  </si>
  <si>
    <t>1431</t>
  </si>
  <si>
    <t>J-319748</t>
  </si>
  <si>
    <t>K-490995</t>
  </si>
  <si>
    <t>1432</t>
  </si>
  <si>
    <t>K-491137</t>
  </si>
  <si>
    <t>J-319774</t>
  </si>
  <si>
    <t>K-491320</t>
  </si>
  <si>
    <t>1433</t>
  </si>
  <si>
    <t>K-491341</t>
  </si>
  <si>
    <t>1434</t>
  </si>
  <si>
    <t>J-319808</t>
  </si>
  <si>
    <t>J-319859</t>
  </si>
  <si>
    <t>J-319944</t>
  </si>
  <si>
    <t>K-491667</t>
  </si>
  <si>
    <t>1435</t>
  </si>
  <si>
    <t>K-491835</t>
  </si>
  <si>
    <t>K-491855</t>
  </si>
  <si>
    <t>1436</t>
  </si>
  <si>
    <t>J-320021</t>
  </si>
  <si>
    <t>K-492078</t>
  </si>
  <si>
    <t>30779</t>
  </si>
  <si>
    <t>K-492227</t>
  </si>
  <si>
    <t>1437</t>
  </si>
  <si>
    <t>K-492312</t>
  </si>
  <si>
    <t>1438</t>
  </si>
  <si>
    <t>K-492381</t>
  </si>
  <si>
    <t>1439</t>
  </si>
  <si>
    <t>J-320043</t>
  </si>
  <si>
    <t>J-320041</t>
  </si>
  <si>
    <t>J-320062</t>
  </si>
  <si>
    <t>J-320057</t>
  </si>
  <si>
    <t>J-320083</t>
  </si>
  <si>
    <t>K-492907</t>
  </si>
  <si>
    <t>1440</t>
  </si>
  <si>
    <t>K-493064</t>
  </si>
  <si>
    <t>30780</t>
  </si>
  <si>
    <t>J-320105</t>
  </si>
  <si>
    <t>K-493226</t>
  </si>
  <si>
    <t>1441</t>
  </si>
  <si>
    <t>K-493227</t>
  </si>
  <si>
    <t>1442</t>
  </si>
  <si>
    <t>K-493228</t>
  </si>
  <si>
    <t>1443</t>
  </si>
  <si>
    <t>K-493229</t>
  </si>
  <si>
    <t>1444</t>
  </si>
  <si>
    <t>K-493230</t>
  </si>
  <si>
    <t>1445</t>
  </si>
  <si>
    <t>K-493359</t>
  </si>
  <si>
    <t>30781</t>
  </si>
  <si>
    <t>J-320131</t>
  </si>
  <si>
    <t>Deposit of 09-2025 transfer funds for SD activity</t>
  </si>
  <si>
    <t>J-320135</t>
  </si>
  <si>
    <t>J-323063</t>
  </si>
  <si>
    <t>K-493543</t>
  </si>
  <si>
    <t>30782</t>
  </si>
  <si>
    <t>K-493554</t>
  </si>
  <si>
    <t>30783</t>
  </si>
  <si>
    <t>K-493627</t>
  </si>
  <si>
    <t>1446</t>
  </si>
  <si>
    <t>K-493746</t>
  </si>
  <si>
    <t>1447</t>
  </si>
  <si>
    <t>J-320322</t>
  </si>
  <si>
    <t>9/2025 Mortgages 2-40</t>
  </si>
  <si>
    <t>J-320325</t>
  </si>
  <si>
    <t>J-323192</t>
  </si>
  <si>
    <t>Park Mgmt Fees Sept 2025</t>
  </si>
  <si>
    <t>J-325125</t>
  </si>
  <si>
    <t>9.2025  PB Free Lot rent</t>
  </si>
  <si>
    <t>J-325227</t>
  </si>
  <si>
    <t>09/01/2025 Daily Deposit</t>
  </si>
  <si>
    <t>Lakeshore Management Inc (v0000666)</t>
  </si>
  <si>
    <t>09/02/2025 Daily Deposit</t>
  </si>
  <si>
    <t>PDM &amp; Hunter Warfield</t>
  </si>
  <si>
    <t>09/03/2025 Daily Deposit</t>
  </si>
  <si>
    <t>09/04/2025 Daily Deposit</t>
  </si>
  <si>
    <t>09/05/2025 Daily Deposit</t>
  </si>
  <si>
    <t>09/06/2025 Daily Deposit</t>
  </si>
  <si>
    <t>09/08/2025 Daily Deposit</t>
  </si>
  <si>
    <t>09/09/2025 Daily Deposit</t>
  </si>
  <si>
    <t>09/10/2025 Daily Deposit</t>
  </si>
  <si>
    <t>09/11/2025 Daily Deposit</t>
  </si>
  <si>
    <t>09/12/2025 Daily Deposit</t>
  </si>
  <si>
    <t>MALIBU POOL &amp; SPA SERVICES  (v0002309)</t>
  </si>
  <si>
    <t>N &amp; Y SERVICES, LLC (v0002371)</t>
  </si>
  <si>
    <t>09/15/2025 Daily Deposit</t>
  </si>
  <si>
    <t>09/16/2025 Daily Deposit</t>
  </si>
  <si>
    <t>09/17/2025 Daily Deposit</t>
  </si>
  <si>
    <t>Pennoni (v0007120)</t>
  </si>
  <si>
    <t>09/18/2025 Daily Deposit</t>
  </si>
  <si>
    <t>09/19/2025 Daily Deposit</t>
  </si>
  <si>
    <t>Atlantic Pipe Services (v0010863)</t>
  </si>
  <si>
    <t>09/22/2025 Daily Deposit</t>
  </si>
  <si>
    <t>09/23/2025 Daily Deposit</t>
  </si>
  <si>
    <t>Convenient Payments Sep'25</t>
  </si>
  <si>
    <t>09/24/2025 Daily Deposit</t>
  </si>
  <si>
    <t>Park Draw#800 for Park Capex Expenditures</t>
  </si>
  <si>
    <t>09/25/2025 Daily Deposit</t>
  </si>
  <si>
    <t>09/26/2025 Daily Deposit</t>
  </si>
  <si>
    <t>09/29/2025 Daily Deposit</t>
  </si>
  <si>
    <t>Hunter Warfield (v0007270)</t>
  </si>
  <si>
    <t>09/30/2025 Daily Deposit</t>
  </si>
  <si>
    <t>Park Mgmt Fees Sept 2025 :Reversed by J-323339</t>
  </si>
  <si>
    <t>MA September Cash Park to Home :Reversed by J-325304</t>
  </si>
  <si>
    <t>EFT Deposit 09/01/2025</t>
  </si>
  <si>
    <t>PayLease : Cash Deposit 09/01/2025</t>
  </si>
  <si>
    <t>Jun 25 Invoices</t>
  </si>
  <si>
    <t>CKS 09/02/2025 Batch 7c0264bf-524f-4077-8a4c-3890c192799c</t>
  </si>
  <si>
    <t>CKS 09/02/2025 Batch aee7890e-a433-413a-8df4-0889c69a7d71</t>
  </si>
  <si>
    <t>PayLease : Cash Deposit 09/02/2025</t>
  </si>
  <si>
    <t>RP : ACH Deposit 08/29/2025</t>
  </si>
  <si>
    <t>RP : CC Deposit 09/02/2025</t>
  </si>
  <si>
    <t>Stagecoach Sweep Interest Payment-September'25</t>
  </si>
  <si>
    <t>SEP25 Health  Dental</t>
  </si>
  <si>
    <t>SEP25 Life STD &amp; OTH</t>
  </si>
  <si>
    <t>SEP25 Vision</t>
  </si>
  <si>
    <t>DEPT 15120 ppe 08/30/25</t>
  </si>
  <si>
    <t>DEPT 35200 ppe 08/30/25</t>
  </si>
  <si>
    <t>PROFESSIONAL DEBT MEDIATION CAROL J. WATSON PERIOD ENDING 6/16/25 TO 7/15/25</t>
  </si>
  <si>
    <t>HUNTER WARFIELD ELIZABETH CABRERA RIVERA PERIOD ENDING 7/31/25</t>
  </si>
  <si>
    <t>PayLease : Cash Deposit 09/03/2025</t>
  </si>
  <si>
    <t>RP : ACH Deposit 08/30/2025</t>
  </si>
  <si>
    <t>RP : ACH Deposit 08/31/2025</t>
  </si>
  <si>
    <t>RP : ACH Deposit 09/01/2025</t>
  </si>
  <si>
    <t>RP : ACH Deposit 09/02/2025</t>
  </si>
  <si>
    <t>RP : CC Deposit 09/03/2025</t>
  </si>
  <si>
    <t>07/26/2025-08/25/2025-Electric-9100 8667 2734-ELECTRIC 1-13600 WESLEYAN BLVD LITE - LIGHTING</t>
  </si>
  <si>
    <t>ACCOUNT# 8337 10 029 1675135 CLUBHOUSE 08/18/2025-09/17/2025 INTERNET SERVICE.</t>
  </si>
  <si>
    <t>PB FOR ORIGEN FINANCIAL SERVICES INV # 08-25 LAKE</t>
  </si>
  <si>
    <t>PB YARDI INVOICE #4963826 OCTOBER 2025</t>
  </si>
  <si>
    <t>CKS 09/04/2025 Batch 52543b58-6b14-4a9d-b4be-cabd47a0ce36</t>
  </si>
  <si>
    <t>CKS 09/04/2025 Batch 7da7c730-16a9-4f4b-88b3-c9b7d21acce7</t>
  </si>
  <si>
    <t>CKS 09/04/2025 Batch d6c29256-0c33-4d44-a532-e7e5ae588530</t>
  </si>
  <si>
    <t>PayLease : Cash Deposit 09/04/2025</t>
  </si>
  <si>
    <t>RP : ACH Deposit 09/03/2025</t>
  </si>
  <si>
    <t>RP : CC Deposit 09/04/2025</t>
  </si>
  <si>
    <t>SEPTEMBER 2025 AQUATIC MANAGEMENT SERVICES</t>
  </si>
  <si>
    <t>SEPTEMBER 2025 MONTHLY CONTRACTED LANDSCAPE SERVICE PHASE 3</t>
  </si>
  <si>
    <t>LOT# 354 BACKUP - MANHOLE</t>
  </si>
  <si>
    <t>LOT# 191 6 INCH MAIN BREAK</t>
  </si>
  <si>
    <t>CN#081-0188524-000</t>
  </si>
  <si>
    <t>LOT# 173 SERVICE CALL - ELECTRICAL -08/20/2025</t>
  </si>
  <si>
    <t>RENTAL CHARGE 08/26/2025-09/22/2025 1 SERVICE 2 DAYS PER WEEK</t>
  </si>
  <si>
    <t>Helium Tank Rental</t>
  </si>
  <si>
    <t>EFT Deposit 09/05/2025</t>
  </si>
  <si>
    <t>NSF RP : ACH Deposit 08/29/2025</t>
  </si>
  <si>
    <t>PayLease : Cash Deposit 09/05/2025</t>
  </si>
  <si>
    <t>RP : ACH Deposit 09/04/2025</t>
  </si>
  <si>
    <t>RP : CC Deposit 09/05/2025</t>
  </si>
  <si>
    <t>PayLease : Cash Deposit 09/06/2025</t>
  </si>
  <si>
    <t>MA PAYBACK SEPTEMBER 2025</t>
  </si>
  <si>
    <t>PB FOR PAINT THE WEB INV # 1360</t>
  </si>
  <si>
    <t>AUG 2025 PARK TO HOME TRANSFER</t>
  </si>
  <si>
    <t>CKS 09/08/2025 Batch 4d1fab87-99f4-43a7-9fe3-ba87c17faad7</t>
  </si>
  <si>
    <t>CKS 09/08/2025 Batch 869b0ee3-a125-4aec-8d5a-fba3eef993dd</t>
  </si>
  <si>
    <t>CKS 09/08/2025 Batch 8b18b2a7-a1c7-451a-8c22-0526a2b9f431</t>
  </si>
  <si>
    <t>CKS 09/08/2025 Batch b8ac3f36-fae2-4009-9f44-b8dda740585a</t>
  </si>
  <si>
    <t>CKS 09/08/2025 Batch c4496786-51d1-49a3-b7fd-07c3834e2243</t>
  </si>
  <si>
    <t>CKS 09/08/2025 Batch eae4d16f-d455-4e68-96af-3cde254d2e04</t>
  </si>
  <si>
    <t>RP : ACH Deposit 09/05/2025</t>
  </si>
  <si>
    <t>RP : CC Deposit 09/08/2025</t>
  </si>
  <si>
    <t>08/01/2025-08/31/2025-Trash-01-453863 0-TRASH 2-13600 WESLEYAN BLVD</t>
  </si>
  <si>
    <t>08/05/2025-09/03/2025-Electric-9101 8666 0421-4046461-1826 Rockhurst Ave</t>
  </si>
  <si>
    <t>08/05/2025-09/03/2025-Electric-9101 8666 1274-3425612-13615 BRIGHAM YOUNG DRIVE</t>
  </si>
  <si>
    <t>Electric-9101 4168 3197-198-08/05/2025-09/03/2025 - 30 Days Vacant</t>
  </si>
  <si>
    <t>Electric-9101 4613 3077-463-08/05/2025-09/03/2025 - 30 Days Vacant</t>
  </si>
  <si>
    <t>Electric-9101 5443 8987-56-08/19/2025-09/03/2025 - 16 Days Vacant</t>
  </si>
  <si>
    <t>PB for LeadCrossing INV-000611</t>
  </si>
  <si>
    <t>PB for LeadCrossing INV-000612</t>
  </si>
  <si>
    <t>PB FOR SPECTRUM ACCOUNT# 8337 10 699 0032874 08/17/25-09/16/25</t>
  </si>
  <si>
    <t>CKS 09/09/2025 Batch 3d380b59-8ec5-43c3-b68c-1bdcbd7331f7</t>
  </si>
  <si>
    <t>NSF RP : ACH Deposit 09/03/2025</t>
  </si>
  <si>
    <t>RP : ACH Deposit 09/06/2025</t>
  </si>
  <si>
    <t>RP : ACH Deposit 09/07/2025</t>
  </si>
  <si>
    <t>T-Mobile Invoices Through 8.30.25</t>
  </si>
  <si>
    <t>Electric-9101 4847 9226-114-08/05/2025-09/03/2025 - 30 Days Vacant</t>
  </si>
  <si>
    <t>PB YARDI INVOICE #4975928 AUGUST 2025</t>
  </si>
  <si>
    <t>PB FOR RESULT TECH INV # 2454</t>
  </si>
  <si>
    <t>PB FOR SEPTEMBER 25?ADT</t>
  </si>
  <si>
    <t>CKS 09/10/2025 Batch a88aca12-7bb5-4812-ae7b-1bec4b548bb3</t>
  </si>
  <si>
    <t>CKS 09/10/2025 Batch bd09f47f-1fb6-40d1-bcbb-837758807a28</t>
  </si>
  <si>
    <t>NSF EFT Deposit 09/05/2025</t>
  </si>
  <si>
    <t>NSF RP : ACH Deposit 09/05/2025</t>
  </si>
  <si>
    <t>RP : ACH Deposit 09/09/2025</t>
  </si>
  <si>
    <t>ACCOUNT# 8337 10 029 1648074 CLUBHOUSE 08/23/2025-09/22/2025 INTERNET AND PHONE SERVICES.</t>
  </si>
  <si>
    <t>CKS 09/11/2025 Batch c0f4dbc8-3d6a-471a-b304-02fc10a395b7</t>
  </si>
  <si>
    <t>RP : ACH Deposit 09/10/2025</t>
  </si>
  <si>
    <t>RP : CC Deposit 09/11/2025</t>
  </si>
  <si>
    <t>Insurance Proceeds from SOL #9</t>
  </si>
  <si>
    <t>RP : ACH Deposit 09/11/2025</t>
  </si>
  <si>
    <t>RP : CC Deposit 09/12/2025</t>
  </si>
  <si>
    <t>SEPTEMBER 2025 MONTHLY CONTRACTED LANDSCAPE SERVICE.</t>
  </si>
  <si>
    <t>June Services</t>
  </si>
  <si>
    <t>JULY 2025 MONTHLY POOL MAINTENANCE</t>
  </si>
  <si>
    <t>August Service</t>
  </si>
  <si>
    <t>Monthly Service</t>
  </si>
  <si>
    <t>MONTHLY PEST CONTROL SERVICE TREAT OFFICES AND CLUB HOUSE</t>
  </si>
  <si>
    <t>Monthly service</t>
  </si>
  <si>
    <t>German Roaches Treatment</t>
  </si>
  <si>
    <t>ACCOUNT# 8337 10 029 1675887 APT# 2 09/01/2025-09/30/2025 PHONE SERVICE.</t>
  </si>
  <si>
    <t>ACCOUNT# 8337 10 029 1675143 LIFT 09/01/2025-09/30/2025 PHONE SERVICE.</t>
  </si>
  <si>
    <t>CKS 09/15/2025 Batch e67c0962-af98-4ec7-b284-8f50ca4f773b</t>
  </si>
  <si>
    <t>RP : ACH Deposit 09/12/2025</t>
  </si>
  <si>
    <t>Electric-9101 8153 7669-464-08/13/2025-09/11/2025 - 30 Days Vacant</t>
  </si>
  <si>
    <t>Electric-9100 8667 2495-50-08/05/2025-09/03/2025 - 30 Days Vacant</t>
  </si>
  <si>
    <t>Electric-9101 7886 9809-58-08/05/2025-09/03/2025 - 30 Days Vacant</t>
  </si>
  <si>
    <t>RM Visit</t>
  </si>
  <si>
    <t>whiteceiling flat paint Air fliter</t>
  </si>
  <si>
    <t>Nextiva VoIP Aug</t>
  </si>
  <si>
    <t>AMBS Call Center Aug</t>
  </si>
  <si>
    <t>Accessline Aug</t>
  </si>
  <si>
    <t>60  60 inch landscape posts 5 rolls 4 ft x 100ft orange safety fence 500  14 inch cable ties 2 lb Hammer for safety fence around retention pond</t>
  </si>
  <si>
    <t>6 bags asphalt to repair potholes</t>
  </si>
  <si>
    <t>12x16 blue tarptomcat rat killer for hurricane  boxes</t>
  </si>
  <si>
    <t>community visit</t>
  </si>
  <si>
    <t>Adobe monthly membership</t>
  </si>
  <si>
    <t>Amazonyard stake take one box</t>
  </si>
  <si>
    <t>Amazon blk outdoor marketing take one box</t>
  </si>
  <si>
    <t>Home Depot hdx scented bleach and mr clean all purpose</t>
  </si>
  <si>
    <t>Publix coffee bar sugar and c</t>
  </si>
  <si>
    <t>cleaning supplies for office</t>
  </si>
  <si>
    <t>USPS 7day</t>
  </si>
  <si>
    <t>USPS stamps for statements</t>
  </si>
  <si>
    <t>USPS demand letters</t>
  </si>
  <si>
    <t>Post office</t>
  </si>
  <si>
    <t>USPS demand lot</t>
  </si>
  <si>
    <t>Winndixie bread mayo ham and cheese for team</t>
  </si>
  <si>
    <t>Dustins barbq team luncheon</t>
  </si>
  <si>
    <t>Lakeshore Annual shirt</t>
  </si>
  <si>
    <t>Dollar tree bday banner ballons rose petals plate tassel</t>
  </si>
  <si>
    <t>Home depot Aug YOM</t>
  </si>
  <si>
    <t>Amazon back to school event pencil pouches scissors and tabletop game</t>
  </si>
  <si>
    <t>Amazon office school back to school decorations</t>
  </si>
  <si>
    <t>BJs coke sprite dixie cups muffins coffer breakfast bars and plug ins</t>
  </si>
  <si>
    <t>Papa johns pizza for back to school event</t>
  </si>
  <si>
    <t>Winn Dixie 4 ice bags</t>
  </si>
  <si>
    <t>BjsCLOROX WIPES FEBREZE PLUG ZEPH WATER NABISCO MIX SPKBARS STBL SPKBARS BELVBLRY BUSTELO SPRITE FOR RESIDENT</t>
  </si>
  <si>
    <t>OCBCC landfill trash big tree</t>
  </si>
  <si>
    <t>OCBCC landfill trash</t>
  </si>
  <si>
    <t>7 eleven gas cans re</t>
  </si>
  <si>
    <t>Scooters 2 blower equipment service</t>
  </si>
  <si>
    <t>Home Depot PRECISION SCREWDRIVER SET 4 PC</t>
  </si>
  <si>
    <t>Lowes asphalt for road repair in wake forest  brigham young</t>
  </si>
  <si>
    <t>Home Depot peghook flapper</t>
  </si>
  <si>
    <t>Home Depot pallet deposit</t>
  </si>
  <si>
    <t>Amazon red tape eyewash</t>
  </si>
  <si>
    <t>Home depot softsoap</t>
  </si>
  <si>
    <t>Home depot lift station closer safety hasp zinc lighage lock and combo locks</t>
  </si>
  <si>
    <t>Home depot fiber screen</t>
  </si>
  <si>
    <t>Home Depot husky bags defiant locks pin clips mr clean degreaser</t>
  </si>
  <si>
    <t>Home Depot defiant locks</t>
  </si>
  <si>
    <t>contractor bag</t>
  </si>
  <si>
    <t>Lowes 34 inx3 shark bite</t>
  </si>
  <si>
    <t>Home Depot pvc coupling</t>
  </si>
  <si>
    <t>Team lunch</t>
  </si>
  <si>
    <t>PB FOR STATE LISTING INV # 20202663</t>
  </si>
  <si>
    <t>CKS 09/16/2025 Batch f1b8d1fa-fcd0-462e-93f0-3c7101ec1e79</t>
  </si>
  <si>
    <t>NSF RP : ACH Deposit 09/11/2025</t>
  </si>
  <si>
    <t>RP : ACH Deposit 09/13/2025</t>
  </si>
  <si>
    <t>RP : ACH Deposit 09/15/2025</t>
  </si>
  <si>
    <t>PB?YARDI?INVOICE?#4984916 AUGUST 2025</t>
  </si>
  <si>
    <t>DEPT 15120 ppe 09/13/25</t>
  </si>
  <si>
    <t>DEPT 31000 ppe 09/13/25</t>
  </si>
  <si>
    <t>DEPT 35200 ppe 09/13/25</t>
  </si>
  <si>
    <t>RP : ACH Deposit 09/16/2025</t>
  </si>
  <si>
    <t>TZ-orange county permits</t>
  </si>
  <si>
    <t>TZ-Certifications</t>
  </si>
  <si>
    <t>PAYBACK FOR FED EX INVOICE # 896916991</t>
  </si>
  <si>
    <t>PayLease : Cash Deposit 09/18/2025</t>
  </si>
  <si>
    <t>RP : ACH Deposit 09/17/2025</t>
  </si>
  <si>
    <t>RP : CC Deposit 09/18/2025</t>
  </si>
  <si>
    <t>CKS 09/19/2025 Batch 298c69d8-ef38-4ac1-b378-a3878ae85ac2</t>
  </si>
  <si>
    <t>CKS 09/19/2025 Batch 2c2991e5-030e-4ea7-b1a4-1e2852af2df3</t>
  </si>
  <si>
    <t>CKS 09/19/2025 Batch 45ea1fb1-f219-44c8-a459-ea283081fcf5</t>
  </si>
  <si>
    <t>CKS 09/19/2025 Batch 5b44c5c7-4592-4b25-bc6f-859a3d28499d</t>
  </si>
  <si>
    <t>CKS 09/19/2025 Batch 81488912-29be-493d-8e36-23134f519cba</t>
  </si>
  <si>
    <t>CKS 09/19/2025 Batch 9a6a8343-4db9-47e6-a59c-2971a720be85</t>
  </si>
  <si>
    <t>CKS 09/19/2025 Batch c1b7516c-6f23-4f06-9a69-9ce0625f05f1</t>
  </si>
  <si>
    <t>CKS 09/19/2025 Batch df21549f-556a-4353-9042-8e83b38666a5</t>
  </si>
  <si>
    <t>PayLease : Cash Deposit 09/19/2025</t>
  </si>
  <si>
    <t>RP : ACH Deposit 09/18/2025</t>
  </si>
  <si>
    <t>Electric-9101 6059 9007-220-08/15/2025-09/15/2025 - 32 Days Vacant</t>
  </si>
  <si>
    <t>09/01/2025-09/30/2025-Trash-01-453863 0-TRASH 2-13600 WESLEYAN BLVD</t>
  </si>
  <si>
    <t>10/01/2025-10/31/2025-Trash-01-452226 0-TRASH 1-13600 WESLEYAN BLVD</t>
  </si>
  <si>
    <t>SEWER EXISTING LIGHT CLEAN - 8" TO 12" EXTREMELY DIRTY PIPES/PIPE COLLAPSE/HEAVY CLEANING</t>
  </si>
  <si>
    <t>CKS 09/22/2025 Batch 4ef0958b-8dd5-446c-82c3-ed4b66c823be</t>
  </si>
  <si>
    <t>CKS 09/22/2025 Batch 9bfe8fc8-96d3-488a-b92e-00147d7c5ac6</t>
  </si>
  <si>
    <t>CKS 09/22/2025 Batch 9c47306e-1fca-4bee-b015-30abb6c4abe5</t>
  </si>
  <si>
    <t>CKS 09/22/2025 Batch b4c2729a-6e2e-4602-98e9-b5321076496e</t>
  </si>
  <si>
    <t>CKS 09/22/2025 Batch bca98d61-efdb-463a-92c1-c7eb7617e294</t>
  </si>
  <si>
    <t>CKS 09/22/2025 Batch d57dd6db-5ed7-4d8c-bf0a-884c208c6b54</t>
  </si>
  <si>
    <t>CKS 09/22/2025 Batch ea70b9af-3e02-4bd2-8b73-a24cffcea58b</t>
  </si>
  <si>
    <t>RP : ACH Deposit 09/19/2025</t>
  </si>
  <si>
    <t>RP : CC Deposit 09/22/2025</t>
  </si>
  <si>
    <t>Utility Invoice Processing (UEM) 08/01/2025 - 08/31/2025 Inv# 1283008</t>
  </si>
  <si>
    <t>July 25 Invoices</t>
  </si>
  <si>
    <t>Augy 25 Invoices</t>
  </si>
  <si>
    <t>TZ-lining of sewer pipe</t>
  </si>
  <si>
    <t>OPEN CUT REPAIR IN ASPHALT FOR 6" MAIN PIPE.</t>
  </si>
  <si>
    <t>RP : ACH Deposit 09/20/2025</t>
  </si>
  <si>
    <t>RP : ACH Deposit 09/22/2025</t>
  </si>
  <si>
    <t>CKS 09/22/2025 Batch 68d2180c-babb-45da-b188-149444604554</t>
  </si>
  <si>
    <t>CKS 09/24/2025 Batch 3e2e5c2a-61c6-4329-8f81-c6f4a3d4622f</t>
  </si>
  <si>
    <t>CKS 09/24/2025 Batch dfe95526-0a49-471a-843f-2cf5c094ba75</t>
  </si>
  <si>
    <t>DH Funding of Park Draw#800</t>
  </si>
  <si>
    <t>CKS 09/25/2025 Batch 3c6a627c-8ed2-4856-af05-307726605907</t>
  </si>
  <si>
    <t>CKS 09/25/2025 Batch 641a8c69-17a6-40c5-bb6c-848740ec201c</t>
  </si>
  <si>
    <t>RP : ACH Deposit 09/24/2025</t>
  </si>
  <si>
    <t>mh village ads 08.07.25</t>
  </si>
  <si>
    <t>Amex PB BO July 1 to 31 2025</t>
  </si>
  <si>
    <t>Amex MSFT ATP P1-614 Aug 2025 W2123953</t>
  </si>
  <si>
    <t>Amex PB Security E3-292 W2123953 Aug 2025</t>
  </si>
  <si>
    <t>Amex PB MSFT E3-301 W2123953 Aug 2025</t>
  </si>
  <si>
    <t>Business Essentials-251 Aug 2025 W2123953</t>
  </si>
  <si>
    <t>Sophos 299 W2119918</t>
  </si>
  <si>
    <t>LOT# 365 RODRIGUEZ FERNANDEZ</t>
  </si>
  <si>
    <t>LOT# 205 DIAZ MORENO</t>
  </si>
  <si>
    <t>LOT# 56 ROMAN</t>
  </si>
  <si>
    <t>LOT# 396 VINCENTY</t>
  </si>
  <si>
    <t>LOT# 218 STAUFFER</t>
  </si>
  <si>
    <t>LOT# 246 LAUREANO</t>
  </si>
  <si>
    <t>LOT# 82 SANCHEZ-COSME</t>
  </si>
  <si>
    <t>RP : ACH Deposit 09/25/2025</t>
  </si>
  <si>
    <t>08/22/2025-09/22/2025-Electric-9100 8667 1155-175293-13600 WESLEYAN BLVD</t>
  </si>
  <si>
    <t>08/22/2025-09/22/2025-Electric-9100 8663 4811-1039381-13600 WESLEYAN BLVD REC</t>
  </si>
  <si>
    <t>08/22/2025-09/22/2025-Electric-9100 8667 1874-1017843-1940 SCRANTON AVE REC</t>
  </si>
  <si>
    <t>08/27/2025-09/25/2025-Electric-9101 4870 5160-Electric Outdoor-0 Wesleyan blvd</t>
  </si>
  <si>
    <t>08/22/2025-09/22/2025-Electric-9100 8667 3090-175292-1940 SCRANTON AVE LIFT</t>
  </si>
  <si>
    <t>ACCOUNT# 8337 10 029 1675135 CLUBHOUSE 09/18/2025-10/17/2025 INTERNET SERVICE.</t>
  </si>
  <si>
    <t>CKS 09/29/2025 Batch 711a6564-5777-4a6b-ae38-1b3cba6e9974</t>
  </si>
  <si>
    <t>PayLease : Cash Deposit 09/29/2025</t>
  </si>
  <si>
    <t>RP : ACH Deposit 09/26/2025</t>
  </si>
  <si>
    <t>RP : CC Deposit 09/29/2025</t>
  </si>
  <si>
    <t>Insurance Proceeds from SOL #6</t>
  </si>
  <si>
    <t>ACCT#910184715497 9.26.25 Confirm#272628143 
Light at lot 78</t>
  </si>
  <si>
    <t>Court Fee Lot 50 Vazquez</t>
  </si>
  <si>
    <t>Court Fee Lot 500 Cabrera</t>
  </si>
  <si>
    <t>Court Fee Lot 220 Gonzalez</t>
  </si>
  <si>
    <t>Batch#78964 Enterprise</t>
  </si>
  <si>
    <t>CKS 09/30/2025 Batch 0795459c-c2d8-4c95-84e6-5ba56062a645</t>
  </si>
  <si>
    <t>CKS 09/30/2025 Batch 58ceb15e-b2cf-463e-8b75-06a3184abba6</t>
  </si>
  <si>
    <t>CKS 09/30/2025 Batch 63686773-08b8-442d-ae6d-a114e92eccb1</t>
  </si>
  <si>
    <t>PayLease : Cash Deposit 09/30/2025</t>
  </si>
  <si>
    <t>RP : ACH Deposit 09/27/2025</t>
  </si>
  <si>
    <t>RP : ACH Deposit 09/28/2025</t>
  </si>
  <si>
    <t>RP : ACH Deposit 09/29/2025</t>
  </si>
  <si>
    <t>RP : CC Deposit 09/30/2025</t>
  </si>
  <si>
    <t>9.25 PB Free Lot rent-Alafaya Palms OMAR QUINONEZ  #173</t>
  </si>
  <si>
    <t>MA September Cash Park to Home</t>
  </si>
  <si>
    <t>Sep' 25</t>
  </si>
  <si>
    <t>Detail Date Range: 09/01/25 - 09/30/25  (accrual basis)</t>
  </si>
  <si>
    <t>Will be reversed on 10/01/2025</t>
  </si>
  <si>
    <t>Will clear on 10/03/2025 with bank transaction</t>
  </si>
  <si>
    <t>Will clear on 10/01/2025 with bank transaction</t>
  </si>
  <si>
    <t>Will clear on 10/02/2025 with bank transaction</t>
  </si>
  <si>
    <t>Will clear on 10/06/2025 with bank transaction</t>
  </si>
  <si>
    <t>Showing outstanding status in bank</t>
  </si>
  <si>
    <t xml:space="preserve">Will be reversed on 10/01/2025 with J-323339 </t>
  </si>
  <si>
    <t xml:space="preserve">Will be reversed on 10/01/2025 with J-325304 </t>
  </si>
  <si>
    <t>Will clear on 10/09/2025 with bank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</si>
</sst>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/dd/yy"/>
    <numFmt numFmtId="166" formatCode="[$-409]mm\/dd\/yy"/>
    <numFmt numFmtId="167" formatCode="#,##0.00;[Red]#,##0.00"/>
    <numFmt numFmtId="168" formatCode="mm/dd/yyyy"/>
  </numFmts>
  <fonts count="2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  <font>
      <sz val="8"/>
      <name val="Times New Roman"/>
      <family val="1"/>
    </font>
    <font>
      <sz val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2" fillId="0" borderId="0"/>
  </cellStyleXfs>
  <cellXfs count="244">
    <xf numFmtId="0" fontId="0" fillId="0" borderId="0" xfId="0" applyAlignment="1">
      <alignment horizontal="left" vertical="top"/>
    </xf>
    <xf numFmtId="0" fontId="2" fillId="0" borderId="0" xfId="2" applyAlignment="1">
      <alignment horizontal="right"/>
    </xf>
    <xf numFmtId="0" fontId="3" fillId="4" borderId="0" xfId="9" applyFont="1" applyFill="1"/>
    <xf numFmtId="14" fontId="3" fillId="4" borderId="0" xfId="9" applyNumberFormat="1" applyFont="1" applyFill="1" applyAlignment="1">
      <alignment horizontal="left"/>
    </xf>
    <xf numFmtId="14" fontId="9" fillId="0" borderId="0" xfId="0" applyNumberFormat="1" applyFont="1" applyAlignment="1">
      <alignment horizontal="left" vertical="top"/>
    </xf>
    <xf numFmtId="40" fontId="3" fillId="4" borderId="0" xfId="9" applyNumberFormat="1" applyFont="1" applyFill="1"/>
    <xf numFmtId="0" fontId="9" fillId="0" borderId="0" xfId="3" applyFont="1" applyAlignment="1">
      <alignment horizontal="left" vertical="top"/>
    </xf>
    <xf numFmtId="0" fontId="2" fillId="0" borderId="0" xfId="4" applyFont="1" applyAlignment="1">
      <alignment horizontal="center" vertical="center"/>
    </xf>
    <xf numFmtId="0" fontId="2" fillId="0" borderId="0" xfId="9" applyFont="1"/>
    <xf numFmtId="164" fontId="2" fillId="0" borderId="0" xfId="9" applyNumberFormat="1" applyFont="1"/>
    <xf numFmtId="40" fontId="2" fillId="0" borderId="0" xfId="9" applyNumberFormat="1" applyFont="1"/>
    <xf numFmtId="0" fontId="2" fillId="0" borderId="0" xfId="19" applyFont="1"/>
    <xf numFmtId="49" fontId="2" fillId="0" borderId="0" xfId="19" applyNumberFormat="1" applyFont="1" applyAlignment="1">
      <alignment vertical="top"/>
    </xf>
    <xf numFmtId="40" fontId="2" fillId="0" borderId="0" xfId="19" applyNumberFormat="1" applyFont="1"/>
    <xf numFmtId="49" fontId="3" fillId="0" borderId="0" xfId="19" applyNumberFormat="1" applyFont="1" applyAlignment="1">
      <alignment vertical="top"/>
    </xf>
    <xf numFmtId="166" fontId="2" fillId="0" borderId="0" xfId="19" applyNumberFormat="1" applyFont="1" applyAlignment="1">
      <alignment vertical="top"/>
    </xf>
    <xf numFmtId="0" fontId="3" fillId="4" borderId="0" xfId="9" applyFont="1" applyFill="1" applyAlignment="1">
      <alignment horizontal="left"/>
    </xf>
    <xf numFmtId="0" fontId="2" fillId="0" borderId="0" xfId="9" applyFont="1" applyAlignment="1">
      <alignment horizontal="left"/>
    </xf>
    <xf numFmtId="8" fontId="2" fillId="0" borderId="0" xfId="9" applyNumberFormat="1" applyFont="1" applyAlignment="1">
      <alignment horizontal="left"/>
    </xf>
    <xf numFmtId="164" fontId="2" fillId="0" borderId="0" xfId="19" applyNumberFormat="1" applyFont="1"/>
    <xf numFmtId="49" fontId="3" fillId="0" borderId="0" xfId="19" applyNumberFormat="1" applyFont="1" applyAlignment="1">
      <alignment horizontal="right" vertical="top"/>
    </xf>
    <xf numFmtId="8" fontId="9" fillId="0" borderId="0" xfId="3" applyNumberFormat="1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0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center" vertical="top"/>
    </xf>
    <xf numFmtId="8" fontId="9" fillId="0" borderId="0" xfId="0" applyNumberFormat="1" applyFont="1" applyAlignment="1">
      <alignment horizontal="left" vertical="top"/>
    </xf>
    <xf numFmtId="8" fontId="9" fillId="0" borderId="1" xfId="0" applyNumberFormat="1" applyFont="1" applyBorder="1" applyAlignment="1">
      <alignment horizontal="right" vertical="top"/>
    </xf>
    <xf numFmtId="8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2"/>
    <xf numFmtId="14" fontId="2" fillId="0" borderId="0" xfId="9" applyNumberFormat="1" applyFont="1" applyAlignment="1">
      <alignment horizontal="right"/>
    </xf>
    <xf numFmtId="8" fontId="9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right"/>
    </xf>
    <xf numFmtId="8" fontId="2" fillId="0" borderId="11" xfId="6" applyNumberFormat="1" applyFont="1" applyFill="1" applyBorder="1" applyAlignment="1" applyProtection="1">
      <alignment horizontal="right" vertical="center"/>
    </xf>
    <xf numFmtId="168" fontId="2" fillId="0" borderId="0" xfId="19" applyNumberFormat="1" applyFont="1" applyAlignment="1">
      <alignment vertical="top"/>
    </xf>
    <xf numFmtId="8" fontId="2" fillId="0" borderId="0" xfId="19" applyNumberFormat="1" applyFont="1"/>
    <xf numFmtId="8" fontId="3" fillId="0" borderId="0" xfId="0" applyNumberFormat="1" applyFont="1" applyAlignment="1">
      <alignment horizontal="right" vertical="top"/>
    </xf>
    <xf numFmtId="8" fontId="9" fillId="0" borderId="0" xfId="0" applyNumberFormat="1" applyFont="1"/>
    <xf numFmtId="8" fontId="2" fillId="0" borderId="0" xfId="2" applyNumberFormat="1"/>
    <xf numFmtId="8" fontId="6" fillId="0" borderId="1" xfId="1" applyNumberFormat="1" applyFont="1" applyFill="1" applyBorder="1" applyAlignment="1">
      <alignment horizontal="right" vertical="top"/>
    </xf>
    <xf numFmtId="8" fontId="2" fillId="0" borderId="0" xfId="19" applyNumberFormat="1" applyFont="1" applyAlignment="1">
      <alignment vertical="top"/>
    </xf>
    <xf numFmtId="14" fontId="18" fillId="5" borderId="0" xfId="9" applyNumberFormat="1" applyFont="1" applyFill="1" applyAlignment="1">
      <alignment horizontal="left"/>
    </xf>
    <xf numFmtId="40" fontId="18" fillId="5" borderId="0" xfId="9" applyNumberFormat="1" applyFont="1" applyFill="1"/>
    <xf numFmtId="0" fontId="18" fillId="5" borderId="0" xfId="9" applyFont="1" applyFill="1"/>
    <xf numFmtId="164" fontId="18" fillId="5" borderId="0" xfId="9" applyNumberFormat="1" applyFont="1" applyFill="1"/>
    <xf numFmtId="0" fontId="18" fillId="5" borderId="0" xfId="9" applyFont="1" applyFill="1" applyAlignment="1">
      <alignment horizontal="left"/>
    </xf>
    <xf numFmtId="49" fontId="18" fillId="5" borderId="0" xfId="19" applyNumberFormat="1" applyFont="1" applyFill="1" applyAlignment="1">
      <alignment horizontal="left"/>
    </xf>
    <xf numFmtId="49" fontId="18" fillId="5" borderId="0" xfId="19" applyNumberFormat="1" applyFont="1" applyFill="1" applyAlignment="1">
      <alignment horizontal="center"/>
    </xf>
    <xf numFmtId="40" fontId="18" fillId="5" borderId="0" xfId="2" applyNumberFormat="1" applyFont="1" applyFill="1"/>
    <xf numFmtId="14" fontId="18" fillId="5" borderId="0" xfId="2" applyNumberFormat="1" applyFont="1" applyFill="1" applyAlignment="1">
      <alignment horizontal="left"/>
    </xf>
    <xf numFmtId="14" fontId="18" fillId="5" borderId="0" xfId="2" applyNumberFormat="1" applyFont="1" applyFill="1" applyAlignment="1">
      <alignment horizontal="center"/>
    </xf>
    <xf numFmtId="0" fontId="18" fillId="5" borderId="0" xfId="2" applyFont="1" applyFill="1" applyAlignment="1">
      <alignment horizontal="center"/>
    </xf>
    <xf numFmtId="8" fontId="18" fillId="5" borderId="0" xfId="2" applyNumberFormat="1" applyFont="1" applyFill="1" applyAlignment="1">
      <alignment horizontal="center"/>
    </xf>
    <xf numFmtId="0" fontId="3" fillId="0" borderId="0" xfId="2" applyFont="1"/>
    <xf numFmtId="0" fontId="19" fillId="0" borderId="0" xfId="0" applyFont="1" applyAlignment="1">
      <alignment horizontal="left" vertical="top"/>
    </xf>
    <xf numFmtId="8" fontId="3" fillId="0" borderId="0" xfId="19" applyNumberFormat="1" applyFont="1" applyAlignment="1">
      <alignment vertical="top"/>
    </xf>
    <xf numFmtId="8" fontId="18" fillId="5" borderId="0" xfId="19" applyNumberFormat="1" applyFont="1" applyFill="1" applyAlignment="1">
      <alignment horizontal="center"/>
    </xf>
    <xf numFmtId="8" fontId="18" fillId="5" borderId="0" xfId="19" applyNumberFormat="1" applyFont="1" applyFill="1"/>
    <xf numFmtId="8" fontId="2" fillId="0" borderId="0" xfId="9" applyNumberFormat="1" applyFont="1"/>
    <xf numFmtId="0" fontId="2" fillId="0" borderId="0" xfId="9" applyFont="1" applyAlignment="1">
      <alignment horizontal="right"/>
    </xf>
    <xf numFmtId="0" fontId="3" fillId="0" borderId="0" xfId="9" applyFont="1" applyAlignment="1">
      <alignment horizontal="right"/>
    </xf>
    <xf numFmtId="8" fontId="3" fillId="0" borderId="1" xfId="9" applyNumberFormat="1" applyFont="1" applyBorder="1"/>
    <xf numFmtId="0" fontId="3" fillId="0" borderId="0" xfId="19" applyFont="1"/>
    <xf numFmtId="8" fontId="6" fillId="0" borderId="0" xfId="0" applyNumberFormat="1" applyFont="1" applyAlignment="1">
      <alignment horizontal="left" vertical="top"/>
    </xf>
    <xf numFmtId="168" fontId="2" fillId="0" borderId="10" xfId="2" applyNumberFormat="1" applyBorder="1" applyAlignment="1">
      <alignment horizontal="right" vertical="center"/>
    </xf>
    <xf numFmtId="8" fontId="2" fillId="0" borderId="0" xfId="2" applyNumberFormat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/>
    </xf>
    <xf numFmtId="8" fontId="2" fillId="0" borderId="11" xfId="2" applyNumberFormat="1" applyBorder="1" applyAlignment="1">
      <alignment horizontal="right" vertical="center"/>
    </xf>
    <xf numFmtId="0" fontId="6" fillId="0" borderId="0" xfId="0" applyFont="1" applyAlignment="1">
      <alignment horizontal="left" vertical="top"/>
    </xf>
    <xf numFmtId="1" fontId="2" fillId="0" borderId="0" xfId="9" applyNumberFormat="1" applyFont="1" applyAlignment="1">
      <alignment horizontal="right"/>
    </xf>
    <xf numFmtId="49" fontId="17" fillId="0" borderId="0" xfId="19" applyNumberFormat="1" applyFont="1" applyAlignment="1">
      <alignment vertical="top"/>
    </xf>
    <xf numFmtId="49" fontId="2" fillId="0" borderId="0" xfId="19" applyNumberFormat="1" applyFont="1" applyAlignment="1">
      <alignment horizontal="right" vertical="top"/>
    </xf>
    <xf numFmtId="49" fontId="17" fillId="0" borderId="0" xfId="19" applyNumberFormat="1" applyFont="1" applyAlignment="1">
      <alignment horizontal="right" vertical="top"/>
    </xf>
    <xf numFmtId="8" fontId="2" fillId="0" borderId="0" xfId="19" applyNumberFormat="1" applyFont="1" applyAlignment="1">
      <alignment horizontal="right" vertical="top"/>
    </xf>
    <xf numFmtId="164" fontId="18" fillId="5" borderId="0" xfId="19" applyNumberFormat="1" applyFont="1" applyFill="1" applyAlignment="1">
      <alignment horizontal="right"/>
    </xf>
    <xf numFmtId="8" fontId="2" fillId="0" borderId="0" xfId="19" applyNumberFormat="1" applyFont="1" applyAlignment="1">
      <alignment horizontal="right"/>
    </xf>
    <xf numFmtId="164" fontId="2" fillId="0" borderId="0" xfId="19" applyNumberFormat="1" applyFont="1" applyAlignment="1">
      <alignment horizontal="right"/>
    </xf>
    <xf numFmtId="0" fontId="0" fillId="0" borderId="0" xfId="0" applyAlignment="1">
      <alignment horizontal="right" vertical="top"/>
    </xf>
    <xf numFmtId="14" fontId="3" fillId="4" borderId="0" xfId="9" applyNumberFormat="1" applyFont="1" applyFill="1" applyAlignment="1">
      <alignment horizontal="right"/>
    </xf>
    <xf numFmtId="0" fontId="9" fillId="0" borderId="0" xfId="3" applyFont="1" applyAlignment="1">
      <alignment horizontal="left" vertical="center"/>
    </xf>
    <xf numFmtId="167" fontId="9" fillId="0" borderId="0" xfId="0" applyNumberFormat="1" applyFont="1" applyAlignment="1">
      <alignment horizontal="left" vertical="center" wrapText="1"/>
    </xf>
    <xf numFmtId="0" fontId="9" fillId="0" borderId="0" xfId="3" applyFont="1" applyAlignment="1">
      <alignment horizontal="center" vertical="center"/>
    </xf>
    <xf numFmtId="8" fontId="9" fillId="0" borderId="0" xfId="3" applyNumberFormat="1" applyFont="1" applyAlignment="1">
      <alignment horizontal="left" vertical="center"/>
    </xf>
    <xf numFmtId="0" fontId="9" fillId="0" borderId="0" xfId="3" applyFont="1" applyAlignment="1">
      <alignment horizontal="left" vertical="center" wrapText="1"/>
    </xf>
    <xf numFmtId="165" fontId="7" fillId="3" borderId="2" xfId="2" applyNumberFormat="1" applyFont="1" applyFill="1" applyBorder="1" applyAlignment="1">
      <alignment horizontal="left" vertical="center"/>
    </xf>
    <xf numFmtId="165" fontId="7" fillId="3" borderId="3" xfId="2" applyNumberFormat="1" applyFont="1" applyFill="1" applyBorder="1" applyAlignment="1">
      <alignment horizontal="left" vertical="center"/>
    </xf>
    <xf numFmtId="165" fontId="7" fillId="3" borderId="3" xfId="2" applyNumberFormat="1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left" vertical="center"/>
    </xf>
    <xf numFmtId="8" fontId="8" fillId="3" borderId="3" xfId="2" applyNumberFormat="1" applyFont="1" applyFill="1" applyBorder="1" applyAlignment="1">
      <alignment horizontal="left" vertical="center"/>
    </xf>
    <xf numFmtId="8" fontId="8" fillId="3" borderId="4" xfId="2" applyNumberFormat="1" applyFont="1" applyFill="1" applyBorder="1" applyAlignment="1">
      <alignment horizontal="left" vertical="center"/>
    </xf>
    <xf numFmtId="165" fontId="3" fillId="0" borderId="7" xfId="2" applyNumberFormat="1" applyFont="1" applyBorder="1" applyAlignment="1">
      <alignment horizontal="left" vertical="center"/>
    </xf>
    <xf numFmtId="165" fontId="3" fillId="0" borderId="8" xfId="2" applyNumberFormat="1" applyFont="1" applyBorder="1" applyAlignment="1">
      <alignment horizontal="left" vertical="center"/>
    </xf>
    <xf numFmtId="165" fontId="3" fillId="0" borderId="8" xfId="2" applyNumberFormat="1" applyFont="1" applyBorder="1" applyAlignment="1">
      <alignment horizontal="center" vertical="center"/>
    </xf>
    <xf numFmtId="0" fontId="2" fillId="0" borderId="8" xfId="2" applyBorder="1" applyAlignment="1">
      <alignment horizontal="left" vertical="center"/>
    </xf>
    <xf numFmtId="8" fontId="2" fillId="0" borderId="8" xfId="2" applyNumberFormat="1" applyBorder="1" applyAlignment="1">
      <alignment horizontal="right" vertical="center"/>
    </xf>
    <xf numFmtId="8" fontId="2" fillId="0" borderId="9" xfId="2" applyNumberFormat="1" applyBorder="1" applyAlignment="1">
      <alignment horizontal="right" vertical="center"/>
    </xf>
    <xf numFmtId="0" fontId="2" fillId="0" borderId="10" xfId="2" applyBorder="1" applyAlignment="1">
      <alignment horizontal="left" vertical="center"/>
    </xf>
    <xf numFmtId="0" fontId="2" fillId="0" borderId="0" xfId="2" applyAlignment="1">
      <alignment horizontal="left" vertical="center"/>
    </xf>
    <xf numFmtId="0" fontId="3" fillId="0" borderId="0" xfId="4" applyFont="1" applyAlignment="1">
      <alignment horizontal="right" vertical="center"/>
    </xf>
    <xf numFmtId="8" fontId="3" fillId="0" borderId="0" xfId="4" applyNumberFormat="1" applyFont="1" applyAlignment="1">
      <alignment horizontal="right" vertical="center"/>
    </xf>
    <xf numFmtId="8" fontId="3" fillId="0" borderId="11" xfId="5" applyNumberFormat="1" applyFont="1" applyFill="1" applyBorder="1" applyAlignment="1" applyProtection="1">
      <alignment horizontal="right" vertical="center"/>
    </xf>
    <xf numFmtId="40" fontId="9" fillId="0" borderId="0" xfId="3" applyNumberFormat="1" applyFont="1" applyAlignment="1">
      <alignment horizontal="left" vertical="center" wrapText="1"/>
    </xf>
    <xf numFmtId="8" fontId="2" fillId="0" borderId="11" xfId="5" applyNumberFormat="1" applyFont="1" applyFill="1" applyBorder="1" applyAlignment="1" applyProtection="1">
      <alignment horizontal="right" vertical="center"/>
    </xf>
    <xf numFmtId="0" fontId="5" fillId="0" borderId="10" xfId="2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8" fontId="2" fillId="0" borderId="0" xfId="6" applyNumberFormat="1" applyFont="1" applyFill="1" applyBorder="1" applyAlignment="1">
      <alignment horizontal="right" vertical="center"/>
    </xf>
    <xf numFmtId="8" fontId="2" fillId="0" borderId="11" xfId="6" applyNumberFormat="1" applyFont="1" applyFill="1" applyBorder="1" applyAlignment="1">
      <alignment horizontal="right" vertical="center"/>
    </xf>
    <xf numFmtId="0" fontId="5" fillId="0" borderId="10" xfId="4" applyFont="1" applyBorder="1" applyAlignment="1">
      <alignment horizontal="left" vertical="center"/>
    </xf>
    <xf numFmtId="0" fontId="2" fillId="0" borderId="0" xfId="4" applyFont="1" applyAlignment="1">
      <alignment horizontal="left" vertical="center"/>
    </xf>
    <xf numFmtId="8" fontId="2" fillId="0" borderId="0" xfId="6" applyNumberFormat="1" applyFont="1" applyFill="1" applyBorder="1" applyAlignment="1" applyProtection="1">
      <alignment horizontal="right" vertical="center"/>
    </xf>
    <xf numFmtId="0" fontId="2" fillId="0" borderId="10" xfId="4" applyFont="1" applyBorder="1" applyAlignment="1">
      <alignment horizontal="right" vertical="center"/>
    </xf>
    <xf numFmtId="8" fontId="3" fillId="0" borderId="0" xfId="6" applyNumberFormat="1" applyFont="1" applyFill="1" applyBorder="1" applyAlignment="1" applyProtection="1">
      <alignment horizontal="right" vertical="center"/>
    </xf>
    <xf numFmtId="8" fontId="2" fillId="0" borderId="15" xfId="6" applyNumberFormat="1" applyFont="1" applyFill="1" applyBorder="1" applyAlignment="1">
      <alignment horizontal="right" vertical="center"/>
    </xf>
    <xf numFmtId="0" fontId="2" fillId="0" borderId="10" xfId="4" applyFont="1" applyBorder="1" applyAlignment="1">
      <alignment horizontal="left" vertical="center"/>
    </xf>
    <xf numFmtId="0" fontId="3" fillId="0" borderId="0" xfId="4" applyFont="1" applyAlignment="1">
      <alignment horizontal="left" vertical="center"/>
    </xf>
    <xf numFmtId="0" fontId="3" fillId="0" borderId="0" xfId="2" applyFont="1" applyAlignment="1">
      <alignment horizontal="right" vertical="center"/>
    </xf>
    <xf numFmtId="8" fontId="2" fillId="0" borderId="13" xfId="7" applyNumberFormat="1" applyFont="1" applyFill="1" applyBorder="1" applyAlignment="1" applyProtection="1">
      <alignment horizontal="right" vertical="center"/>
    </xf>
    <xf numFmtId="8" fontId="2" fillId="0" borderId="0" xfId="2" applyNumberFormat="1" applyAlignment="1">
      <alignment horizontal="right" vertical="center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center" vertical="center"/>
    </xf>
    <xf numFmtId="8" fontId="8" fillId="3" borderId="3" xfId="2" applyNumberFormat="1" applyFont="1" applyFill="1" applyBorder="1" applyAlignment="1">
      <alignment horizontal="right" vertical="center"/>
    </xf>
    <xf numFmtId="8" fontId="8" fillId="3" borderId="4" xfId="2" applyNumberFormat="1" applyFont="1" applyFill="1" applyBorder="1" applyAlignment="1">
      <alignment horizontal="right" vertical="center"/>
    </xf>
    <xf numFmtId="0" fontId="3" fillId="0" borderId="7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3" fillId="0" borderId="8" xfId="2" applyFont="1" applyBorder="1" applyAlignment="1">
      <alignment horizontal="center" vertical="center"/>
    </xf>
    <xf numFmtId="0" fontId="2" fillId="0" borderId="0" xfId="2" applyAlignment="1">
      <alignment horizontal="right" vertical="center"/>
    </xf>
    <xf numFmtId="8" fontId="2" fillId="0" borderId="0" xfId="8" applyNumberFormat="1" applyFont="1" applyFill="1" applyBorder="1" applyAlignment="1" applyProtection="1">
      <alignment horizontal="right" vertical="center"/>
    </xf>
    <xf numFmtId="14" fontId="5" fillId="0" borderId="10" xfId="4" applyNumberFormat="1" applyFont="1" applyBorder="1" applyAlignment="1">
      <alignment horizontal="left" vertical="center"/>
    </xf>
    <xf numFmtId="40" fontId="2" fillId="0" borderId="0" xfId="6" applyNumberFormat="1" applyFont="1" applyFill="1" applyBorder="1" applyAlignment="1">
      <alignment horizontal="right" vertical="center"/>
    </xf>
    <xf numFmtId="14" fontId="2" fillId="0" borderId="10" xfId="4" applyNumberFormat="1" applyFont="1" applyBorder="1" applyAlignment="1">
      <alignment horizontal="left" vertical="center"/>
    </xf>
    <xf numFmtId="168" fontId="2" fillId="0" borderId="10" xfId="4" applyNumberFormat="1" applyFont="1" applyBorder="1" applyAlignment="1">
      <alignment horizontal="right" vertical="center"/>
    </xf>
    <xf numFmtId="0" fontId="5" fillId="0" borderId="10" xfId="4" quotePrefix="1" applyFont="1" applyBorder="1" applyAlignment="1">
      <alignment horizontal="left" vertical="center"/>
    </xf>
    <xf numFmtId="0" fontId="5" fillId="0" borderId="0" xfId="4" applyFont="1" applyAlignment="1">
      <alignment horizontal="center" vertical="center"/>
    </xf>
    <xf numFmtId="40" fontId="2" fillId="0" borderId="0" xfId="6" applyNumberFormat="1" applyFont="1" applyFill="1" applyBorder="1" applyAlignment="1">
      <alignment vertical="center"/>
    </xf>
    <xf numFmtId="164" fontId="2" fillId="0" borderId="0" xfId="19" applyNumberFormat="1" applyFont="1" applyAlignment="1">
      <alignment horizontal="right" vertical="center"/>
    </xf>
    <xf numFmtId="40" fontId="3" fillId="0" borderId="0" xfId="6" applyNumberFormat="1" applyFont="1" applyFill="1" applyBorder="1" applyAlignment="1">
      <alignment horizontal="right" vertical="center"/>
    </xf>
    <xf numFmtId="8" fontId="2" fillId="0" borderId="14" xfId="8" applyNumberFormat="1" applyFont="1" applyFill="1" applyBorder="1" applyAlignment="1" applyProtection="1">
      <alignment horizontal="right" vertical="center"/>
    </xf>
    <xf numFmtId="8" fontId="3" fillId="0" borderId="0" xfId="8" applyNumberFormat="1" applyFont="1" applyFill="1" applyBorder="1" applyAlignment="1" applyProtection="1">
      <alignment horizontal="right" vertical="center"/>
    </xf>
    <xf numFmtId="0" fontId="5" fillId="0" borderId="0" xfId="4" applyFont="1" applyAlignment="1">
      <alignment horizontal="left" vertical="center"/>
    </xf>
    <xf numFmtId="8" fontId="9" fillId="0" borderId="0" xfId="3" applyNumberFormat="1" applyFont="1" applyAlignment="1">
      <alignment horizontal="right" vertical="center"/>
    </xf>
    <xf numFmtId="14" fontId="2" fillId="0" borderId="10" xfId="2" applyNumberFormat="1" applyBorder="1" applyAlignment="1">
      <alignment horizontal="right" vertical="center"/>
    </xf>
    <xf numFmtId="39" fontId="2" fillId="0" borderId="0" xfId="6" applyNumberFormat="1" applyFont="1" applyFill="1" applyBorder="1" applyAlignment="1">
      <alignment horizontal="right" vertical="center"/>
    </xf>
    <xf numFmtId="0" fontId="3" fillId="0" borderId="10" xfId="2" applyFont="1" applyBorder="1" applyAlignment="1">
      <alignment horizontal="right" vertical="center"/>
    </xf>
    <xf numFmtId="0" fontId="3" fillId="0" borderId="0" xfId="2" applyFont="1" applyAlignment="1">
      <alignment horizontal="left" vertical="center"/>
    </xf>
    <xf numFmtId="8" fontId="2" fillId="0" borderId="14" xfId="6" applyNumberFormat="1" applyFont="1" applyFill="1" applyBorder="1" applyAlignment="1">
      <alignment horizontal="right" vertical="center"/>
    </xf>
    <xf numFmtId="39" fontId="3" fillId="0" borderId="0" xfId="4" applyNumberFormat="1" applyFont="1" applyAlignment="1">
      <alignment horizontal="left" vertical="center"/>
    </xf>
    <xf numFmtId="39" fontId="3" fillId="0" borderId="0" xfId="4" applyNumberFormat="1" applyFont="1" applyAlignment="1">
      <alignment horizontal="right" vertical="center"/>
    </xf>
    <xf numFmtId="8" fontId="2" fillId="0" borderId="15" xfId="2" applyNumberFormat="1" applyBorder="1" applyAlignment="1">
      <alignment horizontal="right" vertical="center"/>
    </xf>
    <xf numFmtId="8" fontId="3" fillId="2" borderId="13" xfId="2" applyNumberFormat="1" applyFont="1" applyFill="1" applyBorder="1" applyAlignment="1">
      <alignment horizontal="right" vertical="center"/>
    </xf>
    <xf numFmtId="0" fontId="2" fillId="0" borderId="5" xfId="2" applyBorder="1" applyAlignment="1">
      <alignment horizontal="left" vertical="center"/>
    </xf>
    <xf numFmtId="0" fontId="2" fillId="0" borderId="6" xfId="2" applyBorder="1" applyAlignment="1">
      <alignment horizontal="left" vertical="center"/>
    </xf>
    <xf numFmtId="0" fontId="2" fillId="0" borderId="6" xfId="2" applyBorder="1" applyAlignment="1">
      <alignment horizontal="center" vertical="center"/>
    </xf>
    <xf numFmtId="39" fontId="2" fillId="0" borderId="6" xfId="2" applyNumberFormat="1" applyBorder="1" applyAlignment="1">
      <alignment horizontal="left" vertical="center"/>
    </xf>
    <xf numFmtId="8" fontId="2" fillId="0" borderId="6" xfId="2" applyNumberFormat="1" applyBorder="1" applyAlignment="1">
      <alignment horizontal="right" vertical="center"/>
    </xf>
    <xf numFmtId="8" fontId="2" fillId="0" borderId="12" xfId="2" applyNumberFormat="1" applyBorder="1" applyAlignment="1">
      <alignment horizontal="right" vertical="center"/>
    </xf>
    <xf numFmtId="0" fontId="5" fillId="0" borderId="10" xfId="4" quotePrefix="1" applyFont="1" applyBorder="1" applyAlignment="1">
      <alignment horizontal="left"/>
    </xf>
    <xf numFmtId="0" fontId="5" fillId="0" borderId="0" xfId="4" applyFont="1" applyAlignment="1">
      <alignment horizontal="center"/>
    </xf>
    <xf numFmtId="8" fontId="2" fillId="0" borderId="0" xfId="2" applyNumberFormat="1" applyAlignment="1">
      <alignment horizontal="center"/>
    </xf>
    <xf numFmtId="0" fontId="9" fillId="0" borderId="11" xfId="3" applyFont="1" applyBorder="1" applyAlignment="1">
      <alignment horizontal="left" vertical="center"/>
    </xf>
    <xf numFmtId="0" fontId="9" fillId="0" borderId="0" xfId="0" applyFont="1" applyAlignment="1">
      <alignment horizontal="right" vertical="top"/>
    </xf>
    <xf numFmtId="0" fontId="2" fillId="0" borderId="0" xfId="19" applyFont="1" applyAlignment="1">
      <alignment horizontal="right"/>
    </xf>
    <xf numFmtId="4" fontId="20" fillId="0" borderId="0" xfId="0" applyNumberFormat="1" applyFont="1" applyAlignment="1">
      <alignment horizontal="left" vertical="top"/>
    </xf>
    <xf numFmtId="0" fontId="5" fillId="0" borderId="0" xfId="4" quotePrefix="1" applyFont="1" applyAlignment="1">
      <alignment horizontal="left" vertical="center"/>
    </xf>
    <xf numFmtId="168" fontId="2" fillId="0" borderId="0" xfId="2" applyNumberFormat="1" applyAlignment="1">
      <alignment horizontal="right" vertical="center"/>
    </xf>
    <xf numFmtId="168" fontId="2" fillId="0" borderId="0" xfId="4" applyNumberFormat="1" applyFont="1" applyAlignment="1">
      <alignment horizontal="right" vertical="center"/>
    </xf>
    <xf numFmtId="8" fontId="9" fillId="0" borderId="0" xfId="3" applyNumberFormat="1" applyFont="1" applyAlignment="1">
      <alignment horizontal="left" vertical="center" wrapText="1"/>
    </xf>
    <xf numFmtId="0" fontId="2" fillId="0" borderId="0" xfId="19" applyFont="1" applyAlignment="1">
      <alignment horizontal="center" vertical="top"/>
    </xf>
    <xf numFmtId="168" fontId="2" fillId="6" borderId="0" xfId="4" applyNumberFormat="1" applyFont="1" applyFill="1" applyAlignment="1">
      <alignment horizontal="right" vertical="center"/>
    </xf>
    <xf numFmtId="0" fontId="2" fillId="6" borderId="0" xfId="4" applyFont="1" applyFill="1" applyAlignment="1">
      <alignment horizontal="center" vertical="center"/>
    </xf>
    <xf numFmtId="0" fontId="9" fillId="6" borderId="0" xfId="3" applyFont="1" applyFill="1" applyAlignment="1">
      <alignment horizontal="center" vertical="center"/>
    </xf>
    <xf numFmtId="40" fontId="9" fillId="6" borderId="0" xfId="0" applyNumberFormat="1" applyFont="1" applyFill="1" applyAlignment="1">
      <alignment horizontal="left" vertical="top"/>
    </xf>
    <xf numFmtId="0" fontId="2" fillId="6" borderId="0" xfId="4" applyFont="1" applyFill="1" applyAlignment="1">
      <alignment horizontal="left" vertical="center"/>
    </xf>
    <xf numFmtId="8" fontId="9" fillId="6" borderId="0" xfId="0" applyNumberFormat="1" applyFont="1" applyFill="1" applyAlignment="1">
      <alignment horizontal="right" vertical="top"/>
    </xf>
    <xf numFmtId="168" fontId="2" fillId="6" borderId="0" xfId="19" applyNumberFormat="1" applyFont="1" applyFill="1" applyAlignment="1">
      <alignment vertical="top"/>
    </xf>
    <xf numFmtId="49" fontId="2" fillId="6" borderId="0" xfId="19" applyNumberFormat="1" applyFont="1" applyFill="1" applyAlignment="1">
      <alignment vertical="top"/>
    </xf>
    <xf numFmtId="8" fontId="2" fillId="6" borderId="0" xfId="19" applyNumberFormat="1" applyFont="1" applyFill="1"/>
    <xf numFmtId="49" fontId="2" fillId="0" borderId="0" xfId="19" applyNumberFormat="1" applyFont="1" applyAlignment="1">
      <alignment horizontal="center" vertical="top"/>
    </xf>
    <xf numFmtId="49" fontId="2" fillId="6" borderId="0" xfId="19" applyNumberFormat="1" applyFont="1" applyFill="1" applyAlignment="1">
      <alignment horizontal="center" vertical="top"/>
    </xf>
    <xf numFmtId="0" fontId="5" fillId="0" borderId="0" xfId="2" applyFont="1" applyAlignment="1">
      <alignment horizontal="left"/>
    </xf>
    <xf numFmtId="0" fontId="2" fillId="0" borderId="0" xfId="4" applyFont="1" applyAlignment="1">
      <alignment horizontal="right" vertical="center"/>
    </xf>
    <xf numFmtId="8" fontId="2" fillId="2" borderId="13" xfId="2" applyNumberFormat="1" applyFill="1" applyBorder="1" applyAlignment="1">
      <alignment horizontal="right" vertical="center"/>
    </xf>
    <xf numFmtId="8" fontId="0" fillId="0" borderId="0" xfId="0" applyNumberFormat="1" applyAlignment="1">
      <alignment horizontal="right"/>
    </xf>
    <xf numFmtId="8" fontId="9" fillId="0" borderId="1" xfId="0" applyNumberFormat="1" applyFont="1" applyBorder="1" applyAlignment="1">
      <alignment vertical="top"/>
    </xf>
    <xf numFmtId="4" fontId="9" fillId="0" borderId="0" xfId="0" applyNumberFormat="1" applyFont="1" applyAlignment="1">
      <alignment horizontal="right" vertical="top"/>
    </xf>
    <xf numFmtId="8" fontId="3" fillId="0" borderId="14" xfId="0" applyNumberFormat="1" applyFont="1" applyBorder="1" applyAlignment="1">
      <alignment horizontal="right" vertical="top"/>
    </xf>
    <xf numFmtId="8" fontId="3" fillId="0" borderId="14" xfId="0" applyNumberFormat="1" applyFont="1" applyBorder="1" applyAlignment="1">
      <alignment vertical="top"/>
    </xf>
    <xf numFmtId="0" fontId="2" fillId="0" borderId="0" xfId="4" applyFont="1" applyAlignment="1">
      <alignment horizontal="center" vertical="top"/>
    </xf>
    <xf numFmtId="8" fontId="2" fillId="0" borderId="0" xfId="19" applyNumberFormat="1" applyFont="1" applyAlignment="1">
      <alignment vertical="center"/>
    </xf>
    <xf numFmtId="4" fontId="22" fillId="0" borderId="0" xfId="0" applyNumberFormat="1" applyFont="1" applyAlignment="1">
      <alignment horizontal="right" vertical="center"/>
    </xf>
    <xf numFmtId="0" fontId="2" fillId="0" borderId="0" xfId="19" applyFont="1" applyAlignment="1">
      <alignment horizontal="center"/>
    </xf>
    <xf numFmtId="8" fontId="2" fillId="0" borderId="1" xfId="19" applyNumberFormat="1" applyFont="1" applyBorder="1" applyAlignment="1">
      <alignment horizontal="right"/>
    </xf>
    <xf numFmtId="168" fontId="2" fillId="0" borderId="0" xfId="19" applyNumberFormat="1" applyFont="1" applyAlignment="1">
      <alignment horizontal="right" vertical="top"/>
    </xf>
    <xf numFmtId="8" fontId="2" fillId="7" borderId="0" xfId="19" applyNumberFormat="1" applyFont="1" applyFill="1"/>
    <xf numFmtId="8" fontId="9" fillId="7" borderId="0" xfId="0" applyNumberFormat="1" applyFont="1" applyFill="1" applyAlignment="1">
      <alignment horizontal="right" vertical="top"/>
    </xf>
    <xf numFmtId="8" fontId="2" fillId="8" borderId="0" xfId="19" applyNumberFormat="1" applyFont="1" applyFill="1" applyAlignment="1">
      <alignment horizontal="right"/>
    </xf>
    <xf numFmtId="8" fontId="9" fillId="8" borderId="0" xfId="0" applyNumberFormat="1" applyFont="1" applyFill="1" applyAlignment="1">
      <alignment horizontal="right" vertical="top"/>
    </xf>
    <xf numFmtId="8" fontId="2" fillId="10" borderId="0" xfId="19" applyNumberFormat="1" applyFont="1" applyFill="1" applyAlignment="1">
      <alignment horizontal="right"/>
    </xf>
    <xf numFmtId="8" fontId="2" fillId="11" borderId="0" xfId="19" applyNumberFormat="1" applyFont="1" applyFill="1" applyAlignment="1">
      <alignment horizontal="right"/>
    </xf>
    <xf numFmtId="8" fontId="9" fillId="11" borderId="0" xfId="0" applyNumberFormat="1" applyFont="1" applyFill="1" applyAlignment="1">
      <alignment horizontal="right" vertical="top"/>
    </xf>
    <xf numFmtId="8" fontId="2" fillId="12" borderId="0" xfId="19" applyNumberFormat="1" applyFont="1" applyFill="1"/>
    <xf numFmtId="8" fontId="9" fillId="12" borderId="0" xfId="0" applyNumberFormat="1" applyFont="1" applyFill="1" applyAlignment="1">
      <alignment horizontal="right" vertical="top"/>
    </xf>
    <xf numFmtId="8" fontId="9" fillId="2" borderId="0" xfId="0" applyNumberFormat="1" applyFont="1" applyFill="1" applyAlignment="1">
      <alignment horizontal="right" vertical="top"/>
    </xf>
    <xf numFmtId="8" fontId="2" fillId="13" borderId="0" xfId="19" applyNumberFormat="1" applyFont="1" applyFill="1"/>
    <xf numFmtId="8" fontId="9" fillId="13" borderId="0" xfId="0" applyNumberFormat="1" applyFont="1" applyFill="1" applyAlignment="1">
      <alignment horizontal="right" vertical="top"/>
    </xf>
    <xf numFmtId="8" fontId="2" fillId="9" borderId="0" xfId="19" applyNumberFormat="1" applyFont="1" applyFill="1"/>
    <xf numFmtId="8" fontId="9" fillId="9" borderId="0" xfId="0" applyNumberFormat="1" applyFont="1" applyFill="1" applyAlignment="1">
      <alignment horizontal="right" vertical="top"/>
    </xf>
    <xf numFmtId="8" fontId="2" fillId="14" borderId="0" xfId="19" applyNumberFormat="1" applyFont="1" applyFill="1"/>
    <xf numFmtId="8" fontId="9" fillId="14" borderId="0" xfId="0" applyNumberFormat="1" applyFont="1" applyFill="1" applyAlignment="1">
      <alignment horizontal="right" vertical="top"/>
    </xf>
    <xf numFmtId="8" fontId="2" fillId="15" borderId="0" xfId="19" applyNumberFormat="1" applyFont="1" applyFill="1"/>
    <xf numFmtId="8" fontId="2" fillId="16" borderId="0" xfId="19" applyNumberFormat="1" applyFont="1" applyFill="1"/>
    <xf numFmtId="8" fontId="9" fillId="16" borderId="0" xfId="0" applyNumberFormat="1" applyFont="1" applyFill="1" applyAlignment="1">
      <alignment horizontal="right" vertical="top"/>
    </xf>
    <xf numFmtId="8" fontId="9" fillId="10" borderId="0" xfId="0" applyNumberFormat="1" applyFont="1" applyFill="1" applyAlignment="1">
      <alignment horizontal="right" vertical="top"/>
    </xf>
    <xf numFmtId="8" fontId="2" fillId="17" borderId="0" xfId="19" applyNumberFormat="1" applyFont="1" applyFill="1"/>
    <xf numFmtId="8" fontId="9" fillId="17" borderId="0" xfId="0" applyNumberFormat="1" applyFont="1" applyFill="1" applyAlignment="1">
      <alignment horizontal="right" vertical="top"/>
    </xf>
    <xf numFmtId="8" fontId="2" fillId="18" borderId="0" xfId="19" applyNumberFormat="1" applyFont="1" applyFill="1"/>
    <xf numFmtId="8" fontId="9" fillId="18" borderId="0" xfId="0" applyNumberFormat="1" applyFont="1" applyFill="1" applyAlignment="1">
      <alignment horizontal="right" vertical="top"/>
    </xf>
    <xf numFmtId="8" fontId="9" fillId="15" borderId="0" xfId="0" applyNumberFormat="1" applyFont="1" applyFill="1" applyAlignment="1">
      <alignment horizontal="right" vertical="top"/>
    </xf>
    <xf numFmtId="8" fontId="2" fillId="19" borderId="0" xfId="19" applyNumberFormat="1" applyFont="1" applyFill="1"/>
    <xf numFmtId="8" fontId="9" fillId="19" borderId="0" xfId="0" applyNumberFormat="1" applyFont="1" applyFill="1" applyAlignment="1">
      <alignment horizontal="right" vertical="top"/>
    </xf>
    <xf numFmtId="8" fontId="2" fillId="2" borderId="0" xfId="19" applyNumberFormat="1" applyFont="1" applyFill="1" applyAlignment="1">
      <alignment horizontal="right"/>
    </xf>
    <xf numFmtId="8" fontId="2" fillId="0" borderId="0" xfId="19" applyNumberFormat="1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17" fontId="3" fillId="0" borderId="2" xfId="2" applyNumberFormat="1" applyFont="1" applyBorder="1" applyAlignment="1">
      <alignment horizontal="center" vertical="center"/>
    </xf>
    <xf numFmtId="49" fontId="3" fillId="0" borderId="0" xfId="19" applyNumberFormat="1" applyFont="1" applyAlignment="1">
      <alignment horizontal="center" vertical="top"/>
    </xf>
    <xf numFmtId="49" fontId="2" fillId="0" borderId="0" xfId="19" applyNumberFormat="1" applyFont="1" applyAlignment="1">
      <alignment horizontal="center" vertical="top"/>
    </xf>
    <xf numFmtId="49" fontId="17" fillId="0" borderId="0" xfId="19" applyNumberFormat="1" applyFont="1" applyAlignment="1">
      <alignment horizontal="center" vertical="top"/>
    </xf>
    <xf numFmtId="8" fontId="2" fillId="0" borderId="0" xfId="19" applyNumberFormat="1" applyFont="1" applyAlignment="1">
      <alignment horizontal="left" vertical="center"/>
    </xf>
    <xf numFmtId="8" fontId="9" fillId="20" borderId="0" xfId="0" applyNumberFormat="1" applyFont="1" applyFill="1" applyAlignment="1">
      <alignment horizontal="right" vertical="top"/>
    </xf>
    <xf numFmtId="8" fontId="2" fillId="20" borderId="0" xfId="19" applyNumberFormat="1" applyFont="1" applyFill="1"/>
    <xf numFmtId="8" fontId="2" fillId="21" borderId="0" xfId="19" applyNumberFormat="1" applyFont="1" applyFill="1"/>
    <xf numFmtId="8" fontId="9" fillId="21" borderId="0" xfId="0" applyNumberFormat="1" applyFont="1" applyFill="1" applyAlignment="1">
      <alignment horizontal="right" vertical="top"/>
    </xf>
    <xf numFmtId="8" fontId="2" fillId="22" borderId="0" xfId="19" applyNumberFormat="1" applyFont="1" applyFill="1"/>
    <xf numFmtId="8" fontId="9" fillId="22" borderId="0" xfId="0" applyNumberFormat="1" applyFont="1" applyFill="1" applyAlignment="1">
      <alignment horizontal="right" vertical="top"/>
    </xf>
    <xf numFmtId="8" fontId="2" fillId="23" borderId="0" xfId="19" applyNumberFormat="1" applyFont="1" applyFill="1"/>
    <xf numFmtId="8" fontId="9" fillId="23" borderId="0" xfId="0" applyNumberFormat="1" applyFont="1" applyFill="1" applyAlignment="1">
      <alignment horizontal="right" vertical="top"/>
    </xf>
  </cellXfs>
  <cellStyles count="21">
    <cellStyle name="Comma" xfId="1" builtinId="3"/>
    <cellStyle name="Comma 2" xfId="6" xr:uid="{00000000-0005-0000-0000-000001000000}"/>
    <cellStyle name="Comma 2 10" xfId="8" xr:uid="{00000000-0005-0000-0000-000002000000}"/>
    <cellStyle name="Currency 2" xfId="5" xr:uid="{00000000-0005-0000-0000-000003000000}"/>
    <cellStyle name="Currency 2 3" xfId="7" xr:uid="{00000000-0005-0000-0000-000004000000}"/>
    <cellStyle name="Normal" xfId="0" builtinId="0"/>
    <cellStyle name="Normal 10" xfId="17" xr:uid="{00000000-0005-0000-0000-000006000000}"/>
    <cellStyle name="Normal 11" xfId="18" xr:uid="{00000000-0005-0000-0000-000007000000}"/>
    <cellStyle name="Normal 12" xfId="19" xr:uid="{00000000-0005-0000-0000-000008000000}"/>
    <cellStyle name="Normal 12 2" xfId="20" xr:uid="{00000000-0005-0000-0000-000009000000}"/>
    <cellStyle name="Normal 2" xfId="9" xr:uid="{00000000-0005-0000-0000-00000A000000}"/>
    <cellStyle name="Normal 2 2 2" xfId="2" xr:uid="{00000000-0005-0000-0000-00000B000000}"/>
    <cellStyle name="Normal 2 2 2 2" xfId="10" xr:uid="{00000000-0005-0000-0000-00000C000000}"/>
    <cellStyle name="Normal 3" xfId="3" xr:uid="{00000000-0005-0000-0000-00000D000000}"/>
    <cellStyle name="Normal 4" xfId="11" xr:uid="{00000000-0005-0000-0000-00000E000000}"/>
    <cellStyle name="Normal 5" xfId="12" xr:uid="{00000000-0005-0000-0000-00000F000000}"/>
    <cellStyle name="Normal 6" xfId="13" xr:uid="{00000000-0005-0000-0000-000010000000}"/>
    <cellStyle name="Normal 7" xfId="14" xr:uid="{00000000-0005-0000-0000-000011000000}"/>
    <cellStyle name="Normal 8" xfId="15" xr:uid="{00000000-0005-0000-0000-000012000000}"/>
    <cellStyle name="Normal 9" xfId="16" xr:uid="{00000000-0005-0000-0000-000013000000}"/>
    <cellStyle name="Normal_1101BK" xfId="4" xr:uid="{00000000-0005-0000-0000-000014000000}"/>
  </cellStyles>
  <dxfs count="0"/>
  <tableStyles count="0" defaultTableStyle="TableStyleMedium9" defaultPivotStyle="PivotStyleLight16"/>
  <colors>
    <mruColors>
      <color rgb="FF99FF33"/>
      <color rgb="FF66CCFF"/>
      <color rgb="FFFF99CC"/>
      <color rgb="FF33CCCC"/>
      <color rgb="FFCCCCFF"/>
      <color rgb="FF66FFFF"/>
      <color rgb="FF99FFCC"/>
      <color rgb="FFCCFF66"/>
      <color rgb="FFFFCC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showGridLines="0" tabSelected="1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3.1640625" style="83" bestFit="1" customWidth="1"/>
    <col min="5" max="5" width="41.33203125" style="81" customWidth="1"/>
    <col min="6" max="6" width="40.33203125" style="81" bestFit="1" customWidth="1"/>
    <col min="7" max="8" width="16.6640625" style="84" bestFit="1" customWidth="1"/>
    <col min="9" max="9" width="58.33203125" style="85" bestFit="1" customWidth="1"/>
    <col min="10" max="10" width="28.33203125" style="85" customWidth="1"/>
    <col min="11" max="16384" width="9.33203125" style="81"/>
  </cols>
  <sheetData>
    <row r="1" spans="1:10" ht="13.5" thickBot="1" x14ac:dyDescent="0.25"/>
    <row r="2" spans="1:10" ht="13.5" thickBot="1" x14ac:dyDescent="0.25">
      <c r="B2" s="225" t="s">
        <v>0</v>
      </c>
      <c r="C2" s="226"/>
      <c r="D2" s="226"/>
      <c r="E2" s="226"/>
      <c r="F2" s="226"/>
      <c r="G2" s="226"/>
      <c r="H2" s="227"/>
    </row>
    <row r="3" spans="1:10" ht="13.5" thickBot="1" x14ac:dyDescent="0.25">
      <c r="B3" s="228" t="s">
        <v>1</v>
      </c>
      <c r="C3" s="229"/>
      <c r="D3" s="229"/>
      <c r="E3" s="229"/>
      <c r="F3" s="229"/>
      <c r="G3" s="229"/>
      <c r="H3" s="230"/>
    </row>
    <row r="4" spans="1:10" ht="13.5" thickBot="1" x14ac:dyDescent="0.25">
      <c r="B4" s="231">
        <v>45901</v>
      </c>
      <c r="C4" s="229"/>
      <c r="D4" s="229"/>
      <c r="E4" s="229"/>
      <c r="F4" s="229"/>
      <c r="G4" s="229"/>
      <c r="H4" s="230"/>
    </row>
    <row r="5" spans="1:10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10" x14ac:dyDescent="0.2">
      <c r="B6" s="92"/>
      <c r="C6" s="93"/>
      <c r="D6" s="94"/>
      <c r="E6" s="95"/>
      <c r="F6" s="95"/>
      <c r="G6" s="96"/>
      <c r="H6" s="97"/>
    </row>
    <row r="7" spans="1:10" x14ac:dyDescent="0.2">
      <c r="B7" s="98"/>
      <c r="C7" s="99"/>
      <c r="D7" s="67"/>
      <c r="F7" s="100" t="s">
        <v>3</v>
      </c>
      <c r="G7" s="101"/>
      <c r="H7" s="102">
        <v>0</v>
      </c>
      <c r="I7" s="103"/>
      <c r="J7" s="103"/>
    </row>
    <row r="8" spans="1:10" x14ac:dyDescent="0.2">
      <c r="B8" s="98"/>
      <c r="C8" s="99"/>
      <c r="D8" s="67"/>
      <c r="E8" s="100"/>
      <c r="F8" s="100"/>
      <c r="G8" s="101"/>
      <c r="H8" s="104"/>
    </row>
    <row r="9" spans="1:10" x14ac:dyDescent="0.2">
      <c r="B9" s="105" t="s">
        <v>4</v>
      </c>
      <c r="C9" s="106"/>
      <c r="D9" s="107"/>
      <c r="E9" s="99"/>
      <c r="F9" s="99"/>
      <c r="G9" s="108"/>
      <c r="H9" s="109"/>
    </row>
    <row r="10" spans="1:10" x14ac:dyDescent="0.2">
      <c r="A10" s="162"/>
      <c r="B10" s="106"/>
      <c r="C10" s="106"/>
      <c r="D10" s="107"/>
      <c r="E10" s="99"/>
      <c r="F10" s="99"/>
      <c r="G10" s="108"/>
      <c r="H10" s="109"/>
    </row>
    <row r="11" spans="1:10" x14ac:dyDescent="0.2">
      <c r="A11" s="162"/>
      <c r="B11" s="168"/>
      <c r="C11" s="7"/>
      <c r="D11" s="67"/>
      <c r="E11" s="99"/>
      <c r="F11" s="99"/>
      <c r="G11" s="108"/>
      <c r="H11" s="109"/>
    </row>
    <row r="12" spans="1:10" x14ac:dyDescent="0.2">
      <c r="A12" s="162"/>
      <c r="B12" s="142" t="s">
        <v>6</v>
      </c>
      <c r="C12" s="7"/>
      <c r="D12" s="7"/>
      <c r="E12" s="111"/>
      <c r="F12" s="111"/>
      <c r="G12" s="112"/>
      <c r="H12" s="34"/>
    </row>
    <row r="13" spans="1:10" x14ac:dyDescent="0.2">
      <c r="A13" s="162"/>
      <c r="B13" s="183"/>
      <c r="C13" s="7"/>
      <c r="E13" s="111"/>
      <c r="F13" s="111"/>
      <c r="G13" s="112"/>
      <c r="H13" s="34"/>
    </row>
    <row r="14" spans="1:10" x14ac:dyDescent="0.2">
      <c r="A14" s="162"/>
      <c r="B14" s="33" t="s">
        <v>243</v>
      </c>
      <c r="C14" s="190" t="s">
        <v>5</v>
      </c>
      <c r="E14" s="24" t="s">
        <v>8</v>
      </c>
      <c r="F14" s="111"/>
      <c r="G14" s="32">
        <v>-455713.94</v>
      </c>
      <c r="H14" s="34"/>
    </row>
    <row r="15" spans="1:10" x14ac:dyDescent="0.2">
      <c r="A15" s="162"/>
      <c r="B15" s="183"/>
      <c r="C15" s="7"/>
      <c r="E15" s="111"/>
      <c r="F15" s="111"/>
      <c r="G15" s="112"/>
      <c r="H15" s="34"/>
    </row>
    <row r="16" spans="1:10" x14ac:dyDescent="0.2">
      <c r="B16" s="113"/>
      <c r="C16" s="111"/>
      <c r="E16" s="111"/>
      <c r="F16" s="100" t="s">
        <v>9</v>
      </c>
      <c r="G16" s="114"/>
      <c r="H16" s="115">
        <f>SUM(G11:G14)</f>
        <v>-455713.94</v>
      </c>
    </row>
    <row r="17" spans="1:10" x14ac:dyDescent="0.2">
      <c r="B17" s="116"/>
      <c r="C17" s="111"/>
      <c r="E17" s="99"/>
      <c r="F17" s="100"/>
      <c r="G17" s="108"/>
      <c r="H17" s="109"/>
    </row>
    <row r="18" spans="1:10" ht="13.5" thickBot="1" x14ac:dyDescent="0.25">
      <c r="B18" s="98"/>
      <c r="C18" s="99"/>
      <c r="E18" s="117"/>
      <c r="F18" s="118" t="s">
        <v>10</v>
      </c>
      <c r="G18" s="101"/>
      <c r="H18" s="119">
        <f>+H7-H16</f>
        <v>455713.94</v>
      </c>
    </row>
    <row r="19" spans="1:10" ht="14.25" thickTop="1" thickBot="1" x14ac:dyDescent="0.25">
      <c r="B19" s="98"/>
      <c r="C19" s="99"/>
      <c r="D19" s="67"/>
      <c r="E19" s="99"/>
      <c r="F19" s="99"/>
      <c r="G19" s="120"/>
      <c r="H19" s="69"/>
    </row>
    <row r="20" spans="1:10" ht="13.5" thickBot="1" x14ac:dyDescent="0.25">
      <c r="B20" s="121" t="s">
        <v>11</v>
      </c>
      <c r="C20" s="122"/>
      <c r="D20" s="123"/>
      <c r="E20" s="89"/>
      <c r="F20" s="89"/>
      <c r="G20" s="124"/>
      <c r="H20" s="125"/>
    </row>
    <row r="21" spans="1:10" x14ac:dyDescent="0.2">
      <c r="B21" s="126"/>
      <c r="C21" s="127"/>
      <c r="D21" s="128"/>
      <c r="E21" s="95"/>
      <c r="F21" s="95"/>
      <c r="G21" s="96"/>
      <c r="H21" s="97"/>
    </row>
    <row r="22" spans="1:10" x14ac:dyDescent="0.2">
      <c r="B22" s="98"/>
      <c r="C22" s="99"/>
      <c r="D22" s="67"/>
      <c r="F22" s="100" t="s">
        <v>12</v>
      </c>
      <c r="G22" s="101"/>
      <c r="H22" s="102">
        <f>GL!I318</f>
        <v>222728.21</v>
      </c>
      <c r="I22" s="169"/>
      <c r="J22" s="169"/>
    </row>
    <row r="23" spans="1:10" x14ac:dyDescent="0.2">
      <c r="B23" s="116"/>
      <c r="C23" s="111"/>
      <c r="D23" s="7"/>
      <c r="E23" s="129"/>
      <c r="F23"/>
      <c r="G23" s="130"/>
      <c r="H23" s="69"/>
    </row>
    <row r="24" spans="1:10" x14ac:dyDescent="0.2">
      <c r="B24" s="131" t="s">
        <v>13</v>
      </c>
      <c r="C24" s="111"/>
      <c r="D24" s="7"/>
      <c r="F24"/>
      <c r="G24" s="130"/>
      <c r="H24" s="69"/>
    </row>
    <row r="25" spans="1:10" x14ac:dyDescent="0.2">
      <c r="A25" s="162"/>
      <c r="B25" s="35"/>
      <c r="C25" s="7"/>
      <c r="D25" s="180"/>
      <c r="E25" s="12"/>
      <c r="F25" s="111"/>
      <c r="G25" s="36"/>
      <c r="H25" s="34"/>
    </row>
    <row r="26" spans="1:10" x14ac:dyDescent="0.2">
      <c r="A26" s="162"/>
      <c r="B26" s="35"/>
      <c r="C26" s="7"/>
      <c r="D26" s="180"/>
      <c r="E26" s="12"/>
      <c r="F26" s="111"/>
      <c r="G26" s="36"/>
      <c r="H26" s="34"/>
    </row>
    <row r="27" spans="1:10" x14ac:dyDescent="0.2">
      <c r="A27" s="162"/>
      <c r="B27" s="131" t="s">
        <v>14</v>
      </c>
      <c r="D27" s="182" t="s">
        <v>795</v>
      </c>
      <c r="E27" s="12"/>
      <c r="F27" s="111"/>
      <c r="G27" s="36"/>
      <c r="H27" s="34"/>
    </row>
    <row r="28" spans="1:10" x14ac:dyDescent="0.2">
      <c r="A28" s="162"/>
      <c r="B28" s="35"/>
      <c r="C28" s="7"/>
      <c r="D28" s="180"/>
      <c r="E28" s="12"/>
      <c r="F28" s="111"/>
      <c r="G28" s="36"/>
      <c r="H28" s="34"/>
    </row>
    <row r="29" spans="1:10" x14ac:dyDescent="0.2">
      <c r="A29" s="162"/>
      <c r="B29" s="35">
        <v>45929</v>
      </c>
      <c r="C29" s="7" t="s">
        <v>7</v>
      </c>
      <c r="D29" s="180" t="s">
        <v>496</v>
      </c>
      <c r="E29" s="15" t="s">
        <v>497</v>
      </c>
      <c r="F29" s="111"/>
      <c r="G29" s="36">
        <v>2187.7800000000002</v>
      </c>
      <c r="H29" s="34"/>
    </row>
    <row r="30" spans="1:10" x14ac:dyDescent="0.2">
      <c r="A30" s="162"/>
      <c r="B30" s="35">
        <v>45929</v>
      </c>
      <c r="C30" s="7" t="s">
        <v>7</v>
      </c>
      <c r="D30" s="180" t="s">
        <v>498</v>
      </c>
      <c r="E30" s="15" t="s">
        <v>776</v>
      </c>
      <c r="F30" s="111"/>
      <c r="G30" s="36">
        <v>899.73</v>
      </c>
      <c r="H30" s="34"/>
    </row>
    <row r="31" spans="1:10" x14ac:dyDescent="0.2">
      <c r="A31" s="162"/>
      <c r="B31" s="35">
        <v>45930</v>
      </c>
      <c r="C31" s="7" t="s">
        <v>7</v>
      </c>
      <c r="D31" s="180" t="s">
        <v>510</v>
      </c>
      <c r="E31" s="15" t="s">
        <v>785</v>
      </c>
      <c r="F31" s="111"/>
      <c r="G31" s="36">
        <v>1735.36</v>
      </c>
      <c r="H31" s="34"/>
    </row>
    <row r="32" spans="1:10" x14ac:dyDescent="0.2">
      <c r="A32" s="162"/>
      <c r="B32" s="35">
        <v>45930</v>
      </c>
      <c r="C32" s="7" t="s">
        <v>7</v>
      </c>
      <c r="D32" s="180" t="s">
        <v>510</v>
      </c>
      <c r="E32" s="15" t="s">
        <v>786</v>
      </c>
      <c r="F32" s="111"/>
      <c r="G32" s="36">
        <v>3495</v>
      </c>
      <c r="H32" s="34"/>
    </row>
    <row r="33" spans="1:10" x14ac:dyDescent="0.2">
      <c r="A33" s="162"/>
      <c r="B33" s="35">
        <v>45930</v>
      </c>
      <c r="C33" s="7" t="s">
        <v>7</v>
      </c>
      <c r="D33" s="180" t="s">
        <v>510</v>
      </c>
      <c r="E33" s="15" t="s">
        <v>787</v>
      </c>
      <c r="F33" s="111"/>
      <c r="G33" s="36">
        <v>977</v>
      </c>
      <c r="H33" s="34"/>
    </row>
    <row r="34" spans="1:10" x14ac:dyDescent="0.2">
      <c r="A34" s="162"/>
      <c r="B34" s="35">
        <v>45930</v>
      </c>
      <c r="C34" s="7" t="s">
        <v>7</v>
      </c>
      <c r="D34" s="180" t="s">
        <v>510</v>
      </c>
      <c r="E34" s="15" t="s">
        <v>788</v>
      </c>
      <c r="F34" s="111"/>
      <c r="G34" s="36">
        <v>914.98</v>
      </c>
      <c r="H34" s="34"/>
    </row>
    <row r="35" spans="1:10" x14ac:dyDescent="0.2">
      <c r="A35" s="162"/>
      <c r="B35" s="35">
        <v>45930</v>
      </c>
      <c r="C35" s="7" t="s">
        <v>7</v>
      </c>
      <c r="D35" s="180" t="s">
        <v>510</v>
      </c>
      <c r="E35" s="15" t="s">
        <v>792</v>
      </c>
      <c r="F35" s="111"/>
      <c r="G35" s="36">
        <v>918.72</v>
      </c>
      <c r="H35" s="34"/>
    </row>
    <row r="36" spans="1:10" x14ac:dyDescent="0.2">
      <c r="A36" s="162"/>
      <c r="B36" s="35">
        <v>45930</v>
      </c>
      <c r="C36" s="7" t="s">
        <v>7</v>
      </c>
      <c r="D36" s="180" t="s">
        <v>513</v>
      </c>
      <c r="E36" s="15" t="s">
        <v>793</v>
      </c>
      <c r="F36" s="111"/>
      <c r="G36" s="36">
        <v>270</v>
      </c>
      <c r="H36" s="34"/>
    </row>
    <row r="37" spans="1:10" x14ac:dyDescent="0.2">
      <c r="A37" s="162"/>
      <c r="B37" s="166"/>
      <c r="D37" s="136"/>
      <c r="F37" s="137"/>
      <c r="G37" s="138"/>
      <c r="H37" s="69"/>
    </row>
    <row r="38" spans="1:10" x14ac:dyDescent="0.2">
      <c r="A38" s="162"/>
      <c r="B38" s="167"/>
      <c r="C38" s="66"/>
      <c r="D38" s="67"/>
      <c r="E38" s="68"/>
      <c r="F38" s="139" t="s">
        <v>15</v>
      </c>
      <c r="G38" s="140">
        <f>SUM(G27:G37)</f>
        <v>11398.569999999998</v>
      </c>
      <c r="H38" s="69"/>
      <c r="I38" s="82"/>
      <c r="J38" s="82"/>
    </row>
    <row r="39" spans="1:10" x14ac:dyDescent="0.2">
      <c r="A39" s="162"/>
      <c r="B39" s="111"/>
      <c r="C39" s="111"/>
      <c r="D39" s="7"/>
      <c r="F39" s="139"/>
      <c r="G39" s="141"/>
      <c r="H39" s="109"/>
    </row>
    <row r="40" spans="1:10" x14ac:dyDescent="0.2">
      <c r="A40" s="162"/>
      <c r="B40" s="142" t="s">
        <v>16</v>
      </c>
      <c r="C40" s="142"/>
      <c r="D40" s="136"/>
      <c r="F40" s="129"/>
      <c r="G40" s="130"/>
      <c r="H40" s="69"/>
    </row>
    <row r="41" spans="1:10" x14ac:dyDescent="0.2">
      <c r="A41" s="162"/>
      <c r="B41" s="142"/>
      <c r="C41" s="142"/>
      <c r="D41" s="136"/>
      <c r="F41" s="129"/>
      <c r="G41" s="130"/>
      <c r="H41" s="69"/>
    </row>
    <row r="42" spans="1:10" x14ac:dyDescent="0.2">
      <c r="A42" s="162"/>
      <c r="B42" s="35"/>
      <c r="C42" s="7"/>
      <c r="D42" s="170"/>
      <c r="E42" s="15"/>
      <c r="F42" s="129"/>
      <c r="G42" s="36"/>
      <c r="H42" s="69"/>
    </row>
    <row r="43" spans="1:10" x14ac:dyDescent="0.2">
      <c r="A43" s="162"/>
      <c r="B43" s="142" t="s">
        <v>17</v>
      </c>
      <c r="C43" s="7"/>
      <c r="D43" s="182" t="s">
        <v>795</v>
      </c>
      <c r="E43" s="15"/>
      <c r="F43" s="129"/>
      <c r="G43" s="36"/>
      <c r="H43" s="69"/>
    </row>
    <row r="44" spans="1:10" x14ac:dyDescent="0.2">
      <c r="A44" s="162"/>
      <c r="B44" s="35"/>
      <c r="C44" s="7"/>
      <c r="D44" s="170"/>
      <c r="E44" s="15"/>
      <c r="F44" s="129"/>
      <c r="G44" s="36"/>
      <c r="H44" s="69"/>
    </row>
    <row r="45" spans="1:10" x14ac:dyDescent="0.2">
      <c r="A45" s="162"/>
      <c r="B45" s="35">
        <v>45923</v>
      </c>
      <c r="C45" s="190" t="s">
        <v>5</v>
      </c>
      <c r="D45" s="170" t="s">
        <v>467</v>
      </c>
      <c r="E45" s="15" t="s">
        <v>121</v>
      </c>
      <c r="F45" s="129"/>
      <c r="G45" s="36">
        <v>-63</v>
      </c>
      <c r="H45" s="69"/>
    </row>
    <row r="46" spans="1:10" x14ac:dyDescent="0.2">
      <c r="A46" s="162"/>
      <c r="B46" s="35">
        <v>45926</v>
      </c>
      <c r="C46" s="190" t="s">
        <v>5</v>
      </c>
      <c r="D46" s="170" t="s">
        <v>482</v>
      </c>
      <c r="E46" s="15" t="s">
        <v>140</v>
      </c>
      <c r="F46" s="129"/>
      <c r="G46" s="36">
        <v>-8358.5</v>
      </c>
      <c r="H46" s="69"/>
    </row>
    <row r="47" spans="1:10" x14ac:dyDescent="0.2">
      <c r="A47" s="162"/>
      <c r="B47" s="35">
        <v>45929</v>
      </c>
      <c r="C47" s="190" t="s">
        <v>5</v>
      </c>
      <c r="D47" s="170" t="s">
        <v>495</v>
      </c>
      <c r="E47" s="15" t="s">
        <v>21</v>
      </c>
      <c r="F47" s="129"/>
      <c r="G47" s="36">
        <v>-123.95</v>
      </c>
      <c r="H47" s="69"/>
    </row>
    <row r="48" spans="1:10" x14ac:dyDescent="0.2">
      <c r="A48" s="162"/>
      <c r="B48" s="35">
        <v>45930</v>
      </c>
      <c r="C48" s="190" t="s">
        <v>5</v>
      </c>
      <c r="D48" s="170" t="s">
        <v>503</v>
      </c>
      <c r="E48" s="15" t="s">
        <v>546</v>
      </c>
      <c r="F48" s="129"/>
      <c r="G48" s="36">
        <v>-445.75</v>
      </c>
      <c r="H48" s="69"/>
    </row>
    <row r="49" spans="1:8" s="85" customFormat="1" x14ac:dyDescent="0.2">
      <c r="A49" s="162"/>
      <c r="B49" s="35">
        <v>45930</v>
      </c>
      <c r="C49" s="190" t="s">
        <v>5</v>
      </c>
      <c r="D49" s="170" t="s">
        <v>505</v>
      </c>
      <c r="E49" s="12" t="s">
        <v>534</v>
      </c>
      <c r="G49" s="36">
        <v>-1027.5</v>
      </c>
      <c r="H49" s="69"/>
    </row>
    <row r="50" spans="1:8" s="85" customFormat="1" x14ac:dyDescent="0.2">
      <c r="A50" s="162"/>
      <c r="B50" s="35">
        <v>45930</v>
      </c>
      <c r="C50" s="190" t="s">
        <v>5</v>
      </c>
      <c r="D50" s="170" t="s">
        <v>507</v>
      </c>
      <c r="E50" s="12" t="s">
        <v>517</v>
      </c>
      <c r="G50" s="36">
        <v>-29.82</v>
      </c>
      <c r="H50" s="69"/>
    </row>
    <row r="51" spans="1:8" s="85" customFormat="1" x14ac:dyDescent="0.2">
      <c r="A51" s="162"/>
      <c r="B51" s="35">
        <v>45930</v>
      </c>
      <c r="C51" s="190" t="s">
        <v>5</v>
      </c>
      <c r="D51" s="170" t="s">
        <v>508</v>
      </c>
      <c r="E51" s="12" t="s">
        <v>127</v>
      </c>
      <c r="G51" s="36">
        <v>-193875.17</v>
      </c>
      <c r="H51" s="69"/>
    </row>
    <row r="52" spans="1:8" s="85" customFormat="1" x14ac:dyDescent="0.2">
      <c r="A52" s="162"/>
      <c r="B52" s="35">
        <v>45930</v>
      </c>
      <c r="C52" s="190" t="s">
        <v>5</v>
      </c>
      <c r="D52" s="170" t="s">
        <v>511</v>
      </c>
      <c r="E52" s="12" t="s">
        <v>548</v>
      </c>
      <c r="G52" s="36">
        <v>-22690.01</v>
      </c>
      <c r="H52" s="69"/>
    </row>
    <row r="53" spans="1:8" s="85" customFormat="1" x14ac:dyDescent="0.2">
      <c r="A53" s="162"/>
      <c r="B53" s="35">
        <v>45930</v>
      </c>
      <c r="C53" s="190" t="s">
        <v>5</v>
      </c>
      <c r="D53" s="170" t="s">
        <v>515</v>
      </c>
      <c r="E53" s="12" t="s">
        <v>549</v>
      </c>
      <c r="G53" s="36">
        <v>-17770.599999999999</v>
      </c>
      <c r="H53" s="69"/>
    </row>
    <row r="54" spans="1:8" s="85" customFormat="1" x14ac:dyDescent="0.2">
      <c r="A54" s="162"/>
      <c r="B54" s="35"/>
      <c r="C54" s="7"/>
      <c r="D54" s="170"/>
      <c r="E54" s="15"/>
      <c r="F54" s="129"/>
      <c r="G54" s="36"/>
      <c r="H54" s="69"/>
    </row>
    <row r="55" spans="1:8" x14ac:dyDescent="0.2">
      <c r="B55" s="133"/>
      <c r="C55" s="111"/>
      <c r="D55" s="7"/>
      <c r="F55" s="139" t="s">
        <v>15</v>
      </c>
      <c r="G55" s="140">
        <f>SUM(G45:G54)</f>
        <v>-244384.30000000002</v>
      </c>
      <c r="H55" s="69"/>
    </row>
    <row r="56" spans="1:8" x14ac:dyDescent="0.2">
      <c r="B56" s="116"/>
      <c r="C56" s="111"/>
      <c r="F56" s="145"/>
      <c r="G56" s="112"/>
      <c r="H56" s="109"/>
    </row>
    <row r="57" spans="1:8" x14ac:dyDescent="0.2">
      <c r="B57" s="146"/>
      <c r="C57" s="147"/>
      <c r="F57" s="139" t="s">
        <v>22</v>
      </c>
      <c r="G57" s="148">
        <f>SUM(G55+G38)</f>
        <v>-232985.73</v>
      </c>
      <c r="H57" s="34"/>
    </row>
    <row r="58" spans="1:8" x14ac:dyDescent="0.2">
      <c r="B58" s="98"/>
      <c r="C58" s="99"/>
      <c r="D58" s="67"/>
      <c r="E58" s="149"/>
      <c r="F58" s="149"/>
      <c r="G58" s="120"/>
      <c r="H58" s="69"/>
    </row>
    <row r="59" spans="1:8" x14ac:dyDescent="0.2">
      <c r="B59" s="98"/>
      <c r="C59" s="99"/>
      <c r="D59" s="67"/>
      <c r="F59" s="150" t="s">
        <v>23</v>
      </c>
      <c r="G59" s="101"/>
      <c r="H59" s="151">
        <f>+H22-G57</f>
        <v>455713.94</v>
      </c>
    </row>
    <row r="60" spans="1:8" x14ac:dyDescent="0.2">
      <c r="B60" s="98"/>
      <c r="C60" s="99"/>
      <c r="D60" s="67"/>
      <c r="F60" s="150"/>
      <c r="G60" s="101"/>
      <c r="H60" s="69"/>
    </row>
    <row r="61" spans="1:8" ht="13.5" thickBot="1" x14ac:dyDescent="0.25">
      <c r="B61" s="98"/>
      <c r="C61" s="99"/>
      <c r="D61" s="67"/>
      <c r="F61" s="150" t="s">
        <v>24</v>
      </c>
      <c r="G61" s="101"/>
      <c r="H61" s="184">
        <f>+H18-H59</f>
        <v>0</v>
      </c>
    </row>
    <row r="62" spans="1:8" ht="14.25" thickTop="1" thickBot="1" x14ac:dyDescent="0.25">
      <c r="B62" s="153"/>
      <c r="C62" s="154"/>
      <c r="D62" s="155"/>
      <c r="E62" s="156"/>
      <c r="F62" s="156"/>
      <c r="G62" s="157"/>
      <c r="H62" s="158"/>
    </row>
  </sheetData>
  <mergeCells count="3">
    <mergeCell ref="B2:H2"/>
    <mergeCell ref="B3:H3"/>
    <mergeCell ref="B4:H4"/>
  </mergeCells>
  <printOptions horizontalCentered="1"/>
  <pageMargins left="0.25" right="0.25" top="0.75" bottom="0.75" header="0.3" footer="0.3"/>
  <pageSetup scale="45" orientation="portrait" horizontalDpi="300" verticalDpi="300" r:id="rId1"/>
  <headerFooter>
    <oddFooter>&amp;C&amp;P of &amp;N&amp;R&amp;D</oddFooter>
  </headerFooter>
  <ignoredErrors>
    <ignoredError sqref="D45:D46 D47:D48 D49:D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0"/>
  <sheetViews>
    <sheetView showGridLines="0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3.1640625" style="83" bestFit="1" customWidth="1"/>
    <col min="5" max="5" width="41.33203125" style="81" customWidth="1"/>
    <col min="6" max="6" width="40.33203125" style="81" bestFit="1" customWidth="1"/>
    <col min="7" max="8" width="16.6640625" style="84" bestFit="1" customWidth="1"/>
    <col min="9" max="9" width="53" style="85" customWidth="1"/>
    <col min="10" max="16384" width="9.33203125" style="81"/>
  </cols>
  <sheetData>
    <row r="1" spans="1:10" ht="13.5" thickBot="1" x14ac:dyDescent="0.25"/>
    <row r="2" spans="1:10" ht="13.5" thickBot="1" x14ac:dyDescent="0.25">
      <c r="B2" s="225" t="s">
        <v>0</v>
      </c>
      <c r="C2" s="226"/>
      <c r="D2" s="226"/>
      <c r="E2" s="226"/>
      <c r="F2" s="226"/>
      <c r="G2" s="226"/>
      <c r="H2" s="227"/>
    </row>
    <row r="3" spans="1:10" ht="13.5" thickBot="1" x14ac:dyDescent="0.25">
      <c r="B3" s="228" t="s">
        <v>1</v>
      </c>
      <c r="C3" s="229"/>
      <c r="D3" s="229"/>
      <c r="E3" s="229"/>
      <c r="F3" s="229"/>
      <c r="G3" s="229"/>
      <c r="H3" s="230"/>
    </row>
    <row r="4" spans="1:10" ht="13.5" thickBot="1" x14ac:dyDescent="0.25">
      <c r="B4" s="231">
        <v>45261</v>
      </c>
      <c r="C4" s="229"/>
      <c r="D4" s="229"/>
      <c r="E4" s="229"/>
      <c r="F4" s="229"/>
      <c r="G4" s="229"/>
      <c r="H4" s="230"/>
    </row>
    <row r="5" spans="1:10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10" x14ac:dyDescent="0.2">
      <c r="B6" s="92"/>
      <c r="C6" s="93"/>
      <c r="D6" s="94"/>
      <c r="E6" s="95"/>
      <c r="F6" s="95"/>
      <c r="G6" s="96"/>
      <c r="H6" s="97"/>
    </row>
    <row r="7" spans="1:10" x14ac:dyDescent="0.2">
      <c r="B7" s="98"/>
      <c r="C7" s="99"/>
      <c r="D7" s="67"/>
      <c r="F7" s="100" t="s">
        <v>3</v>
      </c>
      <c r="G7" s="101"/>
      <c r="H7" s="102">
        <v>0</v>
      </c>
      <c r="I7" s="103"/>
    </row>
    <row r="8" spans="1:10" x14ac:dyDescent="0.2">
      <c r="B8" s="98"/>
      <c r="C8" s="99"/>
      <c r="D8" s="67"/>
      <c r="E8" s="100"/>
      <c r="F8" s="100"/>
      <c r="G8" s="101"/>
      <c r="H8" s="104"/>
    </row>
    <row r="9" spans="1:10" x14ac:dyDescent="0.2">
      <c r="B9" s="105" t="s">
        <v>4</v>
      </c>
      <c r="C9" s="106"/>
      <c r="D9" s="107"/>
      <c r="E9" s="99"/>
      <c r="F9" s="99"/>
      <c r="G9" s="108"/>
      <c r="H9" s="109"/>
    </row>
    <row r="10" spans="1:10" x14ac:dyDescent="0.2">
      <c r="B10" s="105"/>
      <c r="C10" s="106"/>
      <c r="D10" s="107"/>
      <c r="E10" s="99"/>
      <c r="F10" s="99"/>
      <c r="G10" s="108"/>
      <c r="H10" s="109"/>
    </row>
    <row r="11" spans="1:10" x14ac:dyDescent="0.2">
      <c r="A11" s="162"/>
      <c r="B11" s="171" t="s">
        <v>25</v>
      </c>
      <c r="C11" s="172" t="s">
        <v>7</v>
      </c>
      <c r="D11" s="173"/>
      <c r="E11" s="174" t="s">
        <v>26</v>
      </c>
      <c r="F11" s="175"/>
      <c r="G11" s="176">
        <v>240</v>
      </c>
      <c r="H11" s="34"/>
      <c r="I11" s="85" t="s">
        <v>27</v>
      </c>
      <c r="J11" s="84">
        <f>G11+G12</f>
        <v>720</v>
      </c>
    </row>
    <row r="12" spans="1:10" x14ac:dyDescent="0.2">
      <c r="A12" s="162"/>
      <c r="B12" s="171" t="s">
        <v>28</v>
      </c>
      <c r="C12" s="172" t="s">
        <v>7</v>
      </c>
      <c r="D12" s="173"/>
      <c r="E12" s="174" t="s">
        <v>29</v>
      </c>
      <c r="F12" s="175"/>
      <c r="G12" s="176">
        <v>480</v>
      </c>
      <c r="H12" s="34"/>
      <c r="I12" s="85" t="s">
        <v>27</v>
      </c>
    </row>
    <row r="13" spans="1:10" x14ac:dyDescent="0.2">
      <c r="A13" s="162"/>
      <c r="B13" s="168"/>
      <c r="C13" s="7"/>
      <c r="D13" s="67"/>
      <c r="E13" s="99"/>
      <c r="F13" s="99"/>
      <c r="G13" s="108"/>
      <c r="H13" s="109"/>
    </row>
    <row r="14" spans="1:10" x14ac:dyDescent="0.2">
      <c r="B14" s="110" t="s">
        <v>6</v>
      </c>
      <c r="C14" s="7"/>
      <c r="D14" s="7"/>
      <c r="E14" s="111"/>
      <c r="F14" s="111"/>
      <c r="G14" s="112"/>
      <c r="H14" s="34"/>
    </row>
    <row r="15" spans="1:10" x14ac:dyDescent="0.2">
      <c r="B15" s="113"/>
      <c r="C15" s="7"/>
      <c r="E15" s="111"/>
      <c r="F15" s="111"/>
      <c r="G15" s="112"/>
      <c r="H15" s="34"/>
    </row>
    <row r="16" spans="1:10" x14ac:dyDescent="0.2">
      <c r="B16" s="113" t="s">
        <v>30</v>
      </c>
      <c r="C16" s="7" t="s">
        <v>5</v>
      </c>
      <c r="E16" s="24" t="s">
        <v>8</v>
      </c>
      <c r="F16" s="111"/>
      <c r="G16" s="32">
        <v>-554688.4</v>
      </c>
      <c r="H16" s="34"/>
    </row>
    <row r="17" spans="1:10" x14ac:dyDescent="0.2">
      <c r="B17" s="113"/>
      <c r="C17" s="7"/>
      <c r="E17" s="111"/>
      <c r="F17" s="111"/>
      <c r="G17" s="112"/>
      <c r="H17" s="34"/>
    </row>
    <row r="18" spans="1:10" x14ac:dyDescent="0.2">
      <c r="B18" s="113"/>
      <c r="C18" s="111"/>
      <c r="E18" s="111"/>
      <c r="F18" s="100" t="s">
        <v>9</v>
      </c>
      <c r="G18" s="114"/>
      <c r="H18" s="115">
        <f>SUM(G11:G16)</f>
        <v>-553968.4</v>
      </c>
    </row>
    <row r="19" spans="1:10" x14ac:dyDescent="0.2">
      <c r="B19" s="116"/>
      <c r="C19" s="111"/>
      <c r="E19" s="99"/>
      <c r="F19" s="100"/>
      <c r="G19" s="108"/>
      <c r="H19" s="109"/>
    </row>
    <row r="20" spans="1:10" ht="13.5" thickBot="1" x14ac:dyDescent="0.25">
      <c r="B20" s="98"/>
      <c r="C20" s="99"/>
      <c r="E20" s="117"/>
      <c r="F20" s="118" t="s">
        <v>10</v>
      </c>
      <c r="G20" s="101"/>
      <c r="H20" s="119">
        <f>+H7-H18</f>
        <v>553968.4</v>
      </c>
    </row>
    <row r="21" spans="1:10" ht="14.25" thickTop="1" thickBot="1" x14ac:dyDescent="0.25">
      <c r="B21" s="98"/>
      <c r="C21" s="99"/>
      <c r="D21" s="67"/>
      <c r="E21" s="99"/>
      <c r="F21" s="99"/>
      <c r="G21" s="120"/>
      <c r="H21" s="69"/>
    </row>
    <row r="22" spans="1:10" ht="13.5" thickBot="1" x14ac:dyDescent="0.25">
      <c r="B22" s="121" t="s">
        <v>11</v>
      </c>
      <c r="C22" s="122"/>
      <c r="D22" s="123"/>
      <c r="E22" s="89"/>
      <c r="F22" s="89"/>
      <c r="G22" s="124"/>
      <c r="H22" s="125"/>
    </row>
    <row r="23" spans="1:10" x14ac:dyDescent="0.2">
      <c r="B23" s="126"/>
      <c r="C23" s="127"/>
      <c r="D23" s="128"/>
      <c r="E23" s="95"/>
      <c r="F23" s="95"/>
      <c r="G23" s="96"/>
      <c r="H23" s="97"/>
    </row>
    <row r="24" spans="1:10" x14ac:dyDescent="0.2">
      <c r="B24" s="98"/>
      <c r="C24" s="99"/>
      <c r="D24" s="67"/>
      <c r="F24" s="100" t="s">
        <v>12</v>
      </c>
      <c r="G24" s="101"/>
      <c r="H24" s="102">
        <f>+GL!I318</f>
        <v>222728.21</v>
      </c>
      <c r="I24" s="169"/>
    </row>
    <row r="25" spans="1:10" x14ac:dyDescent="0.2">
      <c r="B25" s="116"/>
      <c r="C25" s="111"/>
      <c r="D25" s="7"/>
      <c r="E25" s="129"/>
      <c r="F25"/>
      <c r="G25" s="130"/>
      <c r="H25" s="69"/>
    </row>
    <row r="26" spans="1:10" x14ac:dyDescent="0.2">
      <c r="B26" s="131" t="s">
        <v>13</v>
      </c>
      <c r="C26" s="111"/>
      <c r="D26" s="7"/>
      <c r="F26"/>
      <c r="G26" s="130"/>
      <c r="H26" s="69"/>
    </row>
    <row r="27" spans="1:10" x14ac:dyDescent="0.2">
      <c r="B27" s="134"/>
      <c r="C27" s="7"/>
      <c r="E27" s="111"/>
      <c r="F27" s="111"/>
      <c r="G27" s="112"/>
      <c r="H27" s="34"/>
    </row>
    <row r="28" spans="1:10" x14ac:dyDescent="0.2">
      <c r="A28" s="162"/>
      <c r="B28" s="177">
        <v>45126</v>
      </c>
      <c r="C28" s="172" t="s">
        <v>7</v>
      </c>
      <c r="D28" s="181" t="s">
        <v>31</v>
      </c>
      <c r="E28" s="178" t="s">
        <v>32</v>
      </c>
      <c r="F28" s="175"/>
      <c r="G28" s="179">
        <v>30</v>
      </c>
      <c r="H28" s="34"/>
      <c r="I28" s="85" t="s">
        <v>33</v>
      </c>
      <c r="J28" s="84">
        <f>SUM(G28:G37)</f>
        <v>660</v>
      </c>
    </row>
    <row r="29" spans="1:10" x14ac:dyDescent="0.2">
      <c r="A29" s="162"/>
      <c r="B29" s="177">
        <v>45127</v>
      </c>
      <c r="C29" s="172" t="s">
        <v>7</v>
      </c>
      <c r="D29" s="181" t="s">
        <v>34</v>
      </c>
      <c r="E29" s="178" t="s">
        <v>35</v>
      </c>
      <c r="F29" s="175"/>
      <c r="G29" s="179">
        <v>30</v>
      </c>
      <c r="H29" s="34"/>
      <c r="I29" s="85" t="s">
        <v>33</v>
      </c>
    </row>
    <row r="30" spans="1:10" x14ac:dyDescent="0.2">
      <c r="A30" s="162"/>
      <c r="B30" s="177">
        <v>45133</v>
      </c>
      <c r="C30" s="172" t="s">
        <v>7</v>
      </c>
      <c r="D30" s="181" t="s">
        <v>36</v>
      </c>
      <c r="E30" s="178" t="s">
        <v>37</v>
      </c>
      <c r="F30" s="175"/>
      <c r="G30" s="179">
        <v>60</v>
      </c>
      <c r="H30" s="34"/>
      <c r="I30" s="85" t="s">
        <v>33</v>
      </c>
    </row>
    <row r="31" spans="1:10" x14ac:dyDescent="0.2">
      <c r="A31" s="162"/>
      <c r="B31" s="177">
        <v>45140</v>
      </c>
      <c r="C31" s="172" t="s">
        <v>7</v>
      </c>
      <c r="D31" s="181" t="s">
        <v>38</v>
      </c>
      <c r="E31" s="178" t="s">
        <v>39</v>
      </c>
      <c r="F31" s="175"/>
      <c r="G31" s="179">
        <v>60</v>
      </c>
      <c r="H31" s="34"/>
      <c r="I31" s="85" t="s">
        <v>33</v>
      </c>
    </row>
    <row r="32" spans="1:10" x14ac:dyDescent="0.2">
      <c r="A32" s="162"/>
      <c r="B32" s="177">
        <v>45147</v>
      </c>
      <c r="C32" s="172" t="s">
        <v>7</v>
      </c>
      <c r="D32" s="181" t="s">
        <v>40</v>
      </c>
      <c r="E32" s="178" t="s">
        <v>41</v>
      </c>
      <c r="F32" s="175"/>
      <c r="G32" s="179">
        <v>120</v>
      </c>
      <c r="H32" s="34"/>
      <c r="I32" s="85" t="s">
        <v>33</v>
      </c>
    </row>
    <row r="33" spans="1:9" x14ac:dyDescent="0.2">
      <c r="A33" s="162"/>
      <c r="B33" s="177">
        <v>45155</v>
      </c>
      <c r="C33" s="172" t="s">
        <v>7</v>
      </c>
      <c r="D33" s="181" t="s">
        <v>42</v>
      </c>
      <c r="E33" s="178" t="s">
        <v>43</v>
      </c>
      <c r="F33" s="175"/>
      <c r="G33" s="179">
        <v>180</v>
      </c>
      <c r="H33" s="34"/>
      <c r="I33" s="85" t="s">
        <v>33</v>
      </c>
    </row>
    <row r="34" spans="1:9" x14ac:dyDescent="0.2">
      <c r="A34" s="162"/>
      <c r="B34" s="177">
        <v>45162</v>
      </c>
      <c r="C34" s="172" t="s">
        <v>7</v>
      </c>
      <c r="D34" s="181" t="s">
        <v>44</v>
      </c>
      <c r="E34" s="178" t="s">
        <v>45</v>
      </c>
      <c r="F34" s="175"/>
      <c r="G34" s="179">
        <v>30</v>
      </c>
      <c r="H34" s="34"/>
      <c r="I34" s="85" t="s">
        <v>33</v>
      </c>
    </row>
    <row r="35" spans="1:9" x14ac:dyDescent="0.2">
      <c r="A35" s="162"/>
      <c r="B35" s="177">
        <v>45182</v>
      </c>
      <c r="C35" s="172" t="s">
        <v>7</v>
      </c>
      <c r="D35" s="181" t="s">
        <v>46</v>
      </c>
      <c r="E35" s="178" t="s">
        <v>47</v>
      </c>
      <c r="F35" s="175"/>
      <c r="G35" s="179">
        <v>60</v>
      </c>
      <c r="H35" s="34"/>
      <c r="I35" s="85" t="s">
        <v>33</v>
      </c>
    </row>
    <row r="36" spans="1:9" x14ac:dyDescent="0.2">
      <c r="A36" s="162"/>
      <c r="B36" s="177">
        <v>45224</v>
      </c>
      <c r="C36" s="172" t="s">
        <v>7</v>
      </c>
      <c r="D36" s="181" t="s">
        <v>48</v>
      </c>
      <c r="E36" s="178" t="s">
        <v>49</v>
      </c>
      <c r="F36" s="175"/>
      <c r="G36" s="179">
        <v>60</v>
      </c>
      <c r="H36" s="34"/>
      <c r="I36" s="85" t="s">
        <v>33</v>
      </c>
    </row>
    <row r="37" spans="1:9" x14ac:dyDescent="0.2">
      <c r="A37" s="162"/>
      <c r="B37" s="177">
        <v>45230</v>
      </c>
      <c r="C37" s="172" t="s">
        <v>7</v>
      </c>
      <c r="D37" s="181" t="s">
        <v>50</v>
      </c>
      <c r="E37" s="178" t="s">
        <v>51</v>
      </c>
      <c r="F37" s="175"/>
      <c r="G37" s="179">
        <v>30</v>
      </c>
      <c r="H37" s="34"/>
      <c r="I37" s="85" t="s">
        <v>33</v>
      </c>
    </row>
    <row r="38" spans="1:9" x14ac:dyDescent="0.2">
      <c r="A38" s="162"/>
      <c r="B38" s="35">
        <v>45288</v>
      </c>
      <c r="C38" s="7" t="s">
        <v>7</v>
      </c>
      <c r="D38" s="180" t="s">
        <v>52</v>
      </c>
      <c r="E38" s="12" t="s">
        <v>53</v>
      </c>
      <c r="F38" s="129"/>
      <c r="G38" s="36">
        <v>841.51</v>
      </c>
      <c r="H38" s="69"/>
      <c r="I38" s="85" t="s">
        <v>54</v>
      </c>
    </row>
    <row r="39" spans="1:9" x14ac:dyDescent="0.2">
      <c r="A39" s="162"/>
      <c r="B39" s="35">
        <v>45291</v>
      </c>
      <c r="C39" s="7" t="s">
        <v>7</v>
      </c>
      <c r="D39" s="180" t="s">
        <v>55</v>
      </c>
      <c r="E39" s="12" t="s">
        <v>56</v>
      </c>
      <c r="F39" s="129"/>
      <c r="G39" s="36">
        <v>675</v>
      </c>
      <c r="H39" s="69"/>
      <c r="I39" s="85" t="s">
        <v>54</v>
      </c>
    </row>
    <row r="40" spans="1:9" x14ac:dyDescent="0.2">
      <c r="A40" s="162"/>
      <c r="B40" s="35">
        <v>45291</v>
      </c>
      <c r="C40" s="7" t="s">
        <v>7</v>
      </c>
      <c r="D40" s="180" t="s">
        <v>55</v>
      </c>
      <c r="E40" s="12" t="s">
        <v>57</v>
      </c>
      <c r="F40" s="129"/>
      <c r="G40" s="36">
        <v>3590</v>
      </c>
      <c r="H40" s="69"/>
      <c r="I40" s="85" t="s">
        <v>54</v>
      </c>
    </row>
    <row r="41" spans="1:9" x14ac:dyDescent="0.2">
      <c r="A41" s="162"/>
      <c r="B41" s="35">
        <v>45291</v>
      </c>
      <c r="C41" s="7" t="s">
        <v>7</v>
      </c>
      <c r="D41" s="180" t="s">
        <v>55</v>
      </c>
      <c r="E41" s="12" t="s">
        <v>58</v>
      </c>
      <c r="F41" s="129"/>
      <c r="G41" s="36">
        <v>3.92</v>
      </c>
      <c r="H41" s="69"/>
      <c r="I41" s="85" t="s">
        <v>54</v>
      </c>
    </row>
    <row r="42" spans="1:9" x14ac:dyDescent="0.2">
      <c r="A42" s="162"/>
      <c r="B42" s="35">
        <v>45289</v>
      </c>
      <c r="C42" s="7" t="s">
        <v>7</v>
      </c>
      <c r="D42" s="180" t="s">
        <v>59</v>
      </c>
      <c r="E42" s="12" t="s">
        <v>60</v>
      </c>
      <c r="F42" s="129"/>
      <c r="G42" s="36">
        <v>1607.93</v>
      </c>
      <c r="H42" s="69"/>
      <c r="I42" s="85" t="s">
        <v>54</v>
      </c>
    </row>
    <row r="43" spans="1:9" x14ac:dyDescent="0.2">
      <c r="A43" s="162"/>
      <c r="B43" s="35">
        <v>45289</v>
      </c>
      <c r="C43" s="7" t="s">
        <v>7</v>
      </c>
      <c r="D43" s="180" t="s">
        <v>59</v>
      </c>
      <c r="E43" s="12" t="s">
        <v>61</v>
      </c>
      <c r="F43" s="129"/>
      <c r="G43" s="36">
        <v>2821.39</v>
      </c>
      <c r="H43" s="69"/>
      <c r="I43" s="85" t="s">
        <v>54</v>
      </c>
    </row>
    <row r="44" spans="1:9" x14ac:dyDescent="0.2">
      <c r="A44" s="162"/>
      <c r="B44" s="35">
        <v>45289</v>
      </c>
      <c r="C44" s="7" t="s">
        <v>7</v>
      </c>
      <c r="D44" s="180" t="s">
        <v>59</v>
      </c>
      <c r="E44" s="12" t="s">
        <v>62</v>
      </c>
      <c r="F44" s="129"/>
      <c r="G44" s="36">
        <v>2040</v>
      </c>
      <c r="H44" s="69"/>
      <c r="I44" s="85" t="s">
        <v>54</v>
      </c>
    </row>
    <row r="45" spans="1:9" x14ac:dyDescent="0.2">
      <c r="A45" s="162"/>
      <c r="B45" s="35">
        <v>45290</v>
      </c>
      <c r="C45" s="7" t="s">
        <v>7</v>
      </c>
      <c r="D45" s="180" t="s">
        <v>63</v>
      </c>
      <c r="E45" s="12" t="s">
        <v>64</v>
      </c>
      <c r="F45" s="129"/>
      <c r="G45" s="36">
        <v>3280.04</v>
      </c>
      <c r="H45" s="69"/>
      <c r="I45" s="85" t="s">
        <v>54</v>
      </c>
    </row>
    <row r="46" spans="1:9" x14ac:dyDescent="0.2">
      <c r="A46" s="162"/>
      <c r="B46" s="35">
        <v>45291</v>
      </c>
      <c r="C46" s="7" t="s">
        <v>7</v>
      </c>
      <c r="D46" s="180" t="s">
        <v>65</v>
      </c>
      <c r="E46" s="12" t="s">
        <v>66</v>
      </c>
      <c r="F46" s="129"/>
      <c r="G46" s="36">
        <v>270</v>
      </c>
      <c r="H46" s="69"/>
      <c r="I46" s="85" t="s">
        <v>54</v>
      </c>
    </row>
    <row r="47" spans="1:9" x14ac:dyDescent="0.2">
      <c r="A47" s="162"/>
      <c r="B47" s="35">
        <v>45291</v>
      </c>
      <c r="C47" s="7" t="s">
        <v>7</v>
      </c>
      <c r="D47" s="180" t="s">
        <v>67</v>
      </c>
      <c r="E47" s="12" t="s">
        <v>68</v>
      </c>
      <c r="F47" s="129"/>
      <c r="G47" s="36">
        <v>801.51</v>
      </c>
      <c r="H47" s="69"/>
      <c r="I47" s="85" t="s">
        <v>54</v>
      </c>
    </row>
    <row r="48" spans="1:9" x14ac:dyDescent="0.2">
      <c r="A48" s="162"/>
      <c r="B48" s="166"/>
      <c r="D48" s="136"/>
      <c r="F48" s="137"/>
      <c r="G48" s="138"/>
      <c r="H48" s="69"/>
    </row>
    <row r="49" spans="1:9" x14ac:dyDescent="0.2">
      <c r="A49" s="162"/>
      <c r="B49" s="167"/>
      <c r="C49" s="66"/>
      <c r="D49" s="67"/>
      <c r="E49" s="68"/>
      <c r="F49" s="139" t="s">
        <v>15</v>
      </c>
      <c r="G49" s="140">
        <f>SUM(G28:G47)</f>
        <v>16591.3</v>
      </c>
      <c r="H49" s="69"/>
      <c r="I49" s="82"/>
    </row>
    <row r="50" spans="1:9" x14ac:dyDescent="0.2">
      <c r="A50" s="162"/>
      <c r="B50" s="111"/>
      <c r="C50" s="111"/>
      <c r="D50" s="7"/>
      <c r="F50" s="139"/>
      <c r="G50" s="141"/>
      <c r="H50" s="109"/>
    </row>
    <row r="51" spans="1:9" x14ac:dyDescent="0.2">
      <c r="A51" s="162"/>
      <c r="B51" s="142" t="s">
        <v>16</v>
      </c>
      <c r="C51" s="142"/>
      <c r="D51" s="136"/>
      <c r="E51" s="129"/>
      <c r="F51" s="129"/>
      <c r="G51" s="130"/>
      <c r="H51" s="69"/>
    </row>
    <row r="52" spans="1:9" x14ac:dyDescent="0.2">
      <c r="A52" s="162"/>
      <c r="B52" s="142"/>
      <c r="C52" s="142"/>
      <c r="D52" s="136"/>
      <c r="E52" s="129"/>
      <c r="F52" s="129"/>
      <c r="G52" s="130"/>
      <c r="H52" s="69"/>
    </row>
    <row r="53" spans="1:9" x14ac:dyDescent="0.2">
      <c r="A53" s="162"/>
      <c r="B53" s="35">
        <v>45097</v>
      </c>
      <c r="C53" s="7" t="s">
        <v>5</v>
      </c>
      <c r="D53" s="170">
        <v>29657</v>
      </c>
      <c r="E53" s="15" t="s">
        <v>18</v>
      </c>
      <c r="F53" s="129"/>
      <c r="G53" s="36">
        <v>-25.09</v>
      </c>
      <c r="H53" s="69"/>
    </row>
    <row r="54" spans="1:9" x14ac:dyDescent="0.2">
      <c r="A54" s="162"/>
      <c r="B54" s="35">
        <v>45163</v>
      </c>
      <c r="C54" s="7" t="s">
        <v>5</v>
      </c>
      <c r="D54" s="170">
        <v>29765</v>
      </c>
      <c r="E54" s="15" t="s">
        <v>69</v>
      </c>
      <c r="F54" s="129"/>
      <c r="G54" s="36">
        <v>-3.09</v>
      </c>
      <c r="H54" s="69"/>
    </row>
    <row r="55" spans="1:9" x14ac:dyDescent="0.2">
      <c r="A55" s="162"/>
      <c r="B55" s="35">
        <v>45257</v>
      </c>
      <c r="C55" s="7" t="s">
        <v>5</v>
      </c>
      <c r="D55" s="170">
        <v>29904</v>
      </c>
      <c r="E55" s="15" t="s">
        <v>20</v>
      </c>
      <c r="F55" s="129"/>
      <c r="G55" s="36">
        <v>-27000</v>
      </c>
      <c r="H55" s="69"/>
    </row>
    <row r="56" spans="1:9" x14ac:dyDescent="0.2">
      <c r="A56" s="162"/>
      <c r="B56" s="35">
        <v>45271</v>
      </c>
      <c r="C56" s="7" t="s">
        <v>5</v>
      </c>
      <c r="D56" s="170">
        <v>29922</v>
      </c>
      <c r="E56" s="15" t="s">
        <v>70</v>
      </c>
      <c r="F56" s="129"/>
      <c r="G56" s="36">
        <v>-234.14</v>
      </c>
      <c r="H56" s="69"/>
    </row>
    <row r="57" spans="1:9" x14ac:dyDescent="0.2">
      <c r="A57" s="162"/>
      <c r="B57" s="35">
        <v>45275</v>
      </c>
      <c r="C57" s="7" t="s">
        <v>5</v>
      </c>
      <c r="D57" s="170">
        <v>29929</v>
      </c>
      <c r="E57" s="15" t="s">
        <v>70</v>
      </c>
      <c r="F57" s="129"/>
      <c r="G57" s="36">
        <v>-36.979999999999997</v>
      </c>
      <c r="H57" s="69"/>
    </row>
    <row r="58" spans="1:9" x14ac:dyDescent="0.2">
      <c r="A58" s="162"/>
      <c r="B58" s="35">
        <v>45278</v>
      </c>
      <c r="C58" s="7" t="s">
        <v>5</v>
      </c>
      <c r="D58" s="170">
        <v>29930</v>
      </c>
      <c r="E58" s="15" t="s">
        <v>71</v>
      </c>
      <c r="F58" s="129"/>
      <c r="G58" s="36">
        <v>-1004.27</v>
      </c>
      <c r="H58" s="69"/>
    </row>
    <row r="59" spans="1:9" x14ac:dyDescent="0.2">
      <c r="A59" s="162"/>
      <c r="B59" s="35">
        <v>45279</v>
      </c>
      <c r="C59" s="7" t="s">
        <v>5</v>
      </c>
      <c r="D59" s="170">
        <v>29935</v>
      </c>
      <c r="E59" s="15" t="s">
        <v>20</v>
      </c>
      <c r="F59" s="129"/>
      <c r="G59" s="36">
        <v>-3650</v>
      </c>
      <c r="H59" s="69"/>
    </row>
    <row r="60" spans="1:9" x14ac:dyDescent="0.2">
      <c r="A60" s="162"/>
      <c r="B60" s="35">
        <v>45281</v>
      </c>
      <c r="C60" s="7" t="s">
        <v>5</v>
      </c>
      <c r="D60" s="170">
        <v>29936</v>
      </c>
      <c r="E60" s="15" t="s">
        <v>18</v>
      </c>
      <c r="F60" s="129"/>
      <c r="G60" s="36">
        <v>-25.09</v>
      </c>
      <c r="H60" s="69"/>
    </row>
    <row r="61" spans="1:9" x14ac:dyDescent="0.2">
      <c r="A61" s="162"/>
      <c r="B61" s="35">
        <v>45281</v>
      </c>
      <c r="C61" s="7" t="s">
        <v>5</v>
      </c>
      <c r="D61" s="170">
        <v>29939</v>
      </c>
      <c r="E61" s="15" t="s">
        <v>72</v>
      </c>
      <c r="F61" s="129"/>
      <c r="G61" s="36">
        <v>-200</v>
      </c>
      <c r="H61" s="69"/>
    </row>
    <row r="62" spans="1:9" x14ac:dyDescent="0.2">
      <c r="A62" s="162"/>
      <c r="B62" s="35">
        <v>45281</v>
      </c>
      <c r="C62" s="7" t="s">
        <v>5</v>
      </c>
      <c r="D62" s="170">
        <v>29940</v>
      </c>
      <c r="E62" s="15" t="s">
        <v>73</v>
      </c>
      <c r="F62" s="129"/>
      <c r="G62" s="36">
        <v>-497.98</v>
      </c>
      <c r="H62" s="69"/>
    </row>
    <row r="63" spans="1:9" x14ac:dyDescent="0.2">
      <c r="A63" s="162"/>
      <c r="B63" s="35">
        <v>45286</v>
      </c>
      <c r="C63" s="7" t="s">
        <v>5</v>
      </c>
      <c r="D63" s="170">
        <v>29941</v>
      </c>
      <c r="E63" s="15" t="s">
        <v>74</v>
      </c>
      <c r="F63" s="129"/>
      <c r="G63" s="36">
        <v>-1324.74</v>
      </c>
      <c r="H63" s="69"/>
    </row>
    <row r="64" spans="1:9" x14ac:dyDescent="0.2">
      <c r="A64" s="162"/>
      <c r="B64" s="35">
        <v>45286</v>
      </c>
      <c r="C64" s="7" t="s">
        <v>5</v>
      </c>
      <c r="D64" s="170">
        <v>29942</v>
      </c>
      <c r="E64" s="15" t="s">
        <v>74</v>
      </c>
      <c r="F64" s="129"/>
      <c r="G64" s="36">
        <v>-7200</v>
      </c>
      <c r="H64" s="69"/>
    </row>
    <row r="65" spans="1:8" x14ac:dyDescent="0.2">
      <c r="A65" s="162"/>
      <c r="B65" s="35">
        <v>45286</v>
      </c>
      <c r="C65" s="7" t="s">
        <v>5</v>
      </c>
      <c r="D65" s="170">
        <v>29943</v>
      </c>
      <c r="E65" s="15" t="s">
        <v>19</v>
      </c>
      <c r="F65" s="129"/>
      <c r="G65" s="36">
        <v>-1830.24</v>
      </c>
      <c r="H65" s="69"/>
    </row>
    <row r="66" spans="1:8" x14ac:dyDescent="0.2">
      <c r="A66" s="162"/>
      <c r="B66" s="35">
        <v>45286</v>
      </c>
      <c r="C66" s="7" t="s">
        <v>5</v>
      </c>
      <c r="D66" s="170">
        <v>29944</v>
      </c>
      <c r="E66" s="15" t="s">
        <v>19</v>
      </c>
      <c r="F66" s="129"/>
      <c r="G66" s="36">
        <v>-530.6</v>
      </c>
      <c r="H66" s="69"/>
    </row>
    <row r="67" spans="1:8" x14ac:dyDescent="0.2">
      <c r="A67" s="162"/>
      <c r="B67" s="35">
        <v>45286</v>
      </c>
      <c r="C67" s="7" t="s">
        <v>5</v>
      </c>
      <c r="D67" s="170">
        <v>29945</v>
      </c>
      <c r="E67" s="15" t="s">
        <v>19</v>
      </c>
      <c r="F67" s="129"/>
      <c r="G67" s="36">
        <v>-36.14</v>
      </c>
      <c r="H67" s="69"/>
    </row>
    <row r="68" spans="1:8" x14ac:dyDescent="0.2">
      <c r="A68" s="162"/>
      <c r="B68" s="35">
        <v>45286</v>
      </c>
      <c r="C68" s="7" t="s">
        <v>5</v>
      </c>
      <c r="D68" s="170">
        <v>29946</v>
      </c>
      <c r="E68" s="15" t="s">
        <v>19</v>
      </c>
      <c r="F68" s="129"/>
      <c r="G68" s="36">
        <v>-496.34</v>
      </c>
      <c r="H68" s="69"/>
    </row>
    <row r="69" spans="1:8" x14ac:dyDescent="0.2">
      <c r="A69" s="162"/>
      <c r="B69" s="35">
        <v>45286</v>
      </c>
      <c r="C69" s="7" t="s">
        <v>5</v>
      </c>
      <c r="D69" s="170">
        <v>29947</v>
      </c>
      <c r="E69" s="15" t="s">
        <v>19</v>
      </c>
      <c r="F69" s="129"/>
      <c r="G69" s="36">
        <v>-282.48</v>
      </c>
      <c r="H69" s="69"/>
    </row>
    <row r="70" spans="1:8" x14ac:dyDescent="0.2">
      <c r="A70" s="162"/>
      <c r="B70" s="35">
        <v>45286</v>
      </c>
      <c r="C70" s="7" t="s">
        <v>5</v>
      </c>
      <c r="D70" s="170">
        <v>29948</v>
      </c>
      <c r="E70" s="15" t="s">
        <v>71</v>
      </c>
      <c r="F70" s="129"/>
      <c r="G70" s="36">
        <v>-577.35</v>
      </c>
      <c r="H70" s="69"/>
    </row>
    <row r="71" spans="1:8" x14ac:dyDescent="0.2">
      <c r="A71" s="162"/>
      <c r="B71" s="35">
        <v>45288</v>
      </c>
      <c r="C71" s="7" t="s">
        <v>5</v>
      </c>
      <c r="D71" s="170">
        <v>29950</v>
      </c>
      <c r="E71" s="15" t="s">
        <v>19</v>
      </c>
      <c r="F71" s="129"/>
      <c r="G71" s="36">
        <v>-72.739999999999995</v>
      </c>
      <c r="H71" s="69"/>
    </row>
    <row r="72" spans="1:8" x14ac:dyDescent="0.2">
      <c r="A72" s="162"/>
      <c r="B72" s="35">
        <v>45289</v>
      </c>
      <c r="C72" s="7" t="s">
        <v>5</v>
      </c>
      <c r="D72" s="170">
        <v>29951</v>
      </c>
      <c r="E72" s="15" t="s">
        <v>75</v>
      </c>
      <c r="F72" s="129"/>
      <c r="G72" s="36">
        <v>-5409</v>
      </c>
      <c r="H72" s="69"/>
    </row>
    <row r="73" spans="1:8" x14ac:dyDescent="0.2">
      <c r="A73" s="162"/>
      <c r="B73" s="35">
        <v>45289</v>
      </c>
      <c r="C73" s="7" t="s">
        <v>5</v>
      </c>
      <c r="D73" s="170">
        <v>868</v>
      </c>
      <c r="E73" s="15" t="s">
        <v>76</v>
      </c>
      <c r="F73" s="129"/>
      <c r="G73" s="36">
        <v>-37.74</v>
      </c>
      <c r="H73" s="69"/>
    </row>
    <row r="74" spans="1:8" x14ac:dyDescent="0.2">
      <c r="A74" s="162"/>
      <c r="B74" s="35">
        <v>45289</v>
      </c>
      <c r="C74" s="7" t="s">
        <v>5</v>
      </c>
      <c r="D74" s="170">
        <v>869</v>
      </c>
      <c r="E74" s="15" t="s">
        <v>76</v>
      </c>
      <c r="F74" s="129"/>
      <c r="G74" s="36">
        <v>-590</v>
      </c>
      <c r="H74" s="69"/>
    </row>
    <row r="75" spans="1:8" x14ac:dyDescent="0.2">
      <c r="A75" s="162"/>
      <c r="B75" s="35">
        <v>45289</v>
      </c>
      <c r="C75" s="7" t="s">
        <v>5</v>
      </c>
      <c r="D75" s="170">
        <v>870</v>
      </c>
      <c r="E75" s="15" t="s">
        <v>76</v>
      </c>
      <c r="F75" s="129"/>
      <c r="G75" s="36">
        <v>-213.75</v>
      </c>
      <c r="H75" s="69"/>
    </row>
    <row r="76" spans="1:8" x14ac:dyDescent="0.2">
      <c r="A76" s="162"/>
      <c r="B76" s="35">
        <v>45289</v>
      </c>
      <c r="C76" s="7" t="s">
        <v>5</v>
      </c>
      <c r="D76" s="170">
        <v>871</v>
      </c>
      <c r="E76" s="15" t="s">
        <v>76</v>
      </c>
      <c r="F76" s="129"/>
      <c r="G76" s="36">
        <v>-503.91</v>
      </c>
      <c r="H76" s="69"/>
    </row>
    <row r="77" spans="1:8" x14ac:dyDescent="0.2">
      <c r="A77" s="162"/>
      <c r="B77" s="35">
        <v>45289</v>
      </c>
      <c r="C77" s="7" t="s">
        <v>5</v>
      </c>
      <c r="D77" s="170">
        <v>872</v>
      </c>
      <c r="E77" s="15" t="s">
        <v>76</v>
      </c>
      <c r="F77" s="129"/>
      <c r="G77" s="36">
        <v>-158.4</v>
      </c>
      <c r="H77" s="69"/>
    </row>
    <row r="78" spans="1:8" x14ac:dyDescent="0.2">
      <c r="A78" s="162"/>
      <c r="B78" s="35">
        <v>45289</v>
      </c>
      <c r="C78" s="7" t="s">
        <v>5</v>
      </c>
      <c r="D78" s="170">
        <v>29952</v>
      </c>
      <c r="E78" s="15" t="s">
        <v>77</v>
      </c>
      <c r="F78" s="129"/>
      <c r="G78" s="36">
        <v>-12533</v>
      </c>
      <c r="H78" s="69"/>
    </row>
    <row r="79" spans="1:8" x14ac:dyDescent="0.2">
      <c r="A79" s="162"/>
      <c r="B79" s="35">
        <v>45291</v>
      </c>
      <c r="C79" s="7" t="s">
        <v>5</v>
      </c>
      <c r="D79" s="180" t="s">
        <v>78</v>
      </c>
      <c r="E79" s="15" t="s">
        <v>79</v>
      </c>
      <c r="F79" s="129"/>
      <c r="G79" s="36">
        <v>-192697.81</v>
      </c>
      <c r="H79" s="69"/>
    </row>
    <row r="80" spans="1:8" x14ac:dyDescent="0.2">
      <c r="A80" s="162"/>
      <c r="B80" s="35">
        <v>45291</v>
      </c>
      <c r="C80" s="7" t="s">
        <v>5</v>
      </c>
      <c r="D80" s="180" t="s">
        <v>80</v>
      </c>
      <c r="E80" s="15" t="s">
        <v>81</v>
      </c>
      <c r="F80" s="129"/>
      <c r="G80" s="36">
        <v>-19704.66</v>
      </c>
      <c r="H80" s="69"/>
    </row>
    <row r="81" spans="1:9" x14ac:dyDescent="0.2">
      <c r="A81" s="162"/>
      <c r="B81" s="35">
        <v>45291</v>
      </c>
      <c r="C81" s="7" t="s">
        <v>5</v>
      </c>
      <c r="D81" s="180" t="s">
        <v>82</v>
      </c>
      <c r="E81" s="15" t="s">
        <v>83</v>
      </c>
      <c r="F81" s="129"/>
      <c r="G81" s="36">
        <v>-24669.9</v>
      </c>
      <c r="H81" s="69"/>
    </row>
    <row r="82" spans="1:9" x14ac:dyDescent="0.2">
      <c r="B82" s="144"/>
      <c r="C82" s="66"/>
      <c r="D82" s="67"/>
      <c r="E82" s="68"/>
      <c r="G82" s="143"/>
      <c r="H82" s="109"/>
      <c r="I82" s="82"/>
    </row>
    <row r="83" spans="1:9" x14ac:dyDescent="0.2">
      <c r="B83" s="133"/>
      <c r="C83" s="111"/>
      <c r="D83" s="7"/>
      <c r="F83" s="139" t="s">
        <v>15</v>
      </c>
      <c r="G83" s="140">
        <f>SUM(G53:G82)</f>
        <v>-301545.44</v>
      </c>
      <c r="H83" s="69"/>
    </row>
    <row r="84" spans="1:9" x14ac:dyDescent="0.2">
      <c r="B84" s="116"/>
      <c r="C84" s="111"/>
      <c r="F84" s="145"/>
      <c r="G84" s="112"/>
      <c r="H84" s="109"/>
    </row>
    <row r="85" spans="1:9" x14ac:dyDescent="0.2">
      <c r="B85" s="146"/>
      <c r="C85" s="147"/>
      <c r="F85" s="139" t="s">
        <v>22</v>
      </c>
      <c r="G85" s="148">
        <f>SUM(G83+G49)</f>
        <v>-284954.14</v>
      </c>
      <c r="H85" s="34"/>
    </row>
    <row r="86" spans="1:9" x14ac:dyDescent="0.2">
      <c r="B86" s="98"/>
      <c r="C86" s="99"/>
      <c r="D86" s="67"/>
      <c r="E86" s="149"/>
      <c r="F86" s="149"/>
      <c r="G86" s="120"/>
      <c r="H86" s="69"/>
    </row>
    <row r="87" spans="1:9" x14ac:dyDescent="0.2">
      <c r="B87" s="98"/>
      <c r="C87" s="99"/>
      <c r="D87" s="67"/>
      <c r="F87" s="150" t="s">
        <v>23</v>
      </c>
      <c r="G87" s="101"/>
      <c r="H87" s="151">
        <f>+H24-G85</f>
        <v>507682.35</v>
      </c>
    </row>
    <row r="88" spans="1:9" x14ac:dyDescent="0.2">
      <c r="B88" s="98"/>
      <c r="C88" s="99"/>
      <c r="D88" s="67"/>
      <c r="F88" s="150"/>
      <c r="G88" s="101"/>
      <c r="H88" s="69"/>
    </row>
    <row r="89" spans="1:9" ht="13.5" thickBot="1" x14ac:dyDescent="0.25">
      <c r="B89" s="98"/>
      <c r="C89" s="99"/>
      <c r="D89" s="67"/>
      <c r="F89" s="150" t="s">
        <v>24</v>
      </c>
      <c r="G89" s="101"/>
      <c r="H89" s="152">
        <f>+H20-H87</f>
        <v>46286.050000000047</v>
      </c>
    </row>
    <row r="90" spans="1:9" ht="14.25" thickTop="1" thickBot="1" x14ac:dyDescent="0.25">
      <c r="B90" s="153"/>
      <c r="C90" s="154"/>
      <c r="D90" s="155"/>
      <c r="E90" s="156"/>
      <c r="F90" s="156"/>
      <c r="G90" s="157"/>
      <c r="H90" s="158"/>
    </row>
  </sheetData>
  <sortState xmlns:xlrd2="http://schemas.microsoft.com/office/spreadsheetml/2017/richdata2" ref="B13:I84">
    <sortCondition ref="B13:B84"/>
    <sortCondition ref="D13:D84"/>
  </sortState>
  <mergeCells count="3">
    <mergeCell ref="B2:H2"/>
    <mergeCell ref="B3:H3"/>
    <mergeCell ref="B4:H4"/>
  </mergeCells>
  <phoneticPr fontId="21" type="noConversion"/>
  <printOptions horizontalCentered="1"/>
  <pageMargins left="0.25" right="0.25" top="0.75" bottom="0.75" header="0.3" footer="0.3"/>
  <pageSetup scale="56" orientation="portrait" horizontalDpi="300" verticalDpi="300" r:id="rId1"/>
  <headerFooter>
    <oddFooter>&amp;C&amp;P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C1" workbookViewId="0">
      <selection activeCell="I12" sqref="I12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0.83203125" style="83" customWidth="1"/>
    <col min="5" max="5" width="41.33203125" style="81" customWidth="1"/>
    <col min="6" max="6" width="29" style="81" customWidth="1"/>
    <col min="7" max="7" width="14.6640625" style="84" bestFit="1" customWidth="1"/>
    <col min="8" max="8" width="13.33203125" style="84" customWidth="1"/>
    <col min="9" max="9" width="53" style="85" customWidth="1"/>
    <col min="10" max="16384" width="9.33203125" style="81"/>
  </cols>
  <sheetData>
    <row r="1" spans="1:9" ht="13.5" thickBot="1" x14ac:dyDescent="0.25"/>
    <row r="2" spans="1:9" ht="13.5" thickBot="1" x14ac:dyDescent="0.25">
      <c r="B2" s="225" t="s">
        <v>0</v>
      </c>
      <c r="C2" s="226"/>
      <c r="D2" s="226"/>
      <c r="E2" s="226"/>
      <c r="F2" s="226"/>
      <c r="G2" s="226"/>
      <c r="H2" s="227"/>
    </row>
    <row r="3" spans="1:9" ht="13.5" thickBot="1" x14ac:dyDescent="0.25">
      <c r="B3" s="228" t="s">
        <v>1</v>
      </c>
      <c r="C3" s="229"/>
      <c r="D3" s="229"/>
      <c r="E3" s="229"/>
      <c r="F3" s="229"/>
      <c r="G3" s="229"/>
      <c r="H3" s="230"/>
    </row>
    <row r="4" spans="1:9" ht="13.5" thickBot="1" x14ac:dyDescent="0.25">
      <c r="B4" s="231">
        <v>44652</v>
      </c>
      <c r="C4" s="229"/>
      <c r="D4" s="229"/>
      <c r="E4" s="229"/>
      <c r="F4" s="229"/>
      <c r="G4" s="229"/>
      <c r="H4" s="230"/>
    </row>
    <row r="5" spans="1:9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9" x14ac:dyDescent="0.2">
      <c r="B6" s="92"/>
      <c r="C6" s="93"/>
      <c r="D6" s="94"/>
      <c r="E6" s="95"/>
      <c r="F6" s="95"/>
      <c r="G6" s="96"/>
      <c r="H6" s="97"/>
    </row>
    <row r="7" spans="1:9" x14ac:dyDescent="0.2">
      <c r="B7" s="98"/>
      <c r="C7" s="99"/>
      <c r="D7" s="67"/>
      <c r="F7" s="100" t="s">
        <v>3</v>
      </c>
      <c r="G7" s="101"/>
      <c r="H7" s="102">
        <v>359290.86</v>
      </c>
      <c r="I7" s="103"/>
    </row>
    <row r="8" spans="1:9" x14ac:dyDescent="0.2">
      <c r="B8" s="98"/>
      <c r="C8" s="99"/>
      <c r="D8" s="67"/>
      <c r="E8" s="100"/>
      <c r="F8" s="100"/>
      <c r="G8" s="101"/>
      <c r="H8" s="104"/>
    </row>
    <row r="9" spans="1:9" x14ac:dyDescent="0.2">
      <c r="B9" s="105" t="s">
        <v>4</v>
      </c>
      <c r="C9" s="106"/>
      <c r="D9" s="107"/>
      <c r="E9" s="99"/>
      <c r="F9" s="99"/>
      <c r="G9" s="108"/>
      <c r="H9" s="109"/>
    </row>
    <row r="10" spans="1:9" x14ac:dyDescent="0.2">
      <c r="B10" s="105"/>
      <c r="C10" s="106"/>
      <c r="D10" s="107"/>
      <c r="E10" s="99"/>
      <c r="F10" s="99"/>
      <c r="G10" s="108"/>
      <c r="H10" s="109"/>
    </row>
    <row r="11" spans="1:9" x14ac:dyDescent="0.2">
      <c r="B11" s="134" t="s">
        <v>84</v>
      </c>
      <c r="C11" s="7" t="s">
        <v>7</v>
      </c>
      <c r="E11" s="111" t="s">
        <v>85</v>
      </c>
      <c r="F11" s="111"/>
      <c r="G11" s="112">
        <v>483.07</v>
      </c>
      <c r="H11" s="34"/>
      <c r="I11" s="85" t="s">
        <v>86</v>
      </c>
    </row>
    <row r="12" spans="1:9" x14ac:dyDescent="0.2">
      <c r="A12" s="162"/>
      <c r="B12" s="33" t="s">
        <v>87</v>
      </c>
      <c r="C12" s="7" t="s">
        <v>7</v>
      </c>
      <c r="E12" s="24" t="s">
        <v>88</v>
      </c>
      <c r="F12" s="111"/>
      <c r="G12" s="32">
        <v>86517</v>
      </c>
      <c r="H12" s="34"/>
    </row>
    <row r="13" spans="1:9" x14ac:dyDescent="0.2">
      <c r="A13" s="162"/>
      <c r="B13" s="99"/>
      <c r="C13" s="99"/>
      <c r="D13" s="67"/>
      <c r="E13" s="99"/>
      <c r="F13" s="99"/>
      <c r="G13" s="108"/>
      <c r="H13" s="109"/>
    </row>
    <row r="14" spans="1:9" x14ac:dyDescent="0.2">
      <c r="B14" s="110" t="s">
        <v>6</v>
      </c>
      <c r="C14" s="7"/>
      <c r="D14" s="7"/>
      <c r="E14" s="111"/>
      <c r="F14" s="111"/>
      <c r="G14" s="112"/>
      <c r="H14" s="34"/>
    </row>
    <row r="15" spans="1:9" x14ac:dyDescent="0.2">
      <c r="B15" s="113"/>
      <c r="C15" s="7"/>
      <c r="E15" s="111"/>
      <c r="F15" s="111"/>
      <c r="G15" s="112"/>
      <c r="H15" s="34"/>
    </row>
    <row r="16" spans="1:9" x14ac:dyDescent="0.2">
      <c r="B16" s="113"/>
      <c r="C16" s="7"/>
      <c r="E16" s="111"/>
      <c r="F16" s="111"/>
      <c r="G16" s="112"/>
      <c r="H16" s="34"/>
    </row>
    <row r="17" spans="2:9" x14ac:dyDescent="0.2">
      <c r="B17" s="113"/>
      <c r="C17" s="111"/>
      <c r="E17" s="111"/>
      <c r="F17" s="100" t="s">
        <v>9</v>
      </c>
      <c r="G17" s="114"/>
      <c r="H17" s="115">
        <f>SUM(G11:G15)</f>
        <v>87000.07</v>
      </c>
    </row>
    <row r="18" spans="2:9" x14ac:dyDescent="0.2">
      <c r="B18" s="116"/>
      <c r="C18" s="111"/>
      <c r="E18" s="99"/>
      <c r="F18" s="100"/>
      <c r="G18" s="108"/>
      <c r="H18" s="109"/>
    </row>
    <row r="19" spans="2:9" ht="13.5" thickBot="1" x14ac:dyDescent="0.25">
      <c r="B19" s="98"/>
      <c r="C19" s="99"/>
      <c r="E19" s="117"/>
      <c r="F19" s="118" t="s">
        <v>10</v>
      </c>
      <c r="G19" s="101"/>
      <c r="H19" s="119">
        <f>+H7-H17</f>
        <v>272290.78999999998</v>
      </c>
    </row>
    <row r="20" spans="2:9" ht="14.25" thickTop="1" thickBot="1" x14ac:dyDescent="0.25">
      <c r="B20" s="98"/>
      <c r="C20" s="99"/>
      <c r="D20" s="67"/>
      <c r="E20" s="99"/>
      <c r="F20" s="99"/>
      <c r="G20" s="120"/>
      <c r="H20" s="69"/>
    </row>
    <row r="21" spans="2:9" ht="13.5" thickBot="1" x14ac:dyDescent="0.25">
      <c r="B21" s="121" t="s">
        <v>11</v>
      </c>
      <c r="C21" s="122"/>
      <c r="D21" s="123"/>
      <c r="E21" s="89"/>
      <c r="F21" s="89"/>
      <c r="G21" s="124"/>
      <c r="H21" s="125"/>
    </row>
    <row r="22" spans="2:9" x14ac:dyDescent="0.2">
      <c r="B22" s="126"/>
      <c r="C22" s="127"/>
      <c r="D22" s="128"/>
      <c r="E22" s="95"/>
      <c r="F22" s="95"/>
      <c r="G22" s="96"/>
      <c r="H22" s="97"/>
    </row>
    <row r="23" spans="2:9" x14ac:dyDescent="0.2">
      <c r="B23" s="98"/>
      <c r="C23" s="99"/>
      <c r="D23" s="67"/>
      <c r="F23" s="100" t="s">
        <v>12</v>
      </c>
      <c r="G23" s="101"/>
      <c r="H23" s="102">
        <f>+GL!I318</f>
        <v>222728.21</v>
      </c>
    </row>
    <row r="24" spans="2:9" x14ac:dyDescent="0.2">
      <c r="B24" s="116"/>
      <c r="C24" s="111"/>
      <c r="D24" s="7"/>
      <c r="E24" s="129"/>
      <c r="F24"/>
      <c r="G24" s="130"/>
      <c r="H24" s="69"/>
    </row>
    <row r="25" spans="2:9" x14ac:dyDescent="0.2">
      <c r="B25" s="131" t="s">
        <v>13</v>
      </c>
      <c r="C25" s="111"/>
      <c r="D25" s="7"/>
      <c r="F25"/>
      <c r="G25" s="130"/>
      <c r="H25" s="69"/>
    </row>
    <row r="26" spans="2:9" x14ac:dyDescent="0.2">
      <c r="B26" s="133"/>
      <c r="C26" s="111"/>
      <c r="D26" s="7"/>
      <c r="F26" s="132"/>
      <c r="G26" s="130"/>
      <c r="H26" s="69"/>
    </row>
    <row r="27" spans="2:9" ht="25.5" x14ac:dyDescent="0.2">
      <c r="B27" s="134">
        <v>44302</v>
      </c>
      <c r="C27" s="7" t="s">
        <v>7</v>
      </c>
      <c r="D27" s="83" t="s">
        <v>89</v>
      </c>
      <c r="E27" s="111" t="s">
        <v>90</v>
      </c>
      <c r="F27" s="111"/>
      <c r="G27" s="112">
        <v>1442.8</v>
      </c>
      <c r="H27" s="34"/>
      <c r="I27" s="85" t="s">
        <v>91</v>
      </c>
    </row>
    <row r="28" spans="2:9" x14ac:dyDescent="0.2">
      <c r="B28" s="134"/>
      <c r="C28" s="7"/>
      <c r="E28" s="111"/>
      <c r="F28" s="111"/>
      <c r="G28" s="112"/>
      <c r="H28" s="34"/>
    </row>
    <row r="29" spans="2:9" x14ac:dyDescent="0.2">
      <c r="B29" s="159" t="s">
        <v>92</v>
      </c>
      <c r="C29" s="6"/>
      <c r="D29" s="160" t="s">
        <v>93</v>
      </c>
      <c r="E29" s="111"/>
      <c r="F29" s="111"/>
      <c r="G29" s="112">
        <f>+GL!G321</f>
        <v>11398.569999999998</v>
      </c>
      <c r="H29" s="34"/>
    </row>
    <row r="30" spans="2:9" x14ac:dyDescent="0.2">
      <c r="B30" s="135"/>
      <c r="D30" s="136"/>
      <c r="F30" s="137"/>
      <c r="G30" s="138"/>
      <c r="H30" s="69"/>
    </row>
    <row r="31" spans="2:9" x14ac:dyDescent="0.2">
      <c r="B31" s="65"/>
      <c r="C31" s="66"/>
      <c r="D31" s="67"/>
      <c r="E31" s="68"/>
      <c r="F31" s="139" t="s">
        <v>15</v>
      </c>
      <c r="G31" s="140">
        <f>SUM(G26:G30)</f>
        <v>12841.369999999997</v>
      </c>
      <c r="H31" s="69"/>
      <c r="I31" s="82"/>
    </row>
    <row r="32" spans="2:9" x14ac:dyDescent="0.2">
      <c r="B32" s="116"/>
      <c r="C32" s="111"/>
      <c r="D32" s="7"/>
      <c r="F32" s="139"/>
      <c r="G32" s="141"/>
      <c r="H32" s="109"/>
    </row>
    <row r="33" spans="2:9" x14ac:dyDescent="0.2">
      <c r="B33" s="110" t="s">
        <v>16</v>
      </c>
      <c r="C33" s="142"/>
      <c r="D33" s="136"/>
      <c r="E33" s="129"/>
      <c r="F33" s="129"/>
      <c r="G33" s="130"/>
      <c r="H33" s="69"/>
    </row>
    <row r="34" spans="2:9" x14ac:dyDescent="0.2">
      <c r="B34" s="110"/>
      <c r="C34" s="142"/>
      <c r="D34" s="136"/>
      <c r="E34" s="129"/>
      <c r="F34" s="129"/>
      <c r="G34" s="130"/>
      <c r="H34" s="69"/>
    </row>
    <row r="35" spans="2:9" x14ac:dyDescent="0.2">
      <c r="B35" s="110"/>
      <c r="C35" s="142"/>
      <c r="D35" s="136"/>
      <c r="E35" s="129"/>
      <c r="F35" s="129"/>
      <c r="G35" s="130"/>
      <c r="H35" s="69"/>
    </row>
    <row r="36" spans="2:9" x14ac:dyDescent="0.2">
      <c r="B36" s="159" t="s">
        <v>94</v>
      </c>
      <c r="C36" s="161"/>
      <c r="D36" s="160" t="s">
        <v>93</v>
      </c>
      <c r="E36" s="129"/>
      <c r="F36" s="129"/>
      <c r="G36" s="130">
        <f>+GL!G323</f>
        <v>-244384.30000000002</v>
      </c>
      <c r="H36" s="69"/>
    </row>
    <row r="37" spans="2:9" x14ac:dyDescent="0.2">
      <c r="B37" s="144"/>
      <c r="C37" s="66"/>
      <c r="D37" s="67"/>
      <c r="E37" s="68"/>
      <c r="G37" s="143"/>
      <c r="H37" s="109"/>
      <c r="I37" s="82"/>
    </row>
    <row r="38" spans="2:9" x14ac:dyDescent="0.2">
      <c r="B38" s="133"/>
      <c r="C38" s="111"/>
      <c r="D38" s="7"/>
      <c r="F38" s="139" t="s">
        <v>15</v>
      </c>
      <c r="G38" s="140">
        <f>SUM(G34:G37)</f>
        <v>-244384.30000000002</v>
      </c>
      <c r="H38" s="69"/>
    </row>
    <row r="39" spans="2:9" x14ac:dyDescent="0.2">
      <c r="B39" s="116"/>
      <c r="C39" s="111"/>
      <c r="F39" s="145"/>
      <c r="G39" s="112"/>
      <c r="H39" s="109"/>
    </row>
    <row r="40" spans="2:9" x14ac:dyDescent="0.2">
      <c r="B40" s="146"/>
      <c r="C40" s="147"/>
      <c r="F40" s="139" t="s">
        <v>22</v>
      </c>
      <c r="G40" s="148">
        <f>SUM(G38+G31)</f>
        <v>-231542.93000000002</v>
      </c>
      <c r="H40" s="34"/>
    </row>
    <row r="41" spans="2:9" x14ac:dyDescent="0.2">
      <c r="B41" s="98"/>
      <c r="C41" s="99"/>
      <c r="D41" s="67"/>
      <c r="E41" s="149"/>
      <c r="F41" s="149"/>
      <c r="G41" s="120"/>
      <c r="H41" s="69"/>
    </row>
    <row r="42" spans="2:9" x14ac:dyDescent="0.2">
      <c r="B42" s="98"/>
      <c r="C42" s="99"/>
      <c r="D42" s="67"/>
      <c r="F42" s="150" t="s">
        <v>23</v>
      </c>
      <c r="G42" s="101"/>
      <c r="H42" s="151">
        <f>+H23-G40</f>
        <v>454271.14</v>
      </c>
    </row>
    <row r="43" spans="2:9" x14ac:dyDescent="0.2">
      <c r="B43" s="98"/>
      <c r="C43" s="99"/>
      <c r="D43" s="67"/>
      <c r="F43" s="150"/>
      <c r="G43" s="101"/>
      <c r="H43" s="69"/>
    </row>
    <row r="44" spans="2:9" ht="13.5" thickBot="1" x14ac:dyDescent="0.25">
      <c r="B44" s="98"/>
      <c r="C44" s="99"/>
      <c r="D44" s="67"/>
      <c r="F44" s="150" t="s">
        <v>24</v>
      </c>
      <c r="G44" s="101"/>
      <c r="H44" s="152">
        <f>+H19-H42</f>
        <v>-181980.35000000003</v>
      </c>
    </row>
    <row r="45" spans="2:9" ht="14.25" thickTop="1" thickBot="1" x14ac:dyDescent="0.25">
      <c r="B45" s="153"/>
      <c r="C45" s="154"/>
      <c r="D45" s="155"/>
      <c r="E45" s="156"/>
      <c r="F45" s="156"/>
      <c r="G45" s="157"/>
      <c r="H45" s="158"/>
    </row>
  </sheetData>
  <mergeCells count="3">
    <mergeCell ref="B2:H2"/>
    <mergeCell ref="B3:H3"/>
    <mergeCell ref="B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9"/>
  <sheetViews>
    <sheetView zoomScale="85" zoomScaleNormal="85" workbookViewId="0">
      <pane ySplit="1" topLeftCell="A2" activePane="bottomLeft" state="frozen"/>
      <selection sqref="A1:XFD155"/>
      <selection pane="bottomLeft" activeCell="A2" sqref="A2"/>
    </sheetView>
  </sheetViews>
  <sheetFormatPr defaultRowHeight="12.75" x14ac:dyDescent="0.2"/>
  <cols>
    <col min="1" max="1" width="14.1640625" style="31" customWidth="1"/>
    <col min="2" max="2" width="16.6640625" style="10" bestFit="1" customWidth="1"/>
    <col min="3" max="3" width="14.6640625" style="8" customWidth="1"/>
    <col min="4" max="4" width="10.1640625" style="9" customWidth="1"/>
    <col min="5" max="5" width="142" style="17" customWidth="1"/>
    <col min="6" max="214" width="9.33203125" style="8"/>
    <col min="215" max="215" width="12.83203125" style="8" customWidth="1"/>
    <col min="216" max="216" width="13.33203125" style="8" customWidth="1"/>
    <col min="217" max="217" width="15" style="8" customWidth="1"/>
    <col min="218" max="218" width="142" style="8" customWidth="1"/>
    <col min="219" max="470" width="9.33203125" style="8"/>
    <col min="471" max="471" width="12.83203125" style="8" customWidth="1"/>
    <col min="472" max="472" width="13.33203125" style="8" customWidth="1"/>
    <col min="473" max="473" width="15" style="8" customWidth="1"/>
    <col min="474" max="474" width="142" style="8" customWidth="1"/>
    <col min="475" max="726" width="9.33203125" style="8"/>
    <col min="727" max="727" width="12.83203125" style="8" customWidth="1"/>
    <col min="728" max="728" width="13.33203125" style="8" customWidth="1"/>
    <col min="729" max="729" width="15" style="8" customWidth="1"/>
    <col min="730" max="730" width="142" style="8" customWidth="1"/>
    <col min="731" max="982" width="9.33203125" style="8"/>
    <col min="983" max="983" width="12.83203125" style="8" customWidth="1"/>
    <col min="984" max="984" width="13.33203125" style="8" customWidth="1"/>
    <col min="985" max="985" width="15" style="8" customWidth="1"/>
    <col min="986" max="986" width="142" style="8" customWidth="1"/>
    <col min="987" max="1238" width="9.33203125" style="8"/>
    <col min="1239" max="1239" width="12.83203125" style="8" customWidth="1"/>
    <col min="1240" max="1240" width="13.33203125" style="8" customWidth="1"/>
    <col min="1241" max="1241" width="15" style="8" customWidth="1"/>
    <col min="1242" max="1242" width="142" style="8" customWidth="1"/>
    <col min="1243" max="1494" width="9.33203125" style="8"/>
    <col min="1495" max="1495" width="12.83203125" style="8" customWidth="1"/>
    <col min="1496" max="1496" width="13.33203125" style="8" customWidth="1"/>
    <col min="1497" max="1497" width="15" style="8" customWidth="1"/>
    <col min="1498" max="1498" width="142" style="8" customWidth="1"/>
    <col min="1499" max="1750" width="9.33203125" style="8"/>
    <col min="1751" max="1751" width="12.83203125" style="8" customWidth="1"/>
    <col min="1752" max="1752" width="13.33203125" style="8" customWidth="1"/>
    <col min="1753" max="1753" width="15" style="8" customWidth="1"/>
    <col min="1754" max="1754" width="142" style="8" customWidth="1"/>
    <col min="1755" max="2006" width="9.33203125" style="8"/>
    <col min="2007" max="2007" width="12.83203125" style="8" customWidth="1"/>
    <col min="2008" max="2008" width="13.33203125" style="8" customWidth="1"/>
    <col min="2009" max="2009" width="15" style="8" customWidth="1"/>
    <col min="2010" max="2010" width="142" style="8" customWidth="1"/>
    <col min="2011" max="2262" width="9.33203125" style="8"/>
    <col min="2263" max="2263" width="12.83203125" style="8" customWidth="1"/>
    <col min="2264" max="2264" width="13.33203125" style="8" customWidth="1"/>
    <col min="2265" max="2265" width="15" style="8" customWidth="1"/>
    <col min="2266" max="2266" width="142" style="8" customWidth="1"/>
    <col min="2267" max="2518" width="9.33203125" style="8"/>
    <col min="2519" max="2519" width="12.83203125" style="8" customWidth="1"/>
    <col min="2520" max="2520" width="13.33203125" style="8" customWidth="1"/>
    <col min="2521" max="2521" width="15" style="8" customWidth="1"/>
    <col min="2522" max="2522" width="142" style="8" customWidth="1"/>
    <col min="2523" max="2774" width="9.33203125" style="8"/>
    <col min="2775" max="2775" width="12.83203125" style="8" customWidth="1"/>
    <col min="2776" max="2776" width="13.33203125" style="8" customWidth="1"/>
    <col min="2777" max="2777" width="15" style="8" customWidth="1"/>
    <col min="2778" max="2778" width="142" style="8" customWidth="1"/>
    <col min="2779" max="3030" width="9.33203125" style="8"/>
    <col min="3031" max="3031" width="12.83203125" style="8" customWidth="1"/>
    <col min="3032" max="3032" width="13.33203125" style="8" customWidth="1"/>
    <col min="3033" max="3033" width="15" style="8" customWidth="1"/>
    <col min="3034" max="3034" width="142" style="8" customWidth="1"/>
    <col min="3035" max="3286" width="9.33203125" style="8"/>
    <col min="3287" max="3287" width="12.83203125" style="8" customWidth="1"/>
    <col min="3288" max="3288" width="13.33203125" style="8" customWidth="1"/>
    <col min="3289" max="3289" width="15" style="8" customWidth="1"/>
    <col min="3290" max="3290" width="142" style="8" customWidth="1"/>
    <col min="3291" max="3542" width="9.33203125" style="8"/>
    <col min="3543" max="3543" width="12.83203125" style="8" customWidth="1"/>
    <col min="3544" max="3544" width="13.33203125" style="8" customWidth="1"/>
    <col min="3545" max="3545" width="15" style="8" customWidth="1"/>
    <col min="3546" max="3546" width="142" style="8" customWidth="1"/>
    <col min="3547" max="3798" width="9.33203125" style="8"/>
    <col min="3799" max="3799" width="12.83203125" style="8" customWidth="1"/>
    <col min="3800" max="3800" width="13.33203125" style="8" customWidth="1"/>
    <col min="3801" max="3801" width="15" style="8" customWidth="1"/>
    <col min="3802" max="3802" width="142" style="8" customWidth="1"/>
    <col min="3803" max="4054" width="9.33203125" style="8"/>
    <col min="4055" max="4055" width="12.83203125" style="8" customWidth="1"/>
    <col min="4056" max="4056" width="13.33203125" style="8" customWidth="1"/>
    <col min="4057" max="4057" width="15" style="8" customWidth="1"/>
    <col min="4058" max="4058" width="142" style="8" customWidth="1"/>
    <col min="4059" max="4310" width="9.33203125" style="8"/>
    <col min="4311" max="4311" width="12.83203125" style="8" customWidth="1"/>
    <col min="4312" max="4312" width="13.33203125" style="8" customWidth="1"/>
    <col min="4313" max="4313" width="15" style="8" customWidth="1"/>
    <col min="4314" max="4314" width="142" style="8" customWidth="1"/>
    <col min="4315" max="4566" width="9.33203125" style="8"/>
    <col min="4567" max="4567" width="12.83203125" style="8" customWidth="1"/>
    <col min="4568" max="4568" width="13.33203125" style="8" customWidth="1"/>
    <col min="4569" max="4569" width="15" style="8" customWidth="1"/>
    <col min="4570" max="4570" width="142" style="8" customWidth="1"/>
    <col min="4571" max="4822" width="9.33203125" style="8"/>
    <col min="4823" max="4823" width="12.83203125" style="8" customWidth="1"/>
    <col min="4824" max="4824" width="13.33203125" style="8" customWidth="1"/>
    <col min="4825" max="4825" width="15" style="8" customWidth="1"/>
    <col min="4826" max="4826" width="142" style="8" customWidth="1"/>
    <col min="4827" max="5078" width="9.33203125" style="8"/>
    <col min="5079" max="5079" width="12.83203125" style="8" customWidth="1"/>
    <col min="5080" max="5080" width="13.33203125" style="8" customWidth="1"/>
    <col min="5081" max="5081" width="15" style="8" customWidth="1"/>
    <col min="5082" max="5082" width="142" style="8" customWidth="1"/>
    <col min="5083" max="5334" width="9.33203125" style="8"/>
    <col min="5335" max="5335" width="12.83203125" style="8" customWidth="1"/>
    <col min="5336" max="5336" width="13.33203125" style="8" customWidth="1"/>
    <col min="5337" max="5337" width="15" style="8" customWidth="1"/>
    <col min="5338" max="5338" width="142" style="8" customWidth="1"/>
    <col min="5339" max="5590" width="9.33203125" style="8"/>
    <col min="5591" max="5591" width="12.83203125" style="8" customWidth="1"/>
    <col min="5592" max="5592" width="13.33203125" style="8" customWidth="1"/>
    <col min="5593" max="5593" width="15" style="8" customWidth="1"/>
    <col min="5594" max="5594" width="142" style="8" customWidth="1"/>
    <col min="5595" max="5846" width="9.33203125" style="8"/>
    <col min="5847" max="5847" width="12.83203125" style="8" customWidth="1"/>
    <col min="5848" max="5848" width="13.33203125" style="8" customWidth="1"/>
    <col min="5849" max="5849" width="15" style="8" customWidth="1"/>
    <col min="5850" max="5850" width="142" style="8" customWidth="1"/>
    <col min="5851" max="6102" width="9.33203125" style="8"/>
    <col min="6103" max="6103" width="12.83203125" style="8" customWidth="1"/>
    <col min="6104" max="6104" width="13.33203125" style="8" customWidth="1"/>
    <col min="6105" max="6105" width="15" style="8" customWidth="1"/>
    <col min="6106" max="6106" width="142" style="8" customWidth="1"/>
    <col min="6107" max="6358" width="9.33203125" style="8"/>
    <col min="6359" max="6359" width="12.83203125" style="8" customWidth="1"/>
    <col min="6360" max="6360" width="13.33203125" style="8" customWidth="1"/>
    <col min="6361" max="6361" width="15" style="8" customWidth="1"/>
    <col min="6362" max="6362" width="142" style="8" customWidth="1"/>
    <col min="6363" max="6614" width="9.33203125" style="8"/>
    <col min="6615" max="6615" width="12.83203125" style="8" customWidth="1"/>
    <col min="6616" max="6616" width="13.33203125" style="8" customWidth="1"/>
    <col min="6617" max="6617" width="15" style="8" customWidth="1"/>
    <col min="6618" max="6618" width="142" style="8" customWidth="1"/>
    <col min="6619" max="6870" width="9.33203125" style="8"/>
    <col min="6871" max="6871" width="12.83203125" style="8" customWidth="1"/>
    <col min="6872" max="6872" width="13.33203125" style="8" customWidth="1"/>
    <col min="6873" max="6873" width="15" style="8" customWidth="1"/>
    <col min="6874" max="6874" width="142" style="8" customWidth="1"/>
    <col min="6875" max="7126" width="9.33203125" style="8"/>
    <col min="7127" max="7127" width="12.83203125" style="8" customWidth="1"/>
    <col min="7128" max="7128" width="13.33203125" style="8" customWidth="1"/>
    <col min="7129" max="7129" width="15" style="8" customWidth="1"/>
    <col min="7130" max="7130" width="142" style="8" customWidth="1"/>
    <col min="7131" max="7382" width="9.33203125" style="8"/>
    <col min="7383" max="7383" width="12.83203125" style="8" customWidth="1"/>
    <col min="7384" max="7384" width="13.33203125" style="8" customWidth="1"/>
    <col min="7385" max="7385" width="15" style="8" customWidth="1"/>
    <col min="7386" max="7386" width="142" style="8" customWidth="1"/>
    <col min="7387" max="7638" width="9.33203125" style="8"/>
    <col min="7639" max="7639" width="12.83203125" style="8" customWidth="1"/>
    <col min="7640" max="7640" width="13.33203125" style="8" customWidth="1"/>
    <col min="7641" max="7641" width="15" style="8" customWidth="1"/>
    <col min="7642" max="7642" width="142" style="8" customWidth="1"/>
    <col min="7643" max="7894" width="9.33203125" style="8"/>
    <col min="7895" max="7895" width="12.83203125" style="8" customWidth="1"/>
    <col min="7896" max="7896" width="13.33203125" style="8" customWidth="1"/>
    <col min="7897" max="7897" width="15" style="8" customWidth="1"/>
    <col min="7898" max="7898" width="142" style="8" customWidth="1"/>
    <col min="7899" max="8150" width="9.33203125" style="8"/>
    <col min="8151" max="8151" width="12.83203125" style="8" customWidth="1"/>
    <col min="8152" max="8152" width="13.33203125" style="8" customWidth="1"/>
    <col min="8153" max="8153" width="15" style="8" customWidth="1"/>
    <col min="8154" max="8154" width="142" style="8" customWidth="1"/>
    <col min="8155" max="8406" width="9.33203125" style="8"/>
    <col min="8407" max="8407" width="12.83203125" style="8" customWidth="1"/>
    <col min="8408" max="8408" width="13.33203125" style="8" customWidth="1"/>
    <col min="8409" max="8409" width="15" style="8" customWidth="1"/>
    <col min="8410" max="8410" width="142" style="8" customWidth="1"/>
    <col min="8411" max="8662" width="9.33203125" style="8"/>
    <col min="8663" max="8663" width="12.83203125" style="8" customWidth="1"/>
    <col min="8664" max="8664" width="13.33203125" style="8" customWidth="1"/>
    <col min="8665" max="8665" width="15" style="8" customWidth="1"/>
    <col min="8666" max="8666" width="142" style="8" customWidth="1"/>
    <col min="8667" max="8918" width="9.33203125" style="8"/>
    <col min="8919" max="8919" width="12.83203125" style="8" customWidth="1"/>
    <col min="8920" max="8920" width="13.33203125" style="8" customWidth="1"/>
    <col min="8921" max="8921" width="15" style="8" customWidth="1"/>
    <col min="8922" max="8922" width="142" style="8" customWidth="1"/>
    <col min="8923" max="9174" width="9.33203125" style="8"/>
    <col min="9175" max="9175" width="12.83203125" style="8" customWidth="1"/>
    <col min="9176" max="9176" width="13.33203125" style="8" customWidth="1"/>
    <col min="9177" max="9177" width="15" style="8" customWidth="1"/>
    <col min="9178" max="9178" width="142" style="8" customWidth="1"/>
    <col min="9179" max="9430" width="9.33203125" style="8"/>
    <col min="9431" max="9431" width="12.83203125" style="8" customWidth="1"/>
    <col min="9432" max="9432" width="13.33203125" style="8" customWidth="1"/>
    <col min="9433" max="9433" width="15" style="8" customWidth="1"/>
    <col min="9434" max="9434" width="142" style="8" customWidth="1"/>
    <col min="9435" max="9686" width="9.33203125" style="8"/>
    <col min="9687" max="9687" width="12.83203125" style="8" customWidth="1"/>
    <col min="9688" max="9688" width="13.33203125" style="8" customWidth="1"/>
    <col min="9689" max="9689" width="15" style="8" customWidth="1"/>
    <col min="9690" max="9690" width="142" style="8" customWidth="1"/>
    <col min="9691" max="9942" width="9.33203125" style="8"/>
    <col min="9943" max="9943" width="12.83203125" style="8" customWidth="1"/>
    <col min="9944" max="9944" width="13.33203125" style="8" customWidth="1"/>
    <col min="9945" max="9945" width="15" style="8" customWidth="1"/>
    <col min="9946" max="9946" width="142" style="8" customWidth="1"/>
    <col min="9947" max="10198" width="9.33203125" style="8"/>
    <col min="10199" max="10199" width="12.83203125" style="8" customWidth="1"/>
    <col min="10200" max="10200" width="13.33203125" style="8" customWidth="1"/>
    <col min="10201" max="10201" width="15" style="8" customWidth="1"/>
    <col min="10202" max="10202" width="142" style="8" customWidth="1"/>
    <col min="10203" max="10454" width="9.33203125" style="8"/>
    <col min="10455" max="10455" width="12.83203125" style="8" customWidth="1"/>
    <col min="10456" max="10456" width="13.33203125" style="8" customWidth="1"/>
    <col min="10457" max="10457" width="15" style="8" customWidth="1"/>
    <col min="10458" max="10458" width="142" style="8" customWidth="1"/>
    <col min="10459" max="10710" width="9.33203125" style="8"/>
    <col min="10711" max="10711" width="12.83203125" style="8" customWidth="1"/>
    <col min="10712" max="10712" width="13.33203125" style="8" customWidth="1"/>
    <col min="10713" max="10713" width="15" style="8" customWidth="1"/>
    <col min="10714" max="10714" width="142" style="8" customWidth="1"/>
    <col min="10715" max="10966" width="9.33203125" style="8"/>
    <col min="10967" max="10967" width="12.83203125" style="8" customWidth="1"/>
    <col min="10968" max="10968" width="13.33203125" style="8" customWidth="1"/>
    <col min="10969" max="10969" width="15" style="8" customWidth="1"/>
    <col min="10970" max="10970" width="142" style="8" customWidth="1"/>
    <col min="10971" max="11222" width="9.33203125" style="8"/>
    <col min="11223" max="11223" width="12.83203125" style="8" customWidth="1"/>
    <col min="11224" max="11224" width="13.33203125" style="8" customWidth="1"/>
    <col min="11225" max="11225" width="15" style="8" customWidth="1"/>
    <col min="11226" max="11226" width="142" style="8" customWidth="1"/>
    <col min="11227" max="11478" width="9.33203125" style="8"/>
    <col min="11479" max="11479" width="12.83203125" style="8" customWidth="1"/>
    <col min="11480" max="11480" width="13.33203125" style="8" customWidth="1"/>
    <col min="11481" max="11481" width="15" style="8" customWidth="1"/>
    <col min="11482" max="11482" width="142" style="8" customWidth="1"/>
    <col min="11483" max="11734" width="9.33203125" style="8"/>
    <col min="11735" max="11735" width="12.83203125" style="8" customWidth="1"/>
    <col min="11736" max="11736" width="13.33203125" style="8" customWidth="1"/>
    <col min="11737" max="11737" width="15" style="8" customWidth="1"/>
    <col min="11738" max="11738" width="142" style="8" customWidth="1"/>
    <col min="11739" max="11990" width="9.33203125" style="8"/>
    <col min="11991" max="11991" width="12.83203125" style="8" customWidth="1"/>
    <col min="11992" max="11992" width="13.33203125" style="8" customWidth="1"/>
    <col min="11993" max="11993" width="15" style="8" customWidth="1"/>
    <col min="11994" max="11994" width="142" style="8" customWidth="1"/>
    <col min="11995" max="12246" width="9.33203125" style="8"/>
    <col min="12247" max="12247" width="12.83203125" style="8" customWidth="1"/>
    <col min="12248" max="12248" width="13.33203125" style="8" customWidth="1"/>
    <col min="12249" max="12249" width="15" style="8" customWidth="1"/>
    <col min="12250" max="12250" width="142" style="8" customWidth="1"/>
    <col min="12251" max="12502" width="9.33203125" style="8"/>
    <col min="12503" max="12503" width="12.83203125" style="8" customWidth="1"/>
    <col min="12504" max="12504" width="13.33203125" style="8" customWidth="1"/>
    <col min="12505" max="12505" width="15" style="8" customWidth="1"/>
    <col min="12506" max="12506" width="142" style="8" customWidth="1"/>
    <col min="12507" max="12758" width="9.33203125" style="8"/>
    <col min="12759" max="12759" width="12.83203125" style="8" customWidth="1"/>
    <col min="12760" max="12760" width="13.33203125" style="8" customWidth="1"/>
    <col min="12761" max="12761" width="15" style="8" customWidth="1"/>
    <col min="12762" max="12762" width="142" style="8" customWidth="1"/>
    <col min="12763" max="13014" width="9.33203125" style="8"/>
    <col min="13015" max="13015" width="12.83203125" style="8" customWidth="1"/>
    <col min="13016" max="13016" width="13.33203125" style="8" customWidth="1"/>
    <col min="13017" max="13017" width="15" style="8" customWidth="1"/>
    <col min="13018" max="13018" width="142" style="8" customWidth="1"/>
    <col min="13019" max="13270" width="9.33203125" style="8"/>
    <col min="13271" max="13271" width="12.83203125" style="8" customWidth="1"/>
    <col min="13272" max="13272" width="13.33203125" style="8" customWidth="1"/>
    <col min="13273" max="13273" width="15" style="8" customWidth="1"/>
    <col min="13274" max="13274" width="142" style="8" customWidth="1"/>
    <col min="13275" max="13526" width="9.33203125" style="8"/>
    <col min="13527" max="13527" width="12.83203125" style="8" customWidth="1"/>
    <col min="13528" max="13528" width="13.33203125" style="8" customWidth="1"/>
    <col min="13529" max="13529" width="15" style="8" customWidth="1"/>
    <col min="13530" max="13530" width="142" style="8" customWidth="1"/>
    <col min="13531" max="13782" width="9.33203125" style="8"/>
    <col min="13783" max="13783" width="12.83203125" style="8" customWidth="1"/>
    <col min="13784" max="13784" width="13.33203125" style="8" customWidth="1"/>
    <col min="13785" max="13785" width="15" style="8" customWidth="1"/>
    <col min="13786" max="13786" width="142" style="8" customWidth="1"/>
    <col min="13787" max="14038" width="9.33203125" style="8"/>
    <col min="14039" max="14039" width="12.83203125" style="8" customWidth="1"/>
    <col min="14040" max="14040" width="13.33203125" style="8" customWidth="1"/>
    <col min="14041" max="14041" width="15" style="8" customWidth="1"/>
    <col min="14042" max="14042" width="142" style="8" customWidth="1"/>
    <col min="14043" max="14294" width="9.33203125" style="8"/>
    <col min="14295" max="14295" width="12.83203125" style="8" customWidth="1"/>
    <col min="14296" max="14296" width="13.33203125" style="8" customWidth="1"/>
    <col min="14297" max="14297" width="15" style="8" customWidth="1"/>
    <col min="14298" max="14298" width="142" style="8" customWidth="1"/>
    <col min="14299" max="14550" width="9.33203125" style="8"/>
    <col min="14551" max="14551" width="12.83203125" style="8" customWidth="1"/>
    <col min="14552" max="14552" width="13.33203125" style="8" customWidth="1"/>
    <col min="14553" max="14553" width="15" style="8" customWidth="1"/>
    <col min="14554" max="14554" width="142" style="8" customWidth="1"/>
    <col min="14555" max="14806" width="9.33203125" style="8"/>
    <col min="14807" max="14807" width="12.83203125" style="8" customWidth="1"/>
    <col min="14808" max="14808" width="13.33203125" style="8" customWidth="1"/>
    <col min="14809" max="14809" width="15" style="8" customWidth="1"/>
    <col min="14810" max="14810" width="142" style="8" customWidth="1"/>
    <col min="14811" max="15062" width="9.33203125" style="8"/>
    <col min="15063" max="15063" width="12.83203125" style="8" customWidth="1"/>
    <col min="15064" max="15064" width="13.33203125" style="8" customWidth="1"/>
    <col min="15065" max="15065" width="15" style="8" customWidth="1"/>
    <col min="15066" max="15066" width="142" style="8" customWidth="1"/>
    <col min="15067" max="15318" width="9.33203125" style="8"/>
    <col min="15319" max="15319" width="12.83203125" style="8" customWidth="1"/>
    <col min="15320" max="15320" width="13.33203125" style="8" customWidth="1"/>
    <col min="15321" max="15321" width="15" style="8" customWidth="1"/>
    <col min="15322" max="15322" width="142" style="8" customWidth="1"/>
    <col min="15323" max="15574" width="9.33203125" style="8"/>
    <col min="15575" max="15575" width="12.83203125" style="8" customWidth="1"/>
    <col min="15576" max="15576" width="13.33203125" style="8" customWidth="1"/>
    <col min="15577" max="15577" width="15" style="8" customWidth="1"/>
    <col min="15578" max="15578" width="142" style="8" customWidth="1"/>
    <col min="15579" max="15830" width="9.33203125" style="8"/>
    <col min="15831" max="15831" width="12.83203125" style="8" customWidth="1"/>
    <col min="15832" max="15832" width="13.33203125" style="8" customWidth="1"/>
    <col min="15833" max="15833" width="15" style="8" customWidth="1"/>
    <col min="15834" max="15834" width="142" style="8" customWidth="1"/>
    <col min="15835" max="16086" width="9.33203125" style="8"/>
    <col min="16087" max="16087" width="12.83203125" style="8" customWidth="1"/>
    <col min="16088" max="16088" width="13.33203125" style="8" customWidth="1"/>
    <col min="16089" max="16089" width="15" style="8" customWidth="1"/>
    <col min="16090" max="16090" width="16.33203125" style="8" customWidth="1"/>
    <col min="16091" max="16384" width="9.33203125" style="8"/>
  </cols>
  <sheetData>
    <row r="1" spans="1:5" x14ac:dyDescent="0.2">
      <c r="A1" s="42" t="s">
        <v>95</v>
      </c>
      <c r="B1" s="43" t="s">
        <v>96</v>
      </c>
      <c r="C1" s="44" t="s">
        <v>97</v>
      </c>
      <c r="D1" s="45" t="s">
        <v>98</v>
      </c>
      <c r="E1" s="46" t="s">
        <v>99</v>
      </c>
    </row>
    <row r="2" spans="1:5" s="30" customFormat="1" ht="12.75" customHeight="1" x14ac:dyDescent="0.2">
      <c r="A2" s="33" t="s">
        <v>205</v>
      </c>
      <c r="B2" s="32">
        <v>-409963.39</v>
      </c>
      <c r="C2" s="24" t="s">
        <v>100</v>
      </c>
      <c r="D2" s="11">
        <v>-4</v>
      </c>
      <c r="E2" s="24" t="s">
        <v>8</v>
      </c>
    </row>
    <row r="3" spans="1:5" s="30" customFormat="1" ht="12.75" customHeight="1" x14ac:dyDescent="0.2">
      <c r="A3" s="33" t="s">
        <v>205</v>
      </c>
      <c r="B3" s="32">
        <v>-165.52</v>
      </c>
      <c r="C3" s="24" t="s">
        <v>100</v>
      </c>
      <c r="D3" s="11">
        <v>-3</v>
      </c>
      <c r="E3" s="24" t="s">
        <v>244</v>
      </c>
    </row>
    <row r="4" spans="1:5" s="30" customFormat="1" ht="12.75" customHeight="1" x14ac:dyDescent="0.2">
      <c r="A4" s="33" t="s">
        <v>205</v>
      </c>
      <c r="B4" s="32">
        <v>-137.76</v>
      </c>
      <c r="C4" s="24" t="s">
        <v>153</v>
      </c>
      <c r="D4" s="11">
        <v>-3</v>
      </c>
      <c r="E4" s="24" t="s">
        <v>103</v>
      </c>
    </row>
    <row r="5" spans="1:5" s="30" customFormat="1" ht="12.75" customHeight="1" x14ac:dyDescent="0.2">
      <c r="A5" s="33" t="s">
        <v>205</v>
      </c>
      <c r="B5" s="32">
        <v>19550.05</v>
      </c>
      <c r="C5" s="24" t="s">
        <v>100</v>
      </c>
      <c r="D5" s="11">
        <v>2</v>
      </c>
      <c r="E5" s="24" t="s">
        <v>245</v>
      </c>
    </row>
    <row r="6" spans="1:5" s="30" customFormat="1" ht="12.75" customHeight="1" x14ac:dyDescent="0.2">
      <c r="A6" s="33" t="s">
        <v>205</v>
      </c>
      <c r="B6" s="32">
        <v>2061.1</v>
      </c>
      <c r="C6" s="24" t="s">
        <v>100</v>
      </c>
      <c r="D6" s="11">
        <v>3</v>
      </c>
      <c r="E6" s="24" t="s">
        <v>246</v>
      </c>
    </row>
    <row r="7" spans="1:5" s="30" customFormat="1" ht="12.75" customHeight="1" x14ac:dyDescent="0.2">
      <c r="A7" s="33" t="s">
        <v>205</v>
      </c>
      <c r="B7" s="32">
        <v>1013.39</v>
      </c>
      <c r="C7" s="24" t="s">
        <v>100</v>
      </c>
      <c r="D7" s="11">
        <v>2</v>
      </c>
      <c r="E7" s="24" t="s">
        <v>101</v>
      </c>
    </row>
    <row r="8" spans="1:5" s="30" customFormat="1" ht="12.75" customHeight="1" x14ac:dyDescent="0.2">
      <c r="A8" s="33" t="s">
        <v>205</v>
      </c>
      <c r="B8" s="32">
        <v>387642.13</v>
      </c>
      <c r="C8" s="24" t="s">
        <v>100</v>
      </c>
      <c r="D8" s="11">
        <v>4</v>
      </c>
      <c r="E8" s="24" t="s">
        <v>102</v>
      </c>
    </row>
    <row r="9" spans="1:5" s="30" customFormat="1" ht="12.75" customHeight="1" x14ac:dyDescent="0.2">
      <c r="A9" s="33" t="s">
        <v>206</v>
      </c>
      <c r="B9" s="32">
        <v>-480855.79</v>
      </c>
      <c r="C9" s="24" t="s">
        <v>100</v>
      </c>
      <c r="D9" s="11">
        <v>-4</v>
      </c>
      <c r="E9" s="24" t="s">
        <v>8</v>
      </c>
    </row>
    <row r="10" spans="1:5" s="30" customFormat="1" ht="12.75" customHeight="1" x14ac:dyDescent="0.2">
      <c r="A10" s="33" t="s">
        <v>206</v>
      </c>
      <c r="B10" s="32">
        <v>-14864.49</v>
      </c>
      <c r="C10" s="24" t="s">
        <v>207</v>
      </c>
      <c r="D10" s="11">
        <v>-2</v>
      </c>
      <c r="E10" s="24" t="s">
        <v>103</v>
      </c>
    </row>
    <row r="11" spans="1:5" s="30" customFormat="1" ht="12.75" customHeight="1" x14ac:dyDescent="0.2">
      <c r="A11" s="33" t="s">
        <v>206</v>
      </c>
      <c r="B11" s="239">
        <v>73440.08</v>
      </c>
      <c r="C11" s="24" t="s">
        <v>100</v>
      </c>
      <c r="D11" s="11">
        <v>2</v>
      </c>
      <c r="E11" s="24" t="s">
        <v>247</v>
      </c>
    </row>
    <row r="12" spans="1:5" s="30" customFormat="1" ht="12.75" customHeight="1" x14ac:dyDescent="0.2">
      <c r="A12" s="33" t="s">
        <v>206</v>
      </c>
      <c r="B12" s="197">
        <v>10418.33</v>
      </c>
      <c r="C12" s="24" t="s">
        <v>100</v>
      </c>
      <c r="D12" s="11">
        <v>3</v>
      </c>
      <c r="E12" s="24" t="s">
        <v>248</v>
      </c>
    </row>
    <row r="13" spans="1:5" s="30" customFormat="1" ht="12.75" customHeight="1" x14ac:dyDescent="0.2">
      <c r="A13" s="33" t="s">
        <v>206</v>
      </c>
      <c r="B13" s="32">
        <v>950</v>
      </c>
      <c r="C13" s="24" t="s">
        <v>100</v>
      </c>
      <c r="D13" s="11">
        <v>2</v>
      </c>
      <c r="E13" s="24" t="s">
        <v>249</v>
      </c>
    </row>
    <row r="14" spans="1:5" s="30" customFormat="1" ht="12.75" customHeight="1" x14ac:dyDescent="0.2">
      <c r="A14" s="33" t="s">
        <v>206</v>
      </c>
      <c r="B14" s="236">
        <v>913.48</v>
      </c>
      <c r="C14" s="24" t="s">
        <v>100</v>
      </c>
      <c r="D14" s="11">
        <v>2</v>
      </c>
      <c r="E14" s="24" t="s">
        <v>250</v>
      </c>
    </row>
    <row r="15" spans="1:5" s="30" customFormat="1" ht="12.75" customHeight="1" x14ac:dyDescent="0.2">
      <c r="A15" s="33" t="s">
        <v>206</v>
      </c>
      <c r="B15" s="32">
        <v>35</v>
      </c>
      <c r="C15" s="24" t="s">
        <v>100</v>
      </c>
      <c r="D15" s="11">
        <v>2</v>
      </c>
      <c r="E15" s="24" t="s">
        <v>251</v>
      </c>
    </row>
    <row r="16" spans="1:5" s="30" customFormat="1" ht="12.75" customHeight="1" x14ac:dyDescent="0.2">
      <c r="A16" s="33" t="s">
        <v>206</v>
      </c>
      <c r="B16" s="32">
        <v>409963.39</v>
      </c>
      <c r="C16" s="24" t="s">
        <v>100</v>
      </c>
      <c r="D16" s="11">
        <v>4</v>
      </c>
      <c r="E16" s="24" t="s">
        <v>102</v>
      </c>
    </row>
    <row r="17" spans="1:5" s="30" customFormat="1" x14ac:dyDescent="0.2">
      <c r="A17" s="33" t="s">
        <v>208</v>
      </c>
      <c r="B17" s="32">
        <v>-500843.98</v>
      </c>
      <c r="C17" s="24" t="s">
        <v>100</v>
      </c>
      <c r="D17" s="11">
        <v>-4</v>
      </c>
      <c r="E17" s="24" t="s">
        <v>8</v>
      </c>
    </row>
    <row r="18" spans="1:5" s="30" customFormat="1" x14ac:dyDescent="0.2">
      <c r="A18" s="33" t="s">
        <v>208</v>
      </c>
      <c r="B18" s="32">
        <v>-3454.72</v>
      </c>
      <c r="C18" s="24" t="s">
        <v>155</v>
      </c>
      <c r="D18" s="11">
        <v>-3</v>
      </c>
      <c r="E18" s="24" t="s">
        <v>103</v>
      </c>
    </row>
    <row r="19" spans="1:5" s="30" customFormat="1" x14ac:dyDescent="0.2">
      <c r="A19" s="33" t="s">
        <v>208</v>
      </c>
      <c r="B19" s="32">
        <v>-1307.1500000000001</v>
      </c>
      <c r="C19" s="24" t="s">
        <v>161</v>
      </c>
      <c r="D19" s="11">
        <v>-3</v>
      </c>
      <c r="E19" s="24" t="s">
        <v>103</v>
      </c>
    </row>
    <row r="20" spans="1:5" s="30" customFormat="1" x14ac:dyDescent="0.2">
      <c r="A20" s="33" t="s">
        <v>208</v>
      </c>
      <c r="B20" s="32">
        <v>-255</v>
      </c>
      <c r="C20" s="24" t="s">
        <v>159</v>
      </c>
      <c r="D20" s="11">
        <v>-3</v>
      </c>
      <c r="E20" s="24" t="s">
        <v>103</v>
      </c>
    </row>
    <row r="21" spans="1:5" s="30" customFormat="1" x14ac:dyDescent="0.2">
      <c r="A21" s="33" t="s">
        <v>208</v>
      </c>
      <c r="B21" s="32">
        <v>-22951.41</v>
      </c>
      <c r="C21" s="24" t="s">
        <v>100</v>
      </c>
      <c r="D21" s="11">
        <v>-2</v>
      </c>
      <c r="E21" s="24" t="s">
        <v>252</v>
      </c>
    </row>
    <row r="22" spans="1:5" s="30" customFormat="1" ht="12.75" customHeight="1" x14ac:dyDescent="0.2">
      <c r="A22" s="33" t="s">
        <v>208</v>
      </c>
      <c r="B22" s="207">
        <v>41247.870000000003</v>
      </c>
      <c r="C22" s="24" t="s">
        <v>100</v>
      </c>
      <c r="D22" s="11">
        <v>2</v>
      </c>
      <c r="E22" s="24" t="s">
        <v>253</v>
      </c>
    </row>
    <row r="23" spans="1:5" s="30" customFormat="1" ht="12.75" customHeight="1" x14ac:dyDescent="0.2">
      <c r="A23" s="33" t="s">
        <v>208</v>
      </c>
      <c r="B23" s="236">
        <v>3700.48</v>
      </c>
      <c r="C23" s="24" t="s">
        <v>100</v>
      </c>
      <c r="D23" s="11">
        <v>2</v>
      </c>
      <c r="E23" s="24" t="s">
        <v>254</v>
      </c>
    </row>
    <row r="24" spans="1:5" s="30" customFormat="1" ht="12.75" customHeight="1" x14ac:dyDescent="0.2">
      <c r="A24" s="33" t="s">
        <v>208</v>
      </c>
      <c r="B24" s="32">
        <v>2737.27</v>
      </c>
      <c r="C24" s="24" t="s">
        <v>100</v>
      </c>
      <c r="D24" s="11">
        <v>2</v>
      </c>
      <c r="E24" s="24" t="s">
        <v>255</v>
      </c>
    </row>
    <row r="25" spans="1:5" s="30" customFormat="1" ht="12.75" customHeight="1" x14ac:dyDescent="0.2">
      <c r="A25" s="33" t="s">
        <v>208</v>
      </c>
      <c r="B25" s="32">
        <v>270</v>
      </c>
      <c r="C25" s="24" t="s">
        <v>100</v>
      </c>
      <c r="D25" s="11">
        <v>3</v>
      </c>
      <c r="E25" s="24" t="s">
        <v>256</v>
      </c>
    </row>
    <row r="26" spans="1:5" s="30" customFormat="1" ht="12.75" customHeight="1" x14ac:dyDescent="0.2">
      <c r="A26" s="33" t="s">
        <v>208</v>
      </c>
      <c r="B26" s="222">
        <v>196.85</v>
      </c>
      <c r="C26" s="24" t="s">
        <v>100</v>
      </c>
      <c r="D26" s="11">
        <v>2</v>
      </c>
      <c r="E26" s="24" t="s">
        <v>88</v>
      </c>
    </row>
    <row r="27" spans="1:5" s="30" customFormat="1" ht="12.75" customHeight="1" x14ac:dyDescent="0.2">
      <c r="A27" s="33" t="s">
        <v>208</v>
      </c>
      <c r="B27" s="32">
        <v>480855.79</v>
      </c>
      <c r="C27" s="24" t="s">
        <v>100</v>
      </c>
      <c r="D27" s="11">
        <v>4</v>
      </c>
      <c r="E27" s="24" t="s">
        <v>102</v>
      </c>
    </row>
    <row r="28" spans="1:5" s="30" customFormat="1" ht="12.75" customHeight="1" x14ac:dyDescent="0.2">
      <c r="A28" s="33" t="s">
        <v>209</v>
      </c>
      <c r="B28" s="32">
        <v>-350214.36</v>
      </c>
      <c r="C28" s="24" t="s">
        <v>100</v>
      </c>
      <c r="D28" s="11">
        <v>-4</v>
      </c>
      <c r="E28" s="24" t="s">
        <v>8</v>
      </c>
    </row>
    <row r="29" spans="1:5" s="30" customFormat="1" x14ac:dyDescent="0.2">
      <c r="A29" s="33" t="s">
        <v>209</v>
      </c>
      <c r="B29" s="32">
        <v>-198634.81</v>
      </c>
      <c r="C29" s="24" t="s">
        <v>100</v>
      </c>
      <c r="D29" s="11">
        <v>-3</v>
      </c>
      <c r="E29" s="24" t="s">
        <v>257</v>
      </c>
    </row>
    <row r="30" spans="1:5" s="30" customFormat="1" ht="12.75" customHeight="1" x14ac:dyDescent="0.2">
      <c r="A30" s="33" t="s">
        <v>209</v>
      </c>
      <c r="B30" s="32">
        <v>-2260.69</v>
      </c>
      <c r="C30" s="24" t="s">
        <v>100</v>
      </c>
      <c r="D30" s="11">
        <v>-2</v>
      </c>
      <c r="E30" s="24" t="s">
        <v>258</v>
      </c>
    </row>
    <row r="31" spans="1:5" s="30" customFormat="1" ht="12.75" customHeight="1" x14ac:dyDescent="0.2">
      <c r="A31" s="33" t="s">
        <v>209</v>
      </c>
      <c r="B31" s="32">
        <v>-1416</v>
      </c>
      <c r="C31" s="24" t="s">
        <v>100</v>
      </c>
      <c r="D31" s="11">
        <v>-2</v>
      </c>
      <c r="E31" s="24" t="s">
        <v>259</v>
      </c>
    </row>
    <row r="32" spans="1:5" s="30" customFormat="1" ht="12.75" customHeight="1" x14ac:dyDescent="0.2">
      <c r="A32" s="33" t="s">
        <v>209</v>
      </c>
      <c r="B32" s="32">
        <v>-550</v>
      </c>
      <c r="C32" s="24" t="s">
        <v>157</v>
      </c>
      <c r="D32" s="11">
        <v>-3</v>
      </c>
      <c r="E32" s="24" t="s">
        <v>103</v>
      </c>
    </row>
    <row r="33" spans="1:5" s="30" customFormat="1" ht="12.75" customHeight="1" x14ac:dyDescent="0.2">
      <c r="A33" s="33" t="s">
        <v>209</v>
      </c>
      <c r="B33" s="209">
        <v>39168.160000000003</v>
      </c>
      <c r="C33" s="24" t="s">
        <v>100</v>
      </c>
      <c r="D33" s="11">
        <v>2</v>
      </c>
      <c r="E33" s="24" t="s">
        <v>260</v>
      </c>
    </row>
    <row r="34" spans="1:5" s="30" customFormat="1" ht="12.75" customHeight="1" x14ac:dyDescent="0.2">
      <c r="A34" s="33" t="s">
        <v>209</v>
      </c>
      <c r="B34" s="32">
        <v>8167.98</v>
      </c>
      <c r="C34" s="24" t="s">
        <v>100</v>
      </c>
      <c r="D34" s="11">
        <v>2</v>
      </c>
      <c r="E34" s="24" t="s">
        <v>261</v>
      </c>
    </row>
    <row r="35" spans="1:5" s="30" customFormat="1" ht="12.75" customHeight="1" x14ac:dyDescent="0.2">
      <c r="A35" s="33" t="s">
        <v>209</v>
      </c>
      <c r="B35" s="236">
        <v>1854.72</v>
      </c>
      <c r="C35" s="24" t="s">
        <v>100</v>
      </c>
      <c r="D35" s="11">
        <v>2</v>
      </c>
      <c r="E35" s="24" t="s">
        <v>262</v>
      </c>
    </row>
    <row r="36" spans="1:5" s="30" customFormat="1" ht="12.75" customHeight="1" x14ac:dyDescent="0.2">
      <c r="A36" s="33" t="s">
        <v>209</v>
      </c>
      <c r="B36" s="32">
        <v>970</v>
      </c>
      <c r="C36" s="24" t="s">
        <v>100</v>
      </c>
      <c r="D36" s="11">
        <v>2</v>
      </c>
      <c r="E36" s="24" t="s">
        <v>263</v>
      </c>
    </row>
    <row r="37" spans="1:5" s="30" customFormat="1" ht="12.75" customHeight="1" x14ac:dyDescent="0.2">
      <c r="A37" s="33" t="s">
        <v>209</v>
      </c>
      <c r="B37" s="32">
        <v>966.94</v>
      </c>
      <c r="C37" s="24" t="s">
        <v>100</v>
      </c>
      <c r="D37" s="11">
        <v>2</v>
      </c>
      <c r="E37" s="24" t="s">
        <v>264</v>
      </c>
    </row>
    <row r="38" spans="1:5" s="30" customFormat="1" ht="12.75" customHeight="1" x14ac:dyDescent="0.2">
      <c r="A38" s="33" t="s">
        <v>209</v>
      </c>
      <c r="B38" s="32">
        <v>908.08</v>
      </c>
      <c r="C38" s="24" t="s">
        <v>100</v>
      </c>
      <c r="D38" s="11">
        <v>2</v>
      </c>
      <c r="E38" s="24" t="s">
        <v>265</v>
      </c>
    </row>
    <row r="39" spans="1:5" s="30" customFormat="1" ht="12.75" customHeight="1" x14ac:dyDescent="0.2">
      <c r="A39" s="33" t="s">
        <v>209</v>
      </c>
      <c r="B39" s="32">
        <v>500843.98</v>
      </c>
      <c r="C39" s="24" t="s">
        <v>100</v>
      </c>
      <c r="D39" s="11">
        <v>4</v>
      </c>
      <c r="E39" s="24" t="s">
        <v>102</v>
      </c>
    </row>
    <row r="40" spans="1:5" s="30" customFormat="1" ht="12.75" customHeight="1" x14ac:dyDescent="0.2">
      <c r="A40" s="33" t="s">
        <v>210</v>
      </c>
      <c r="B40" s="32">
        <v>-477523.6</v>
      </c>
      <c r="C40" s="24" t="s">
        <v>100</v>
      </c>
      <c r="D40" s="11">
        <v>-4</v>
      </c>
      <c r="E40" s="24" t="s">
        <v>8</v>
      </c>
    </row>
    <row r="41" spans="1:5" s="30" customFormat="1" ht="12.75" customHeight="1" x14ac:dyDescent="0.2">
      <c r="A41" s="33" t="s">
        <v>210</v>
      </c>
      <c r="B41" s="32">
        <v>-443.96</v>
      </c>
      <c r="C41" s="24" t="s">
        <v>100</v>
      </c>
      <c r="D41" s="11">
        <v>-2</v>
      </c>
      <c r="E41" s="24" t="s">
        <v>266</v>
      </c>
    </row>
    <row r="42" spans="1:5" s="30" customFormat="1" ht="12.75" customHeight="1" x14ac:dyDescent="0.2">
      <c r="A42" s="33" t="s">
        <v>210</v>
      </c>
      <c r="B42" s="211">
        <v>113743.08</v>
      </c>
      <c r="C42" s="24" t="s">
        <v>100</v>
      </c>
      <c r="D42" s="11">
        <v>2</v>
      </c>
      <c r="E42" s="24" t="s">
        <v>267</v>
      </c>
    </row>
    <row r="43" spans="1:5" s="30" customFormat="1" ht="12.75" customHeight="1" x14ac:dyDescent="0.2">
      <c r="A43" s="33" t="s">
        <v>210</v>
      </c>
      <c r="B43" s="32">
        <v>10175.59</v>
      </c>
      <c r="C43" s="24" t="s">
        <v>100</v>
      </c>
      <c r="D43" s="11">
        <v>2</v>
      </c>
      <c r="E43" s="24" t="s">
        <v>268</v>
      </c>
    </row>
    <row r="44" spans="1:5" s="30" customFormat="1" ht="12.75" customHeight="1" x14ac:dyDescent="0.2">
      <c r="A44" s="33" t="s">
        <v>210</v>
      </c>
      <c r="B44" s="236">
        <v>3834.53</v>
      </c>
      <c r="C44" s="24" t="s">
        <v>100</v>
      </c>
      <c r="D44" s="11">
        <v>2</v>
      </c>
      <c r="E44" s="24" t="s">
        <v>269</v>
      </c>
    </row>
    <row r="45" spans="1:5" s="30" customFormat="1" ht="12.75" customHeight="1" x14ac:dyDescent="0.2">
      <c r="A45" s="33" t="s">
        <v>210</v>
      </c>
      <c r="B45" s="32">
        <v>350214.36</v>
      </c>
      <c r="C45" s="24" t="s">
        <v>100</v>
      </c>
      <c r="D45" s="11">
        <v>4</v>
      </c>
      <c r="E45" s="24" t="s">
        <v>102</v>
      </c>
    </row>
    <row r="46" spans="1:5" s="30" customFormat="1" ht="12.75" customHeight="1" x14ac:dyDescent="0.2">
      <c r="A46" s="33" t="s">
        <v>211</v>
      </c>
      <c r="B46" s="32">
        <v>-512296.33</v>
      </c>
      <c r="C46" s="24" t="s">
        <v>100</v>
      </c>
      <c r="D46" s="11">
        <v>-4</v>
      </c>
      <c r="E46" s="24" t="s">
        <v>8</v>
      </c>
    </row>
    <row r="47" spans="1:5" s="30" customFormat="1" ht="12.75" customHeight="1" x14ac:dyDescent="0.2">
      <c r="A47" s="33" t="s">
        <v>211</v>
      </c>
      <c r="B47" s="32">
        <v>-924.15</v>
      </c>
      <c r="C47" s="24" t="s">
        <v>100</v>
      </c>
      <c r="D47" s="11">
        <v>-2</v>
      </c>
      <c r="E47" s="24" t="s">
        <v>270</v>
      </c>
    </row>
    <row r="48" spans="1:5" s="30" customFormat="1" ht="12.75" customHeight="1" x14ac:dyDescent="0.2">
      <c r="A48" s="33" t="s">
        <v>211</v>
      </c>
      <c r="B48" s="32">
        <v>-21748.98</v>
      </c>
      <c r="C48" s="24" t="s">
        <v>100</v>
      </c>
      <c r="D48" s="11">
        <v>-2</v>
      </c>
      <c r="E48" s="24" t="s">
        <v>271</v>
      </c>
    </row>
    <row r="49" spans="1:5" s="30" customFormat="1" ht="12.75" customHeight="1" x14ac:dyDescent="0.2">
      <c r="A49" s="33" t="s">
        <v>211</v>
      </c>
      <c r="B49" s="214">
        <v>22336.09</v>
      </c>
      <c r="C49" s="24" t="s">
        <v>100</v>
      </c>
      <c r="D49" s="11">
        <v>2</v>
      </c>
      <c r="E49" s="24" t="s">
        <v>272</v>
      </c>
    </row>
    <row r="50" spans="1:5" s="30" customFormat="1" ht="12.75" customHeight="1" x14ac:dyDescent="0.2">
      <c r="A50" s="33" t="s">
        <v>211</v>
      </c>
      <c r="B50" s="204">
        <v>18571.599999999999</v>
      </c>
      <c r="C50" s="24" t="s">
        <v>100</v>
      </c>
      <c r="D50" s="11">
        <v>2</v>
      </c>
      <c r="E50" s="24" t="s">
        <v>273</v>
      </c>
    </row>
    <row r="51" spans="1:5" s="30" customFormat="1" x14ac:dyDescent="0.2">
      <c r="A51" s="33" t="s">
        <v>211</v>
      </c>
      <c r="B51" s="32">
        <v>7325.97</v>
      </c>
      <c r="C51" s="24" t="s">
        <v>100</v>
      </c>
      <c r="D51" s="11">
        <v>2</v>
      </c>
      <c r="E51" s="24" t="s">
        <v>274</v>
      </c>
    </row>
    <row r="52" spans="1:5" s="30" customFormat="1" x14ac:dyDescent="0.2">
      <c r="A52" s="33" t="s">
        <v>211</v>
      </c>
      <c r="B52" s="32">
        <v>2742.27</v>
      </c>
      <c r="C52" s="24" t="s">
        <v>100</v>
      </c>
      <c r="D52" s="11">
        <v>2</v>
      </c>
      <c r="E52" s="24" t="s">
        <v>275</v>
      </c>
    </row>
    <row r="53" spans="1:5" s="30" customFormat="1" ht="12.75" customHeight="1" x14ac:dyDescent="0.2">
      <c r="A53" s="33" t="s">
        <v>211</v>
      </c>
      <c r="B53" s="32">
        <v>1756.58</v>
      </c>
      <c r="C53" s="24" t="s">
        <v>100</v>
      </c>
      <c r="D53" s="11">
        <v>2</v>
      </c>
      <c r="E53" s="24" t="s">
        <v>276</v>
      </c>
    </row>
    <row r="54" spans="1:5" s="30" customFormat="1" ht="12.75" customHeight="1" x14ac:dyDescent="0.2">
      <c r="A54" s="33" t="s">
        <v>211</v>
      </c>
      <c r="B54" s="32">
        <v>1732.58</v>
      </c>
      <c r="C54" s="24" t="s">
        <v>100</v>
      </c>
      <c r="D54" s="11">
        <v>2</v>
      </c>
      <c r="E54" s="24" t="s">
        <v>277</v>
      </c>
    </row>
    <row r="55" spans="1:5" s="30" customFormat="1" ht="12.75" customHeight="1" x14ac:dyDescent="0.2">
      <c r="A55" s="33" t="s">
        <v>211</v>
      </c>
      <c r="B55" s="32">
        <v>1107</v>
      </c>
      <c r="C55" s="24" t="s">
        <v>100</v>
      </c>
      <c r="D55" s="11">
        <v>2</v>
      </c>
      <c r="E55" s="24" t="s">
        <v>278</v>
      </c>
    </row>
    <row r="56" spans="1:5" s="30" customFormat="1" ht="12.75" customHeight="1" x14ac:dyDescent="0.2">
      <c r="A56" s="33" t="s">
        <v>211</v>
      </c>
      <c r="B56" s="32">
        <v>954.58</v>
      </c>
      <c r="C56" s="24" t="s">
        <v>100</v>
      </c>
      <c r="D56" s="11">
        <v>2</v>
      </c>
      <c r="E56" s="24" t="s">
        <v>279</v>
      </c>
    </row>
    <row r="57" spans="1:5" s="30" customFormat="1" ht="12.75" customHeight="1" x14ac:dyDescent="0.2">
      <c r="A57" s="33" t="s">
        <v>211</v>
      </c>
      <c r="B57" s="32">
        <v>919.19</v>
      </c>
      <c r="C57" s="24" t="s">
        <v>100</v>
      </c>
      <c r="D57" s="11">
        <v>2</v>
      </c>
      <c r="E57" s="24" t="s">
        <v>280</v>
      </c>
    </row>
    <row r="58" spans="1:5" s="30" customFormat="1" ht="12.75" customHeight="1" x14ac:dyDescent="0.2">
      <c r="A58" s="33" t="s">
        <v>211</v>
      </c>
      <c r="B58" s="32">
        <v>477523.6</v>
      </c>
      <c r="C58" s="24" t="s">
        <v>100</v>
      </c>
      <c r="D58" s="11">
        <v>4</v>
      </c>
      <c r="E58" s="24" t="s">
        <v>102</v>
      </c>
    </row>
    <row r="59" spans="1:5" s="30" customFormat="1" ht="12.75" customHeight="1" x14ac:dyDescent="0.2">
      <c r="A59" s="33" t="s">
        <v>212</v>
      </c>
      <c r="B59" s="32">
        <v>-513063.8</v>
      </c>
      <c r="C59" s="24" t="s">
        <v>100</v>
      </c>
      <c r="D59" s="11">
        <v>-4</v>
      </c>
      <c r="E59" s="24" t="s">
        <v>8</v>
      </c>
    </row>
    <row r="60" spans="1:5" s="30" customFormat="1" ht="12.75" customHeight="1" x14ac:dyDescent="0.2">
      <c r="A60" s="33" t="s">
        <v>212</v>
      </c>
      <c r="B60" s="32">
        <v>-1852.57</v>
      </c>
      <c r="C60" s="24" t="s">
        <v>100</v>
      </c>
      <c r="D60" s="11">
        <v>-2</v>
      </c>
      <c r="E60" s="24" t="s">
        <v>281</v>
      </c>
    </row>
    <row r="61" spans="1:5" s="30" customFormat="1" ht="12.75" customHeight="1" x14ac:dyDescent="0.2">
      <c r="A61" s="33" t="s">
        <v>212</v>
      </c>
      <c r="B61" s="32">
        <v>-485.18</v>
      </c>
      <c r="C61" s="24" t="s">
        <v>100</v>
      </c>
      <c r="D61" s="11">
        <v>-2</v>
      </c>
      <c r="E61" s="24" t="s">
        <v>282</v>
      </c>
    </row>
    <row r="62" spans="1:5" s="30" customFormat="1" ht="12.75" customHeight="1" x14ac:dyDescent="0.2">
      <c r="A62" s="33" t="s">
        <v>212</v>
      </c>
      <c r="B62" s="32">
        <v>-833.41</v>
      </c>
      <c r="C62" s="24" t="s">
        <v>100</v>
      </c>
      <c r="D62" s="11">
        <v>-2</v>
      </c>
      <c r="E62" s="24" t="s">
        <v>283</v>
      </c>
    </row>
    <row r="63" spans="1:5" s="30" customFormat="1" ht="12.75" customHeight="1" x14ac:dyDescent="0.2">
      <c r="A63" s="33" t="s">
        <v>212</v>
      </c>
      <c r="B63" s="32">
        <v>1971.19</v>
      </c>
      <c r="C63" s="24" t="s">
        <v>100</v>
      </c>
      <c r="D63" s="11">
        <v>2</v>
      </c>
      <c r="E63" s="24" t="s">
        <v>284</v>
      </c>
    </row>
    <row r="64" spans="1:5" s="30" customFormat="1" x14ac:dyDescent="0.2">
      <c r="A64" s="33" t="s">
        <v>212</v>
      </c>
      <c r="B64" s="32">
        <v>1967.44</v>
      </c>
      <c r="C64" s="24" t="s">
        <v>100</v>
      </c>
      <c r="D64" s="11">
        <v>2</v>
      </c>
      <c r="E64" s="24" t="s">
        <v>285</v>
      </c>
    </row>
    <row r="65" spans="1:5" s="30" customFormat="1" x14ac:dyDescent="0.2">
      <c r="A65" s="33" t="s">
        <v>212</v>
      </c>
      <c r="B65" s="32">
        <v>512296.33</v>
      </c>
      <c r="C65" s="24" t="s">
        <v>100</v>
      </c>
      <c r="D65" s="11">
        <v>4</v>
      </c>
      <c r="E65" s="24" t="s">
        <v>102</v>
      </c>
    </row>
    <row r="66" spans="1:5" s="30" customFormat="1" x14ac:dyDescent="0.2">
      <c r="A66" s="33" t="s">
        <v>213</v>
      </c>
      <c r="B66" s="32">
        <v>-502808.79</v>
      </c>
      <c r="C66" s="24" t="s">
        <v>100</v>
      </c>
      <c r="D66" s="11">
        <v>-4</v>
      </c>
      <c r="E66" s="24" t="s">
        <v>8</v>
      </c>
    </row>
    <row r="67" spans="1:5" s="30" customFormat="1" x14ac:dyDescent="0.2">
      <c r="A67" s="33" t="s">
        <v>213</v>
      </c>
      <c r="B67" s="32">
        <v>-9233.5499999999993</v>
      </c>
      <c r="C67" s="24" t="s">
        <v>214</v>
      </c>
      <c r="D67" s="11">
        <v>-2</v>
      </c>
      <c r="E67" s="24" t="s">
        <v>103</v>
      </c>
    </row>
    <row r="68" spans="1:5" s="30" customFormat="1" x14ac:dyDescent="0.2">
      <c r="A68" s="33" t="s">
        <v>213</v>
      </c>
      <c r="B68" s="215">
        <v>-7624.43</v>
      </c>
      <c r="C68" s="24" t="s">
        <v>100</v>
      </c>
      <c r="D68" s="11">
        <v>-2</v>
      </c>
      <c r="E68" s="24" t="s">
        <v>286</v>
      </c>
    </row>
    <row r="69" spans="1:5" s="30" customFormat="1" ht="12.75" customHeight="1" x14ac:dyDescent="0.2">
      <c r="A69" s="33" t="s">
        <v>213</v>
      </c>
      <c r="B69" s="32">
        <v>-800</v>
      </c>
      <c r="C69" s="24" t="s">
        <v>215</v>
      </c>
      <c r="D69" s="11">
        <v>-2</v>
      </c>
      <c r="E69" s="24" t="s">
        <v>103</v>
      </c>
    </row>
    <row r="70" spans="1:5" s="30" customFormat="1" ht="12.75" customHeight="1" x14ac:dyDescent="0.2">
      <c r="A70" s="33" t="s">
        <v>213</v>
      </c>
      <c r="B70" s="32">
        <v>-425</v>
      </c>
      <c r="C70" s="24" t="s">
        <v>216</v>
      </c>
      <c r="D70" s="11">
        <v>-2</v>
      </c>
      <c r="E70" s="24" t="s">
        <v>103</v>
      </c>
    </row>
    <row r="71" spans="1:5" s="30" customFormat="1" ht="12.75" customHeight="1" x14ac:dyDescent="0.2">
      <c r="A71" s="33" t="s">
        <v>213</v>
      </c>
      <c r="B71" s="32">
        <v>-368.81</v>
      </c>
      <c r="C71" s="24" t="s">
        <v>217</v>
      </c>
      <c r="D71" s="11">
        <v>-2</v>
      </c>
      <c r="E71" s="24" t="s">
        <v>103</v>
      </c>
    </row>
    <row r="72" spans="1:5" s="30" customFormat="1" ht="12.75" customHeight="1" x14ac:dyDescent="0.2">
      <c r="A72" s="33" t="s">
        <v>213</v>
      </c>
      <c r="B72" s="32">
        <v>-240</v>
      </c>
      <c r="C72" s="24" t="s">
        <v>218</v>
      </c>
      <c r="D72" s="11">
        <v>-2</v>
      </c>
      <c r="E72" s="24" t="s">
        <v>103</v>
      </c>
    </row>
    <row r="73" spans="1:5" s="30" customFormat="1" ht="12.75" customHeight="1" x14ac:dyDescent="0.2">
      <c r="A73" s="33" t="s">
        <v>213</v>
      </c>
      <c r="B73" s="32">
        <v>-2058.64</v>
      </c>
      <c r="C73" s="24" t="s">
        <v>100</v>
      </c>
      <c r="D73" s="11">
        <v>-2</v>
      </c>
      <c r="E73" s="24" t="s">
        <v>287</v>
      </c>
    </row>
    <row r="74" spans="1:5" s="30" customFormat="1" ht="12.75" customHeight="1" x14ac:dyDescent="0.2">
      <c r="A74" s="33" t="s">
        <v>213</v>
      </c>
      <c r="B74" s="32">
        <v>4185.33</v>
      </c>
      <c r="C74" s="24" t="s">
        <v>100</v>
      </c>
      <c r="D74" s="11">
        <v>2</v>
      </c>
      <c r="E74" s="24" t="s">
        <v>288</v>
      </c>
    </row>
    <row r="75" spans="1:5" s="30" customFormat="1" x14ac:dyDescent="0.2">
      <c r="A75" s="33" t="s">
        <v>213</v>
      </c>
      <c r="B75" s="32">
        <v>2266</v>
      </c>
      <c r="C75" s="24" t="s">
        <v>100</v>
      </c>
      <c r="D75" s="11">
        <v>2</v>
      </c>
      <c r="E75" s="24" t="s">
        <v>289</v>
      </c>
    </row>
    <row r="76" spans="1:5" s="30" customFormat="1" ht="12.75" customHeight="1" x14ac:dyDescent="0.2">
      <c r="A76" s="33" t="s">
        <v>213</v>
      </c>
      <c r="B76" s="243">
        <v>2096.09</v>
      </c>
      <c r="C76" s="24" t="s">
        <v>100</v>
      </c>
      <c r="D76" s="11">
        <v>2</v>
      </c>
      <c r="E76" s="24" t="s">
        <v>290</v>
      </c>
    </row>
    <row r="77" spans="1:5" s="30" customFormat="1" ht="12.75" customHeight="1" x14ac:dyDescent="0.2">
      <c r="A77" s="33" t="s">
        <v>213</v>
      </c>
      <c r="B77" s="32">
        <v>1948</v>
      </c>
      <c r="C77" s="24" t="s">
        <v>100</v>
      </c>
      <c r="D77" s="11">
        <v>2</v>
      </c>
      <c r="E77" s="24" t="s">
        <v>291</v>
      </c>
    </row>
    <row r="78" spans="1:5" s="30" customFormat="1" ht="12.75" customHeight="1" x14ac:dyDescent="0.2">
      <c r="A78" s="33" t="s">
        <v>213</v>
      </c>
      <c r="B78" s="32">
        <v>513063.8</v>
      </c>
      <c r="C78" s="24" t="s">
        <v>100</v>
      </c>
      <c r="D78" s="11">
        <v>4</v>
      </c>
      <c r="E78" s="24" t="s">
        <v>102</v>
      </c>
    </row>
    <row r="79" spans="1:5" s="30" customFormat="1" ht="12.75" customHeight="1" x14ac:dyDescent="0.2">
      <c r="A79" s="33" t="s">
        <v>219</v>
      </c>
      <c r="B79" s="32">
        <v>-503553.64</v>
      </c>
      <c r="C79" s="24" t="s">
        <v>100</v>
      </c>
      <c r="D79" s="11">
        <v>-4</v>
      </c>
      <c r="E79" s="24" t="s">
        <v>8</v>
      </c>
    </row>
    <row r="80" spans="1:5" s="30" customFormat="1" ht="12.75" customHeight="1" x14ac:dyDescent="0.2">
      <c r="A80" s="33" t="s">
        <v>219</v>
      </c>
      <c r="B80" s="32">
        <v>-100.14</v>
      </c>
      <c r="C80" s="24" t="s">
        <v>100</v>
      </c>
      <c r="D80" s="11">
        <v>-2</v>
      </c>
      <c r="E80" s="24" t="s">
        <v>292</v>
      </c>
    </row>
    <row r="81" spans="1:5" s="30" customFormat="1" ht="12.75" customHeight="1" x14ac:dyDescent="0.2">
      <c r="A81" s="33" t="s">
        <v>219</v>
      </c>
      <c r="B81" s="32">
        <v>-56</v>
      </c>
      <c r="C81" s="24" t="s">
        <v>163</v>
      </c>
      <c r="D81" s="11">
        <v>-3</v>
      </c>
      <c r="E81" s="24" t="s">
        <v>103</v>
      </c>
    </row>
    <row r="82" spans="1:5" s="30" customFormat="1" ht="12.75" customHeight="1" x14ac:dyDescent="0.2">
      <c r="A82" s="33" t="s">
        <v>219</v>
      </c>
      <c r="B82" s="32">
        <v>-5</v>
      </c>
      <c r="C82" s="24" t="s">
        <v>100</v>
      </c>
      <c r="D82" s="11">
        <v>-2</v>
      </c>
      <c r="E82" s="24" t="s">
        <v>293</v>
      </c>
    </row>
    <row r="83" spans="1:5" s="30" customFormat="1" ht="12.75" customHeight="1" x14ac:dyDescent="0.2">
      <c r="A83" s="33" t="s">
        <v>219</v>
      </c>
      <c r="B83" s="32">
        <v>-103.74</v>
      </c>
      <c r="C83" s="24" t="s">
        <v>100</v>
      </c>
      <c r="D83" s="11">
        <v>-2</v>
      </c>
      <c r="E83" s="24" t="s">
        <v>294</v>
      </c>
    </row>
    <row r="84" spans="1:5" s="30" customFormat="1" ht="12.75" customHeight="1" x14ac:dyDescent="0.2">
      <c r="A84" s="33" t="s">
        <v>219</v>
      </c>
      <c r="B84" s="32">
        <v>909.73</v>
      </c>
      <c r="C84" s="24" t="s">
        <v>100</v>
      </c>
      <c r="D84" s="11">
        <v>2</v>
      </c>
      <c r="E84" s="24" t="s">
        <v>295</v>
      </c>
    </row>
    <row r="85" spans="1:5" s="30" customFormat="1" x14ac:dyDescent="0.2">
      <c r="A85" s="33" t="s">
        <v>219</v>
      </c>
      <c r="B85" s="32">
        <v>50</v>
      </c>
      <c r="C85" s="24" t="s">
        <v>100</v>
      </c>
      <c r="D85" s="11">
        <v>2</v>
      </c>
      <c r="E85" s="24" t="s">
        <v>296</v>
      </c>
    </row>
    <row r="86" spans="1:5" s="30" customFormat="1" x14ac:dyDescent="0.2">
      <c r="A86" s="33" t="s">
        <v>219</v>
      </c>
      <c r="B86" s="32">
        <v>50</v>
      </c>
      <c r="C86" s="24" t="s">
        <v>100</v>
      </c>
      <c r="D86" s="11">
        <v>2</v>
      </c>
      <c r="E86" s="24" t="s">
        <v>297</v>
      </c>
    </row>
    <row r="87" spans="1:5" s="30" customFormat="1" x14ac:dyDescent="0.2">
      <c r="A87" s="33" t="s">
        <v>219</v>
      </c>
      <c r="B87" s="32">
        <v>502808.79</v>
      </c>
      <c r="C87" s="24" t="s">
        <v>100</v>
      </c>
      <c r="D87" s="11">
        <v>4</v>
      </c>
      <c r="E87" s="24" t="s">
        <v>102</v>
      </c>
    </row>
    <row r="88" spans="1:5" s="30" customFormat="1" x14ac:dyDescent="0.2">
      <c r="A88" s="33" t="s">
        <v>220</v>
      </c>
      <c r="B88" s="32">
        <v>-506754.53</v>
      </c>
      <c r="C88" s="24" t="s">
        <v>100</v>
      </c>
      <c r="D88" s="11">
        <v>-4</v>
      </c>
      <c r="E88" s="24" t="s">
        <v>8</v>
      </c>
    </row>
    <row r="89" spans="1:5" s="30" customFormat="1" ht="12.75" customHeight="1" x14ac:dyDescent="0.2">
      <c r="A89" s="33" t="s">
        <v>220</v>
      </c>
      <c r="B89" s="32">
        <v>-471.7</v>
      </c>
      <c r="C89" s="24" t="s">
        <v>221</v>
      </c>
      <c r="D89" s="11">
        <v>-2</v>
      </c>
      <c r="E89" s="24" t="s">
        <v>103</v>
      </c>
    </row>
    <row r="90" spans="1:5" s="30" customFormat="1" ht="12.75" customHeight="1" x14ac:dyDescent="0.2">
      <c r="A90" s="33" t="s">
        <v>220</v>
      </c>
      <c r="B90" s="32">
        <v>-26.09</v>
      </c>
      <c r="C90" s="24" t="s">
        <v>222</v>
      </c>
      <c r="D90" s="11">
        <v>-2</v>
      </c>
      <c r="E90" s="24" t="s">
        <v>103</v>
      </c>
    </row>
    <row r="91" spans="1:5" s="30" customFormat="1" ht="12.75" customHeight="1" x14ac:dyDescent="0.2">
      <c r="A91" s="33" t="s">
        <v>220</v>
      </c>
      <c r="B91" s="199">
        <v>-565.23</v>
      </c>
      <c r="C91" s="24" t="s">
        <v>100</v>
      </c>
      <c r="D91" s="11">
        <v>-2</v>
      </c>
      <c r="E91" s="24" t="s">
        <v>298</v>
      </c>
    </row>
    <row r="92" spans="1:5" s="30" customFormat="1" ht="12.75" customHeight="1" x14ac:dyDescent="0.2">
      <c r="A92" s="33" t="s">
        <v>220</v>
      </c>
      <c r="B92" s="32">
        <v>2187.39</v>
      </c>
      <c r="C92" s="24" t="s">
        <v>100</v>
      </c>
      <c r="D92" s="11">
        <v>2</v>
      </c>
      <c r="E92" s="24" t="s">
        <v>299</v>
      </c>
    </row>
    <row r="93" spans="1:5" s="30" customFormat="1" ht="12.75" customHeight="1" x14ac:dyDescent="0.2">
      <c r="A93" s="33" t="s">
        <v>220</v>
      </c>
      <c r="B93" s="32">
        <v>2076.52</v>
      </c>
      <c r="C93" s="24" t="s">
        <v>100</v>
      </c>
      <c r="D93" s="11">
        <v>2</v>
      </c>
      <c r="E93" s="24" t="s">
        <v>300</v>
      </c>
    </row>
    <row r="94" spans="1:5" s="30" customFormat="1" ht="12.75" customHeight="1" x14ac:dyDescent="0.2">
      <c r="A94" s="33" t="s">
        <v>220</v>
      </c>
      <c r="B94" s="32">
        <v>503553.64</v>
      </c>
      <c r="C94" s="24" t="s">
        <v>100</v>
      </c>
      <c r="D94" s="11">
        <v>4</v>
      </c>
      <c r="E94" s="24" t="s">
        <v>102</v>
      </c>
    </row>
    <row r="95" spans="1:5" s="30" customFormat="1" ht="12.75" customHeight="1" x14ac:dyDescent="0.2">
      <c r="A95" s="33" t="s">
        <v>223</v>
      </c>
      <c r="B95" s="32">
        <v>-509669.26</v>
      </c>
      <c r="C95" s="24" t="s">
        <v>100</v>
      </c>
      <c r="D95" s="11">
        <v>-4</v>
      </c>
      <c r="E95" s="24" t="s">
        <v>8</v>
      </c>
    </row>
    <row r="96" spans="1:5" s="30" customFormat="1" ht="12.75" customHeight="1" x14ac:dyDescent="0.2">
      <c r="A96" s="33" t="s">
        <v>223</v>
      </c>
      <c r="B96" s="32">
        <v>-244.95</v>
      </c>
      <c r="C96" s="24" t="s">
        <v>224</v>
      </c>
      <c r="D96" s="11">
        <v>-2</v>
      </c>
      <c r="E96" s="24" t="s">
        <v>103</v>
      </c>
    </row>
    <row r="97" spans="1:5" s="30" customFormat="1" ht="12.75" customHeight="1" x14ac:dyDescent="0.2">
      <c r="A97" s="33" t="s">
        <v>223</v>
      </c>
      <c r="B97" s="32">
        <v>-90</v>
      </c>
      <c r="C97" s="24" t="s">
        <v>225</v>
      </c>
      <c r="D97" s="11">
        <v>-2</v>
      </c>
      <c r="E97" s="24" t="s">
        <v>103</v>
      </c>
    </row>
    <row r="98" spans="1:5" s="30" customFormat="1" ht="12.75" customHeight="1" x14ac:dyDescent="0.2">
      <c r="A98" s="33" t="s">
        <v>223</v>
      </c>
      <c r="B98" s="32">
        <v>-50</v>
      </c>
      <c r="C98" s="24" t="s">
        <v>100</v>
      </c>
      <c r="D98" s="11">
        <v>-2</v>
      </c>
      <c r="E98" s="24" t="s">
        <v>301</v>
      </c>
    </row>
    <row r="99" spans="1:5" s="30" customFormat="1" ht="12.75" customHeight="1" x14ac:dyDescent="0.2">
      <c r="A99" s="33" t="s">
        <v>223</v>
      </c>
      <c r="B99" s="217">
        <v>3231.99</v>
      </c>
      <c r="C99" s="24" t="s">
        <v>100</v>
      </c>
      <c r="D99" s="11">
        <v>2</v>
      </c>
      <c r="E99" s="24" t="s">
        <v>302</v>
      </c>
    </row>
    <row r="100" spans="1:5" s="30" customFormat="1" ht="12.75" customHeight="1" x14ac:dyDescent="0.2">
      <c r="A100" s="33" t="s">
        <v>223</v>
      </c>
      <c r="B100" s="32">
        <v>67.69</v>
      </c>
      <c r="C100" s="24" t="s">
        <v>100</v>
      </c>
      <c r="D100" s="11">
        <v>2</v>
      </c>
      <c r="E100" s="24" t="s">
        <v>303</v>
      </c>
    </row>
    <row r="101" spans="1:5" s="30" customFormat="1" ht="12.75" customHeight="1" x14ac:dyDescent="0.2">
      <c r="A101" s="33" t="s">
        <v>223</v>
      </c>
      <c r="B101" s="32">
        <v>506754.53</v>
      </c>
      <c r="C101" s="24" t="s">
        <v>100</v>
      </c>
      <c r="D101" s="11">
        <v>4</v>
      </c>
      <c r="E101" s="24" t="s">
        <v>102</v>
      </c>
    </row>
    <row r="102" spans="1:5" s="30" customFormat="1" ht="12.75" customHeight="1" x14ac:dyDescent="0.2">
      <c r="A102" s="33" t="s">
        <v>226</v>
      </c>
      <c r="B102" s="32">
        <v>-500602.56</v>
      </c>
      <c r="C102" s="24" t="s">
        <v>100</v>
      </c>
      <c r="D102" s="11">
        <v>-4</v>
      </c>
      <c r="E102" s="24" t="s">
        <v>8</v>
      </c>
    </row>
    <row r="103" spans="1:5" s="30" customFormat="1" ht="12.75" customHeight="1" x14ac:dyDescent="0.2">
      <c r="A103" s="33" t="s">
        <v>226</v>
      </c>
      <c r="B103" s="32">
        <v>-10993.85</v>
      </c>
      <c r="C103" s="24" t="s">
        <v>227</v>
      </c>
      <c r="D103" s="11">
        <v>-2</v>
      </c>
      <c r="E103" s="24" t="s">
        <v>103</v>
      </c>
    </row>
    <row r="104" spans="1:5" s="30" customFormat="1" x14ac:dyDescent="0.2">
      <c r="A104" s="33" t="s">
        <v>226</v>
      </c>
      <c r="B104" s="32">
        <v>-295.39999999999998</v>
      </c>
      <c r="C104" s="24" t="s">
        <v>100</v>
      </c>
      <c r="D104" s="11">
        <v>-2</v>
      </c>
      <c r="E104" s="24" t="s">
        <v>304</v>
      </c>
    </row>
    <row r="105" spans="1:5" s="30" customFormat="1" x14ac:dyDescent="0.2">
      <c r="A105" s="33" t="s">
        <v>226</v>
      </c>
      <c r="B105" s="32">
        <v>-115</v>
      </c>
      <c r="C105" s="24" t="s">
        <v>228</v>
      </c>
      <c r="D105" s="11">
        <v>-2</v>
      </c>
      <c r="E105" s="24" t="s">
        <v>103</v>
      </c>
    </row>
    <row r="106" spans="1:5" s="30" customFormat="1" ht="12.75" customHeight="1" x14ac:dyDescent="0.2">
      <c r="A106" s="33" t="s">
        <v>226</v>
      </c>
      <c r="B106" s="32">
        <v>-42.4</v>
      </c>
      <c r="C106" s="24" t="s">
        <v>100</v>
      </c>
      <c r="D106" s="11">
        <v>-2</v>
      </c>
      <c r="E106" s="24" t="s">
        <v>305</v>
      </c>
    </row>
    <row r="107" spans="1:5" s="30" customFormat="1" ht="12.75" customHeight="1" x14ac:dyDescent="0.2">
      <c r="A107" s="33" t="s">
        <v>226</v>
      </c>
      <c r="B107" s="32">
        <v>2079.9499999999998</v>
      </c>
      <c r="C107" s="24" t="s">
        <v>100</v>
      </c>
      <c r="D107" s="11">
        <v>2</v>
      </c>
      <c r="E107" s="24" t="s">
        <v>306</v>
      </c>
    </row>
    <row r="108" spans="1:5" s="30" customFormat="1" ht="12.75" customHeight="1" x14ac:dyDescent="0.2">
      <c r="A108" s="33" t="s">
        <v>226</v>
      </c>
      <c r="B108" s="32">
        <v>300</v>
      </c>
      <c r="C108" s="24" t="s">
        <v>100</v>
      </c>
      <c r="D108" s="11">
        <v>2</v>
      </c>
      <c r="E108" s="24" t="s">
        <v>307</v>
      </c>
    </row>
    <row r="109" spans="1:5" s="30" customFormat="1" ht="12.75" customHeight="1" x14ac:dyDescent="0.2">
      <c r="A109" s="33" t="s">
        <v>226</v>
      </c>
      <c r="B109" s="32">
        <v>509669.26</v>
      </c>
      <c r="C109" s="24" t="s">
        <v>100</v>
      </c>
      <c r="D109" s="11">
        <v>4</v>
      </c>
      <c r="E109" s="24" t="s">
        <v>102</v>
      </c>
    </row>
    <row r="110" spans="1:5" s="30" customFormat="1" ht="12.75" customHeight="1" x14ac:dyDescent="0.2">
      <c r="A110" s="33" t="s">
        <v>229</v>
      </c>
      <c r="B110" s="32">
        <v>-495660.48</v>
      </c>
      <c r="C110" s="24" t="s">
        <v>100</v>
      </c>
      <c r="D110" s="11">
        <v>-4</v>
      </c>
      <c r="E110" s="24" t="s">
        <v>8</v>
      </c>
    </row>
    <row r="111" spans="1:5" s="30" customFormat="1" ht="12.75" customHeight="1" x14ac:dyDescent="0.2">
      <c r="A111" s="33" t="s">
        <v>229</v>
      </c>
      <c r="B111" s="202">
        <v>-5080.1099999999997</v>
      </c>
      <c r="C111" s="24" t="s">
        <v>100</v>
      </c>
      <c r="D111" s="11">
        <v>-2</v>
      </c>
      <c r="E111" s="24" t="s">
        <v>308</v>
      </c>
    </row>
    <row r="112" spans="1:5" s="30" customFormat="1" x14ac:dyDescent="0.2">
      <c r="A112" s="33" t="s">
        <v>229</v>
      </c>
      <c r="B112" s="32">
        <v>-24</v>
      </c>
      <c r="C112" s="24" t="s">
        <v>100</v>
      </c>
      <c r="D112" s="11">
        <v>-2</v>
      </c>
      <c r="E112" s="24" t="s">
        <v>309</v>
      </c>
    </row>
    <row r="113" spans="1:5" s="30" customFormat="1" x14ac:dyDescent="0.2">
      <c r="A113" s="33" t="s">
        <v>229</v>
      </c>
      <c r="B113" s="32">
        <v>122.03</v>
      </c>
      <c r="C113" s="24" t="s">
        <v>100</v>
      </c>
      <c r="D113" s="11">
        <v>2</v>
      </c>
      <c r="E113" s="24" t="s">
        <v>310</v>
      </c>
    </row>
    <row r="114" spans="1:5" s="30" customFormat="1" x14ac:dyDescent="0.2">
      <c r="A114" s="33" t="s">
        <v>229</v>
      </c>
      <c r="B114" s="32">
        <v>40</v>
      </c>
      <c r="C114" s="24" t="s">
        <v>100</v>
      </c>
      <c r="D114" s="11">
        <v>2</v>
      </c>
      <c r="E114" s="24" t="s">
        <v>311</v>
      </c>
    </row>
    <row r="115" spans="1:5" s="30" customFormat="1" ht="12.75" customHeight="1" x14ac:dyDescent="0.2">
      <c r="A115" s="33" t="s">
        <v>229</v>
      </c>
      <c r="B115" s="32">
        <v>500602.56</v>
      </c>
      <c r="C115" s="24" t="s">
        <v>100</v>
      </c>
      <c r="D115" s="11">
        <v>4</v>
      </c>
      <c r="E115" s="24" t="s">
        <v>102</v>
      </c>
    </row>
    <row r="116" spans="1:5" s="30" customFormat="1" ht="12.75" customHeight="1" x14ac:dyDescent="0.2">
      <c r="A116" s="33" t="s">
        <v>230</v>
      </c>
      <c r="B116" s="32">
        <v>-492904.01</v>
      </c>
      <c r="C116" s="24" t="s">
        <v>100</v>
      </c>
      <c r="D116" s="11">
        <v>-4</v>
      </c>
      <c r="E116" s="24" t="s">
        <v>8</v>
      </c>
    </row>
    <row r="117" spans="1:5" s="30" customFormat="1" ht="12.75" customHeight="1" x14ac:dyDescent="0.2">
      <c r="A117" s="33" t="s">
        <v>230</v>
      </c>
      <c r="B117" s="32">
        <v>-5680</v>
      </c>
      <c r="C117" s="24" t="s">
        <v>231</v>
      </c>
      <c r="D117" s="11">
        <v>-2</v>
      </c>
      <c r="E117" s="24" t="s">
        <v>103</v>
      </c>
    </row>
    <row r="118" spans="1:5" s="30" customFormat="1" ht="12.75" customHeight="1" x14ac:dyDescent="0.2">
      <c r="A118" s="33" t="s">
        <v>230</v>
      </c>
      <c r="B118" s="32">
        <v>-323.25</v>
      </c>
      <c r="C118" s="24" t="s">
        <v>100</v>
      </c>
      <c r="D118" s="11">
        <v>-2</v>
      </c>
      <c r="E118" s="24" t="s">
        <v>312</v>
      </c>
    </row>
    <row r="119" spans="1:5" s="30" customFormat="1" ht="12.75" customHeight="1" x14ac:dyDescent="0.2">
      <c r="A119" s="33" t="s">
        <v>230</v>
      </c>
      <c r="B119" s="32">
        <v>-9.65</v>
      </c>
      <c r="C119" s="24" t="s">
        <v>100</v>
      </c>
      <c r="D119" s="11">
        <v>-2</v>
      </c>
      <c r="E119" s="24" t="s">
        <v>313</v>
      </c>
    </row>
    <row r="120" spans="1:5" s="30" customFormat="1" ht="12.75" customHeight="1" x14ac:dyDescent="0.2">
      <c r="A120" s="33" t="s">
        <v>230</v>
      </c>
      <c r="B120" s="32">
        <v>2123.0500000000002</v>
      </c>
      <c r="C120" s="24" t="s">
        <v>100</v>
      </c>
      <c r="D120" s="11">
        <v>2</v>
      </c>
      <c r="E120" s="24" t="s">
        <v>314</v>
      </c>
    </row>
    <row r="121" spans="1:5" s="30" customFormat="1" ht="12.75" customHeight="1" x14ac:dyDescent="0.2">
      <c r="A121" s="33" t="s">
        <v>230</v>
      </c>
      <c r="B121" s="32">
        <v>1133.3800000000001</v>
      </c>
      <c r="C121" s="24" t="s">
        <v>100</v>
      </c>
      <c r="D121" s="11">
        <v>2</v>
      </c>
      <c r="E121" s="24" t="s">
        <v>315</v>
      </c>
    </row>
    <row r="122" spans="1:5" s="30" customFormat="1" ht="12.75" customHeight="1" x14ac:dyDescent="0.2">
      <c r="A122" s="33" t="s">
        <v>230</v>
      </c>
      <c r="B122" s="32">
        <v>495660.48</v>
      </c>
      <c r="C122" s="24" t="s">
        <v>100</v>
      </c>
      <c r="D122" s="11">
        <v>4</v>
      </c>
      <c r="E122" s="24" t="s">
        <v>102</v>
      </c>
    </row>
    <row r="123" spans="1:5" s="30" customFormat="1" x14ac:dyDescent="0.2">
      <c r="A123" s="33" t="s">
        <v>232</v>
      </c>
      <c r="B123" s="32">
        <v>-490500.08</v>
      </c>
      <c r="C123" s="24" t="s">
        <v>100</v>
      </c>
      <c r="D123" s="11">
        <v>-4</v>
      </c>
      <c r="E123" s="24" t="s">
        <v>8</v>
      </c>
    </row>
    <row r="124" spans="1:5" s="30" customFormat="1" x14ac:dyDescent="0.2">
      <c r="A124" s="33" t="s">
        <v>232</v>
      </c>
      <c r="B124" s="32">
        <v>-4950</v>
      </c>
      <c r="C124" s="24" t="s">
        <v>233</v>
      </c>
      <c r="D124" s="11">
        <v>-2</v>
      </c>
      <c r="E124" s="24" t="s">
        <v>103</v>
      </c>
    </row>
    <row r="125" spans="1:5" s="30" customFormat="1" x14ac:dyDescent="0.2">
      <c r="A125" s="33" t="s">
        <v>232</v>
      </c>
      <c r="B125" s="32">
        <v>-605</v>
      </c>
      <c r="C125" s="24" t="s">
        <v>234</v>
      </c>
      <c r="D125" s="11">
        <v>-2</v>
      </c>
      <c r="E125" s="24" t="s">
        <v>103</v>
      </c>
    </row>
    <row r="126" spans="1:5" s="30" customFormat="1" x14ac:dyDescent="0.2">
      <c r="A126" s="33" t="s">
        <v>232</v>
      </c>
      <c r="B126" s="32">
        <v>-200</v>
      </c>
      <c r="C126" s="24" t="s">
        <v>235</v>
      </c>
      <c r="D126" s="11">
        <v>-2</v>
      </c>
      <c r="E126" s="24" t="s">
        <v>103</v>
      </c>
    </row>
    <row r="127" spans="1:5" s="30" customFormat="1" x14ac:dyDescent="0.2">
      <c r="A127" s="33" t="s">
        <v>232</v>
      </c>
      <c r="B127" s="32">
        <v>-6884.05</v>
      </c>
      <c r="C127" s="24" t="s">
        <v>100</v>
      </c>
      <c r="D127" s="11">
        <v>-2</v>
      </c>
      <c r="E127" s="24" t="s">
        <v>316</v>
      </c>
    </row>
    <row r="128" spans="1:5" s="30" customFormat="1" ht="12.75" customHeight="1" x14ac:dyDescent="0.2">
      <c r="A128" s="33" t="s">
        <v>232</v>
      </c>
      <c r="B128" s="32">
        <v>4171.57</v>
      </c>
      <c r="C128" s="24" t="s">
        <v>100</v>
      </c>
      <c r="D128" s="11">
        <v>2</v>
      </c>
      <c r="E128" s="24" t="s">
        <v>317</v>
      </c>
    </row>
    <row r="129" spans="1:5" s="30" customFormat="1" ht="12.75" customHeight="1" x14ac:dyDescent="0.2">
      <c r="A129" s="33" t="s">
        <v>232</v>
      </c>
      <c r="B129" s="32">
        <v>2230.7199999999998</v>
      </c>
      <c r="C129" s="24" t="s">
        <v>100</v>
      </c>
      <c r="D129" s="11">
        <v>2</v>
      </c>
      <c r="E129" s="24" t="s">
        <v>318</v>
      </c>
    </row>
    <row r="130" spans="1:5" s="30" customFormat="1" ht="12.75" customHeight="1" x14ac:dyDescent="0.2">
      <c r="A130" s="33" t="s">
        <v>232</v>
      </c>
      <c r="B130" s="32">
        <v>2050.25</v>
      </c>
      <c r="C130" s="24" t="s">
        <v>100</v>
      </c>
      <c r="D130" s="11">
        <v>2</v>
      </c>
      <c r="E130" s="24" t="s">
        <v>319</v>
      </c>
    </row>
    <row r="131" spans="1:5" s="30" customFormat="1" ht="12.75" customHeight="1" x14ac:dyDescent="0.2">
      <c r="A131" s="33" t="s">
        <v>232</v>
      </c>
      <c r="B131" s="32">
        <v>1042.45</v>
      </c>
      <c r="C131" s="24" t="s">
        <v>100</v>
      </c>
      <c r="D131" s="11">
        <v>2</v>
      </c>
      <c r="E131" s="24" t="s">
        <v>320</v>
      </c>
    </row>
    <row r="132" spans="1:5" s="30" customFormat="1" ht="12.75" customHeight="1" x14ac:dyDescent="0.2">
      <c r="A132" s="33" t="s">
        <v>232</v>
      </c>
      <c r="B132" s="32">
        <v>205</v>
      </c>
      <c r="C132" s="24" t="s">
        <v>100</v>
      </c>
      <c r="D132" s="11">
        <v>2</v>
      </c>
      <c r="E132" s="24" t="s">
        <v>321</v>
      </c>
    </row>
    <row r="133" spans="1:5" s="30" customFormat="1" ht="12.75" customHeight="1" x14ac:dyDescent="0.2">
      <c r="A133" s="33" t="s">
        <v>232</v>
      </c>
      <c r="B133" s="32">
        <v>143</v>
      </c>
      <c r="C133" s="24" t="s">
        <v>100</v>
      </c>
      <c r="D133" s="11">
        <v>2</v>
      </c>
      <c r="E133" s="24" t="s">
        <v>322</v>
      </c>
    </row>
    <row r="134" spans="1:5" s="30" customFormat="1" ht="12.75" customHeight="1" x14ac:dyDescent="0.2">
      <c r="A134" s="33" t="s">
        <v>232</v>
      </c>
      <c r="B134" s="32">
        <v>134.59</v>
      </c>
      <c r="C134" s="24" t="s">
        <v>100</v>
      </c>
      <c r="D134" s="11">
        <v>2</v>
      </c>
      <c r="E134" s="24" t="s">
        <v>323</v>
      </c>
    </row>
    <row r="135" spans="1:5" s="30" customFormat="1" ht="12.75" customHeight="1" x14ac:dyDescent="0.2">
      <c r="A135" s="33" t="s">
        <v>232</v>
      </c>
      <c r="B135" s="32">
        <v>134.54</v>
      </c>
      <c r="C135" s="24" t="s">
        <v>100</v>
      </c>
      <c r="D135" s="11">
        <v>2</v>
      </c>
      <c r="E135" s="24" t="s">
        <v>324</v>
      </c>
    </row>
    <row r="136" spans="1:5" s="30" customFormat="1" ht="12.75" customHeight="1" x14ac:dyDescent="0.2">
      <c r="A136" s="33" t="s">
        <v>232</v>
      </c>
      <c r="B136" s="32">
        <v>63</v>
      </c>
      <c r="C136" s="24" t="s">
        <v>100</v>
      </c>
      <c r="D136" s="11">
        <v>2</v>
      </c>
      <c r="E136" s="24" t="s">
        <v>325</v>
      </c>
    </row>
    <row r="137" spans="1:5" s="30" customFormat="1" ht="12.75" customHeight="1" x14ac:dyDescent="0.2">
      <c r="A137" s="33" t="s">
        <v>232</v>
      </c>
      <c r="B137" s="32">
        <v>60</v>
      </c>
      <c r="C137" s="24" t="s">
        <v>100</v>
      </c>
      <c r="D137" s="11">
        <v>2</v>
      </c>
      <c r="E137" s="24" t="s">
        <v>326</v>
      </c>
    </row>
    <row r="138" spans="1:5" s="30" customFormat="1" ht="12.75" customHeight="1" x14ac:dyDescent="0.2">
      <c r="A138" s="33" t="s">
        <v>232</v>
      </c>
      <c r="B138" s="32">
        <v>492904.01</v>
      </c>
      <c r="C138" s="24" t="s">
        <v>100</v>
      </c>
      <c r="D138" s="11">
        <v>4</v>
      </c>
      <c r="E138" s="24" t="s">
        <v>102</v>
      </c>
    </row>
    <row r="139" spans="1:5" s="30" customFormat="1" ht="12.75" customHeight="1" x14ac:dyDescent="0.2">
      <c r="A139" s="33" t="s">
        <v>236</v>
      </c>
      <c r="B139" s="32">
        <v>-499017.35</v>
      </c>
      <c r="C139" s="24" t="s">
        <v>100</v>
      </c>
      <c r="D139" s="11">
        <v>-4</v>
      </c>
      <c r="E139" s="24" t="s">
        <v>8</v>
      </c>
    </row>
    <row r="140" spans="1:5" s="30" customFormat="1" ht="12.75" customHeight="1" x14ac:dyDescent="0.2">
      <c r="A140" s="33" t="s">
        <v>236</v>
      </c>
      <c r="B140" s="32">
        <v>-2400</v>
      </c>
      <c r="C140" s="24" t="s">
        <v>167</v>
      </c>
      <c r="D140" s="11">
        <v>-3</v>
      </c>
      <c r="E140" s="24" t="s">
        <v>103</v>
      </c>
    </row>
    <row r="141" spans="1:5" s="30" customFormat="1" ht="12.75" customHeight="1" x14ac:dyDescent="0.2">
      <c r="A141" s="33" t="s">
        <v>236</v>
      </c>
      <c r="B141" s="32">
        <v>-109.98</v>
      </c>
      <c r="C141" s="24" t="s">
        <v>100</v>
      </c>
      <c r="D141" s="11">
        <v>-2</v>
      </c>
      <c r="E141" s="24" t="s">
        <v>327</v>
      </c>
    </row>
    <row r="142" spans="1:5" s="30" customFormat="1" ht="12.75" customHeight="1" x14ac:dyDescent="0.2">
      <c r="A142" s="33" t="s">
        <v>236</v>
      </c>
      <c r="B142" s="32">
        <v>5874.97</v>
      </c>
      <c r="C142" s="24" t="s">
        <v>100</v>
      </c>
      <c r="D142" s="11">
        <v>2</v>
      </c>
      <c r="E142" s="24" t="s">
        <v>328</v>
      </c>
    </row>
    <row r="143" spans="1:5" s="30" customFormat="1" x14ac:dyDescent="0.2">
      <c r="A143" s="33" t="s">
        <v>236</v>
      </c>
      <c r="B143" s="241">
        <v>2150.33</v>
      </c>
      <c r="C143" s="24" t="s">
        <v>100</v>
      </c>
      <c r="D143" s="11">
        <v>2</v>
      </c>
      <c r="E143" s="24" t="s">
        <v>329</v>
      </c>
    </row>
    <row r="144" spans="1:5" s="30" customFormat="1" x14ac:dyDescent="0.2">
      <c r="A144" s="33" t="s">
        <v>236</v>
      </c>
      <c r="B144" s="32">
        <v>1713.58</v>
      </c>
      <c r="C144" s="24" t="s">
        <v>100</v>
      </c>
      <c r="D144" s="11">
        <v>2</v>
      </c>
      <c r="E144" s="24" t="s">
        <v>330</v>
      </c>
    </row>
    <row r="145" spans="1:5" s="30" customFormat="1" ht="12.75" customHeight="1" x14ac:dyDescent="0.2">
      <c r="A145" s="33" t="s">
        <v>236</v>
      </c>
      <c r="B145" s="32">
        <v>410</v>
      </c>
      <c r="C145" s="24" t="s">
        <v>100</v>
      </c>
      <c r="D145" s="11">
        <v>2</v>
      </c>
      <c r="E145" s="24" t="s">
        <v>331</v>
      </c>
    </row>
    <row r="146" spans="1:5" s="30" customFormat="1" x14ac:dyDescent="0.2">
      <c r="A146" s="33" t="s">
        <v>236</v>
      </c>
      <c r="B146" s="32">
        <v>248</v>
      </c>
      <c r="C146" s="24" t="s">
        <v>100</v>
      </c>
      <c r="D146" s="11">
        <v>2</v>
      </c>
      <c r="E146" s="24" t="s">
        <v>332</v>
      </c>
    </row>
    <row r="147" spans="1:5" s="30" customFormat="1" ht="12.75" customHeight="1" x14ac:dyDescent="0.2">
      <c r="A147" s="33" t="s">
        <v>236</v>
      </c>
      <c r="B147" s="32">
        <v>162</v>
      </c>
      <c r="C147" s="24" t="s">
        <v>100</v>
      </c>
      <c r="D147" s="11">
        <v>2</v>
      </c>
      <c r="E147" s="24" t="s">
        <v>333</v>
      </c>
    </row>
    <row r="148" spans="1:5" s="30" customFormat="1" x14ac:dyDescent="0.2">
      <c r="A148" s="33" t="s">
        <v>236</v>
      </c>
      <c r="B148" s="32">
        <v>140.37</v>
      </c>
      <c r="C148" s="24" t="s">
        <v>100</v>
      </c>
      <c r="D148" s="11">
        <v>2</v>
      </c>
      <c r="E148" s="24" t="s">
        <v>334</v>
      </c>
    </row>
    <row r="149" spans="1:5" s="30" customFormat="1" x14ac:dyDescent="0.2">
      <c r="A149" s="33" t="s">
        <v>236</v>
      </c>
      <c r="B149" s="32">
        <v>138</v>
      </c>
      <c r="C149" s="24" t="s">
        <v>100</v>
      </c>
      <c r="D149" s="11">
        <v>2</v>
      </c>
      <c r="E149" s="24" t="s">
        <v>335</v>
      </c>
    </row>
    <row r="150" spans="1:5" s="30" customFormat="1" x14ac:dyDescent="0.2">
      <c r="A150" s="33" t="s">
        <v>236</v>
      </c>
      <c r="B150" s="32">
        <v>100</v>
      </c>
      <c r="C150" s="24" t="s">
        <v>100</v>
      </c>
      <c r="D150" s="11">
        <v>2</v>
      </c>
      <c r="E150" s="24" t="s">
        <v>336</v>
      </c>
    </row>
    <row r="151" spans="1:5" s="30" customFormat="1" x14ac:dyDescent="0.2">
      <c r="A151" s="33" t="s">
        <v>236</v>
      </c>
      <c r="B151" s="32">
        <v>90</v>
      </c>
      <c r="C151" s="24" t="s">
        <v>100</v>
      </c>
      <c r="D151" s="11">
        <v>2</v>
      </c>
      <c r="E151" s="24" t="s">
        <v>337</v>
      </c>
    </row>
    <row r="152" spans="1:5" s="30" customFormat="1" ht="12.75" customHeight="1" x14ac:dyDescent="0.2">
      <c r="A152" s="33" t="s">
        <v>236</v>
      </c>
      <c r="B152" s="32">
        <v>490500.08</v>
      </c>
      <c r="C152" s="24" t="s">
        <v>100</v>
      </c>
      <c r="D152" s="11">
        <v>4</v>
      </c>
      <c r="E152" s="24" t="s">
        <v>102</v>
      </c>
    </row>
    <row r="153" spans="1:5" s="30" customFormat="1" ht="12.75" customHeight="1" x14ac:dyDescent="0.2">
      <c r="A153" s="33" t="s">
        <v>237</v>
      </c>
      <c r="B153" s="32">
        <v>-455090.35</v>
      </c>
      <c r="C153" s="24" t="s">
        <v>100</v>
      </c>
      <c r="D153" s="11">
        <v>-4</v>
      </c>
      <c r="E153" s="24" t="s">
        <v>8</v>
      </c>
    </row>
    <row r="154" spans="1:5" s="30" customFormat="1" ht="12.75" customHeight="1" x14ac:dyDescent="0.2">
      <c r="A154" s="33" t="s">
        <v>237</v>
      </c>
      <c r="B154" s="32">
        <v>-98.95</v>
      </c>
      <c r="C154" s="24" t="s">
        <v>238</v>
      </c>
      <c r="D154" s="11">
        <v>-2</v>
      </c>
      <c r="E154" s="24" t="s">
        <v>103</v>
      </c>
    </row>
    <row r="155" spans="1:5" s="30" customFormat="1" ht="12.75" customHeight="1" x14ac:dyDescent="0.2">
      <c r="A155" s="33" t="s">
        <v>237</v>
      </c>
      <c r="B155" s="32">
        <v>-44901.64</v>
      </c>
      <c r="C155" s="24" t="s">
        <v>100</v>
      </c>
      <c r="D155" s="11">
        <v>-2</v>
      </c>
      <c r="E155" s="24" t="s">
        <v>338</v>
      </c>
    </row>
    <row r="156" spans="1:5" s="30" customFormat="1" ht="12.75" customHeight="1" x14ac:dyDescent="0.2">
      <c r="A156" s="33" t="s">
        <v>237</v>
      </c>
      <c r="B156" s="32">
        <v>1073.5899999999999</v>
      </c>
      <c r="C156" s="24" t="s">
        <v>100</v>
      </c>
      <c r="D156" s="11">
        <v>2</v>
      </c>
      <c r="E156" s="24" t="s">
        <v>339</v>
      </c>
    </row>
    <row r="157" spans="1:5" s="30" customFormat="1" x14ac:dyDescent="0.2">
      <c r="A157" s="33" t="s">
        <v>237</v>
      </c>
      <c r="B157" s="32">
        <v>499017.35</v>
      </c>
      <c r="C157" s="24" t="s">
        <v>100</v>
      </c>
      <c r="D157" s="11">
        <v>4</v>
      </c>
      <c r="E157" s="24" t="s">
        <v>102</v>
      </c>
    </row>
    <row r="158" spans="1:5" s="30" customFormat="1" ht="12.75" customHeight="1" x14ac:dyDescent="0.2">
      <c r="A158" s="33" t="s">
        <v>239</v>
      </c>
      <c r="B158" s="32">
        <v>-437078</v>
      </c>
      <c r="C158" s="24" t="s">
        <v>100</v>
      </c>
      <c r="D158" s="11">
        <v>-4</v>
      </c>
      <c r="E158" s="24" t="s">
        <v>8</v>
      </c>
    </row>
    <row r="159" spans="1:5" s="30" customFormat="1" ht="12.75" customHeight="1" x14ac:dyDescent="0.2">
      <c r="A159" s="33" t="s">
        <v>239</v>
      </c>
      <c r="B159" s="32">
        <v>-39255.620000000003</v>
      </c>
      <c r="C159" s="24" t="s">
        <v>100</v>
      </c>
      <c r="D159" s="11">
        <v>-2</v>
      </c>
      <c r="E159" s="24" t="s">
        <v>340</v>
      </c>
    </row>
    <row r="160" spans="1:5" s="30" customFormat="1" ht="12.75" customHeight="1" x14ac:dyDescent="0.2">
      <c r="A160" s="33" t="s">
        <v>239</v>
      </c>
      <c r="B160" s="32">
        <v>8585.33</v>
      </c>
      <c r="C160" s="24" t="s">
        <v>100</v>
      </c>
      <c r="D160" s="11">
        <v>2</v>
      </c>
      <c r="E160" s="24" t="s">
        <v>341</v>
      </c>
    </row>
    <row r="161" spans="1:5" s="30" customFormat="1" ht="12.75" customHeight="1" x14ac:dyDescent="0.2">
      <c r="A161" s="33" t="s">
        <v>239</v>
      </c>
      <c r="B161" s="32">
        <v>6884</v>
      </c>
      <c r="C161" s="24" t="s">
        <v>100</v>
      </c>
      <c r="D161" s="11">
        <v>2</v>
      </c>
      <c r="E161" s="24" t="s">
        <v>342</v>
      </c>
    </row>
    <row r="162" spans="1:5" s="30" customFormat="1" ht="12.75" customHeight="1" x14ac:dyDescent="0.2">
      <c r="A162" s="33" t="s">
        <v>239</v>
      </c>
      <c r="B162" s="32">
        <v>3573.94</v>
      </c>
      <c r="C162" s="24" t="s">
        <v>100</v>
      </c>
      <c r="D162" s="11">
        <v>2</v>
      </c>
      <c r="E162" s="24" t="s">
        <v>343</v>
      </c>
    </row>
    <row r="163" spans="1:5" s="30" customFormat="1" ht="12.75" customHeight="1" x14ac:dyDescent="0.2">
      <c r="A163" s="33" t="s">
        <v>239</v>
      </c>
      <c r="B163" s="32">
        <v>2200</v>
      </c>
      <c r="C163" s="24" t="s">
        <v>100</v>
      </c>
      <c r="D163" s="11">
        <v>2</v>
      </c>
      <c r="E163" s="24" t="s">
        <v>344</v>
      </c>
    </row>
    <row r="164" spans="1:5" s="30" customFormat="1" ht="12.75" customHeight="1" x14ac:dyDescent="0.2">
      <c r="A164" s="33" t="s">
        <v>239</v>
      </c>
      <c r="B164" s="32">
        <v>455090.35</v>
      </c>
      <c r="C164" s="24" t="s">
        <v>100</v>
      </c>
      <c r="D164" s="11">
        <v>4</v>
      </c>
      <c r="E164" s="24" t="s">
        <v>102</v>
      </c>
    </row>
    <row r="165" spans="1:5" s="30" customFormat="1" ht="12.75" customHeight="1" x14ac:dyDescent="0.2">
      <c r="A165" s="33" t="s">
        <v>240</v>
      </c>
      <c r="B165" s="32">
        <v>-446704.19</v>
      </c>
      <c r="C165" s="24" t="s">
        <v>100</v>
      </c>
      <c r="D165" s="11">
        <v>-4</v>
      </c>
      <c r="E165" s="24" t="s">
        <v>8</v>
      </c>
    </row>
    <row r="166" spans="1:5" s="30" customFormat="1" ht="12.75" customHeight="1" x14ac:dyDescent="0.2">
      <c r="A166" s="33" t="s">
        <v>240</v>
      </c>
      <c r="B166" s="219">
        <v>5756.19</v>
      </c>
      <c r="C166" s="24" t="s">
        <v>100</v>
      </c>
      <c r="D166" s="11">
        <v>2</v>
      </c>
      <c r="E166" s="24" t="s">
        <v>345</v>
      </c>
    </row>
    <row r="167" spans="1:5" s="30" customFormat="1" ht="12.75" customHeight="1" x14ac:dyDescent="0.2">
      <c r="A167" s="33" t="s">
        <v>240</v>
      </c>
      <c r="B167" s="32">
        <v>2170</v>
      </c>
      <c r="C167" s="24" t="s">
        <v>100</v>
      </c>
      <c r="D167" s="11">
        <v>2</v>
      </c>
      <c r="E167" s="24" t="s">
        <v>346</v>
      </c>
    </row>
    <row r="168" spans="1:5" s="30" customFormat="1" ht="12.75" customHeight="1" x14ac:dyDescent="0.2">
      <c r="A168" s="33" t="s">
        <v>240</v>
      </c>
      <c r="B168" s="32">
        <v>1700</v>
      </c>
      <c r="C168" s="24" t="s">
        <v>100</v>
      </c>
      <c r="D168" s="11">
        <v>2</v>
      </c>
      <c r="E168" s="24" t="s">
        <v>347</v>
      </c>
    </row>
    <row r="169" spans="1:5" s="30" customFormat="1" ht="12.75" customHeight="1" x14ac:dyDescent="0.2">
      <c r="A169" s="33" t="s">
        <v>240</v>
      </c>
      <c r="B169" s="32">
        <v>437078</v>
      </c>
      <c r="C169" s="24" t="s">
        <v>100</v>
      </c>
      <c r="D169" s="11">
        <v>4</v>
      </c>
      <c r="E169" s="24" t="s">
        <v>102</v>
      </c>
    </row>
    <row r="170" spans="1:5" s="30" customFormat="1" ht="12.75" customHeight="1" x14ac:dyDescent="0.2">
      <c r="A170" s="33" t="s">
        <v>241</v>
      </c>
      <c r="B170" s="32">
        <v>-444822.64</v>
      </c>
      <c r="C170" s="24" t="s">
        <v>100</v>
      </c>
      <c r="D170" s="11">
        <v>-4</v>
      </c>
      <c r="E170" s="24" t="s">
        <v>8</v>
      </c>
    </row>
    <row r="171" spans="1:5" s="30" customFormat="1" ht="12.75" customHeight="1" x14ac:dyDescent="0.2">
      <c r="A171" s="33" t="s">
        <v>241</v>
      </c>
      <c r="B171" s="32">
        <v>-9447.18</v>
      </c>
      <c r="C171" s="24" t="s">
        <v>242</v>
      </c>
      <c r="D171" s="11">
        <v>-2</v>
      </c>
      <c r="E171" s="24" t="s">
        <v>103</v>
      </c>
    </row>
    <row r="172" spans="1:5" s="30" customFormat="1" x14ac:dyDescent="0.2">
      <c r="A172" s="33" t="s">
        <v>241</v>
      </c>
      <c r="B172" s="205">
        <v>-494.33</v>
      </c>
      <c r="C172" s="24" t="s">
        <v>100</v>
      </c>
      <c r="D172" s="11">
        <v>-2</v>
      </c>
      <c r="E172" s="24" t="s">
        <v>348</v>
      </c>
    </row>
    <row r="173" spans="1:5" s="30" customFormat="1" ht="12.75" customHeight="1" x14ac:dyDescent="0.2">
      <c r="A173" s="33" t="s">
        <v>241</v>
      </c>
      <c r="B173" s="32">
        <v>-260.32</v>
      </c>
      <c r="C173" s="24" t="s">
        <v>100</v>
      </c>
      <c r="D173" s="11">
        <v>-2</v>
      </c>
      <c r="E173" s="24" t="s">
        <v>349</v>
      </c>
    </row>
    <row r="174" spans="1:5" s="30" customFormat="1" ht="12.75" customHeight="1" x14ac:dyDescent="0.2">
      <c r="A174" s="33" t="s">
        <v>241</v>
      </c>
      <c r="B174" s="32">
        <v>8264.68</v>
      </c>
      <c r="C174" s="24" t="s">
        <v>100</v>
      </c>
      <c r="D174" s="11">
        <v>2</v>
      </c>
      <c r="E174" s="24" t="s">
        <v>350</v>
      </c>
    </row>
    <row r="175" spans="1:5" s="30" customFormat="1" ht="12.75" customHeight="1" x14ac:dyDescent="0.2">
      <c r="A175" s="33" t="s">
        <v>241</v>
      </c>
      <c r="B175" s="32">
        <v>55.6</v>
      </c>
      <c r="C175" s="24" t="s">
        <v>100</v>
      </c>
      <c r="D175" s="11">
        <v>2</v>
      </c>
      <c r="E175" s="24" t="s">
        <v>351</v>
      </c>
    </row>
    <row r="176" spans="1:5" s="30" customFormat="1" ht="12.75" customHeight="1" x14ac:dyDescent="0.2">
      <c r="A176" s="33" t="s">
        <v>241</v>
      </c>
      <c r="B176" s="32">
        <v>446704.19</v>
      </c>
      <c r="C176" s="24" t="s">
        <v>100</v>
      </c>
      <c r="D176" s="11">
        <v>4</v>
      </c>
      <c r="E176" s="24" t="s">
        <v>102</v>
      </c>
    </row>
    <row r="177" spans="1:5" s="30" customFormat="1" ht="12.75" customHeight="1" x14ac:dyDescent="0.2">
      <c r="A177" s="33" t="s">
        <v>243</v>
      </c>
      <c r="B177" s="32">
        <v>-455713.94</v>
      </c>
      <c r="C177" s="24" t="s">
        <v>100</v>
      </c>
      <c r="D177" s="11">
        <v>-1</v>
      </c>
      <c r="E177" s="24" t="s">
        <v>8</v>
      </c>
    </row>
    <row r="178" spans="1:5" s="30" customFormat="1" ht="12.75" customHeight="1" x14ac:dyDescent="0.2">
      <c r="A178" s="33" t="s">
        <v>243</v>
      </c>
      <c r="B178" s="32">
        <v>-2304.4499999999998</v>
      </c>
      <c r="C178" s="24" t="s">
        <v>100</v>
      </c>
      <c r="D178" s="11">
        <v>-2</v>
      </c>
      <c r="E178" s="24" t="s">
        <v>352</v>
      </c>
    </row>
    <row r="179" spans="1:5" s="30" customFormat="1" ht="12.75" customHeight="1" x14ac:dyDescent="0.2">
      <c r="A179" s="33" t="s">
        <v>243</v>
      </c>
      <c r="B179" s="220">
        <v>11895.75</v>
      </c>
      <c r="C179" s="24" t="s">
        <v>100</v>
      </c>
      <c r="D179" s="11">
        <v>2</v>
      </c>
      <c r="E179" s="24" t="s">
        <v>353</v>
      </c>
    </row>
    <row r="180" spans="1:5" s="30" customFormat="1" ht="12.75" customHeight="1" x14ac:dyDescent="0.2">
      <c r="A180" s="33" t="s">
        <v>243</v>
      </c>
      <c r="B180" s="32">
        <v>800</v>
      </c>
      <c r="C180" s="24" t="s">
        <v>100</v>
      </c>
      <c r="D180" s="11">
        <v>2</v>
      </c>
      <c r="E180" s="24" t="s">
        <v>354</v>
      </c>
    </row>
    <row r="181" spans="1:5" s="30" customFormat="1" ht="12.75" customHeight="1" x14ac:dyDescent="0.2">
      <c r="A181" s="33" t="s">
        <v>243</v>
      </c>
      <c r="B181" s="32">
        <v>500</v>
      </c>
      <c r="C181" s="24" t="s">
        <v>100</v>
      </c>
      <c r="D181" s="11">
        <v>2</v>
      </c>
      <c r="E181" s="24" t="s">
        <v>355</v>
      </c>
    </row>
    <row r="182" spans="1:5" s="30" customFormat="1" ht="12.75" customHeight="1" x14ac:dyDescent="0.2">
      <c r="A182" s="33" t="s">
        <v>243</v>
      </c>
      <c r="B182" s="32">
        <v>444822.64</v>
      </c>
      <c r="C182" s="24" t="s">
        <v>100</v>
      </c>
      <c r="D182" s="11">
        <v>4</v>
      </c>
      <c r="E182" s="24" t="s">
        <v>102</v>
      </c>
    </row>
    <row r="183" spans="1:5" s="30" customFormat="1" ht="12.75" customHeight="1" x14ac:dyDescent="0.2">
      <c r="A183" s="33"/>
      <c r="B183" s="32"/>
      <c r="C183" s="24"/>
      <c r="D183" s="11"/>
      <c r="E183" s="24"/>
    </row>
    <row r="184" spans="1:5" s="30" customFormat="1" x14ac:dyDescent="0.2">
      <c r="A184" s="33"/>
      <c r="B184" s="28"/>
      <c r="C184" s="29"/>
    </row>
    <row r="185" spans="1:5" ht="13.5" thickBot="1" x14ac:dyDescent="0.25">
      <c r="A185" s="61">
        <v>1</v>
      </c>
      <c r="B185" s="62">
        <f>+SUMIF(D2:D182,"1",B2:B182)</f>
        <v>0</v>
      </c>
      <c r="C185" s="22" t="s">
        <v>104</v>
      </c>
    </row>
    <row r="186" spans="1:5" ht="13.5" thickTop="1" x14ac:dyDescent="0.2">
      <c r="A186" s="60"/>
      <c r="B186" s="59"/>
      <c r="C186" s="4"/>
      <c r="E186" s="18"/>
    </row>
    <row r="187" spans="1:5" ht="13.5" thickBot="1" x14ac:dyDescent="0.25">
      <c r="A187" s="61">
        <v>-1</v>
      </c>
      <c r="B187" s="62">
        <f>+SUMIF(D2:D182,"-1",B2:B182)</f>
        <v>-455713.94</v>
      </c>
      <c r="C187" s="22" t="s">
        <v>105</v>
      </c>
    </row>
    <row r="188" spans="1:5" ht="13.5" thickTop="1" x14ac:dyDescent="0.2">
      <c r="B188" s="59"/>
    </row>
    <row r="189" spans="1:5" x14ac:dyDescent="0.2">
      <c r="A189" s="71"/>
    </row>
  </sheetData>
  <sortState xmlns:xlrd2="http://schemas.microsoft.com/office/spreadsheetml/2017/richdata2" ref="A2:E204">
    <sortCondition ref="A2:A204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25"/>
  <sheetViews>
    <sheetView zoomScale="85" zoomScaleNormal="85" workbookViewId="0">
      <pane ySplit="5" topLeftCell="A6" activePane="bottomLeft" state="frozen"/>
      <selection activeCell="B1" sqref="A1:XFD155"/>
      <selection pane="bottomLeft" activeCell="A6" sqref="A6"/>
    </sheetView>
  </sheetViews>
  <sheetFormatPr defaultRowHeight="12.75" x14ac:dyDescent="0.2"/>
  <cols>
    <col min="1" max="1" width="15.33203125" style="11" bestFit="1" customWidth="1"/>
    <col min="2" max="2" width="12.6640625" style="11" customWidth="1"/>
    <col min="3" max="3" width="12.83203125" style="11" bestFit="1" customWidth="1"/>
    <col min="4" max="4" width="16.1640625" style="11" customWidth="1"/>
    <col min="5" max="5" width="33.6640625" style="11" customWidth="1"/>
    <col min="6" max="6" width="59.1640625" style="11" customWidth="1"/>
    <col min="7" max="7" width="16.6640625" style="19" customWidth="1"/>
    <col min="8" max="8" width="16" style="19" customWidth="1"/>
    <col min="9" max="9" width="15.83203125" style="19" bestFit="1" customWidth="1"/>
    <col min="10" max="10" width="17.33203125" style="78" customWidth="1"/>
    <col min="11" max="11" width="10.33203125" style="11" customWidth="1"/>
    <col min="12" max="12" width="10.5" style="11" bestFit="1" customWidth="1"/>
    <col min="13" max="193" width="9.33203125" style="11"/>
    <col min="194" max="194" width="3.83203125" style="11" customWidth="1"/>
    <col min="195" max="195" width="8.6640625" style="11" customWidth="1"/>
    <col min="196" max="196" width="9.33203125" style="11" customWidth="1"/>
    <col min="197" max="197" width="14.6640625" style="11" customWidth="1"/>
    <col min="198" max="198" width="2.83203125" style="11" customWidth="1"/>
    <col min="199" max="199" width="9.1640625" style="11" customWidth="1"/>
    <col min="200" max="200" width="14.33203125" style="11" customWidth="1"/>
    <col min="201" max="201" width="4.1640625" style="11" customWidth="1"/>
    <col min="202" max="202" width="5.33203125" style="11" customWidth="1"/>
    <col min="203" max="203" width="13.33203125" style="11" customWidth="1"/>
    <col min="204" max="204" width="6.33203125" style="11" customWidth="1"/>
    <col min="205" max="206" width="12.33203125" style="11" customWidth="1"/>
    <col min="207" max="207" width="12" style="11" customWidth="1"/>
    <col min="208" max="208" width="2.83203125" style="11" customWidth="1"/>
    <col min="209" max="209" width="9" style="11" customWidth="1"/>
    <col min="210" max="449" width="9.33203125" style="11"/>
    <col min="450" max="450" width="3.83203125" style="11" customWidth="1"/>
    <col min="451" max="451" width="8.6640625" style="11" customWidth="1"/>
    <col min="452" max="452" width="9.33203125" style="11" customWidth="1"/>
    <col min="453" max="453" width="14.6640625" style="11" customWidth="1"/>
    <col min="454" max="454" width="2.83203125" style="11" customWidth="1"/>
    <col min="455" max="455" width="9.1640625" style="11" customWidth="1"/>
    <col min="456" max="456" width="14.33203125" style="11" customWidth="1"/>
    <col min="457" max="457" width="4.1640625" style="11" customWidth="1"/>
    <col min="458" max="458" width="5.33203125" style="11" customWidth="1"/>
    <col min="459" max="459" width="13.33203125" style="11" customWidth="1"/>
    <col min="460" max="460" width="6.33203125" style="11" customWidth="1"/>
    <col min="461" max="462" width="12.33203125" style="11" customWidth="1"/>
    <col min="463" max="463" width="12" style="11" customWidth="1"/>
    <col min="464" max="464" width="2.83203125" style="11" customWidth="1"/>
    <col min="465" max="465" width="9" style="11" customWidth="1"/>
    <col min="466" max="705" width="9.33203125" style="11"/>
    <col min="706" max="706" width="3.83203125" style="11" customWidth="1"/>
    <col min="707" max="707" width="8.6640625" style="11" customWidth="1"/>
    <col min="708" max="708" width="9.33203125" style="11" customWidth="1"/>
    <col min="709" max="709" width="14.6640625" style="11" customWidth="1"/>
    <col min="710" max="710" width="2.83203125" style="11" customWidth="1"/>
    <col min="711" max="711" width="9.1640625" style="11" customWidth="1"/>
    <col min="712" max="712" width="14.33203125" style="11" customWidth="1"/>
    <col min="713" max="713" width="4.1640625" style="11" customWidth="1"/>
    <col min="714" max="714" width="5.33203125" style="11" customWidth="1"/>
    <col min="715" max="715" width="13.33203125" style="11" customWidth="1"/>
    <col min="716" max="716" width="6.33203125" style="11" customWidth="1"/>
    <col min="717" max="718" width="12.33203125" style="11" customWidth="1"/>
    <col min="719" max="719" width="12" style="11" customWidth="1"/>
    <col min="720" max="720" width="2.83203125" style="11" customWidth="1"/>
    <col min="721" max="721" width="9" style="11" customWidth="1"/>
    <col min="722" max="961" width="9.33203125" style="11"/>
    <col min="962" max="962" width="3.83203125" style="11" customWidth="1"/>
    <col min="963" max="963" width="8.6640625" style="11" customWidth="1"/>
    <col min="964" max="964" width="9.33203125" style="11" customWidth="1"/>
    <col min="965" max="965" width="14.6640625" style="11" customWidth="1"/>
    <col min="966" max="966" width="2.83203125" style="11" customWidth="1"/>
    <col min="967" max="967" width="9.1640625" style="11" customWidth="1"/>
    <col min="968" max="968" width="14.33203125" style="11" customWidth="1"/>
    <col min="969" max="969" width="4.1640625" style="11" customWidth="1"/>
    <col min="970" max="970" width="5.33203125" style="11" customWidth="1"/>
    <col min="971" max="971" width="13.33203125" style="11" customWidth="1"/>
    <col min="972" max="972" width="6.33203125" style="11" customWidth="1"/>
    <col min="973" max="974" width="12.33203125" style="11" customWidth="1"/>
    <col min="975" max="975" width="12" style="11" customWidth="1"/>
    <col min="976" max="976" width="2.83203125" style="11" customWidth="1"/>
    <col min="977" max="977" width="9" style="11" customWidth="1"/>
    <col min="978" max="1217" width="9.33203125" style="11"/>
    <col min="1218" max="1218" width="3.83203125" style="11" customWidth="1"/>
    <col min="1219" max="1219" width="8.6640625" style="11" customWidth="1"/>
    <col min="1220" max="1220" width="9.33203125" style="11" customWidth="1"/>
    <col min="1221" max="1221" width="14.6640625" style="11" customWidth="1"/>
    <col min="1222" max="1222" width="2.83203125" style="11" customWidth="1"/>
    <col min="1223" max="1223" width="9.1640625" style="11" customWidth="1"/>
    <col min="1224" max="1224" width="14.33203125" style="11" customWidth="1"/>
    <col min="1225" max="1225" width="4.1640625" style="11" customWidth="1"/>
    <col min="1226" max="1226" width="5.33203125" style="11" customWidth="1"/>
    <col min="1227" max="1227" width="13.33203125" style="11" customWidth="1"/>
    <col min="1228" max="1228" width="6.33203125" style="11" customWidth="1"/>
    <col min="1229" max="1230" width="12.33203125" style="11" customWidth="1"/>
    <col min="1231" max="1231" width="12" style="11" customWidth="1"/>
    <col min="1232" max="1232" width="2.83203125" style="11" customWidth="1"/>
    <col min="1233" max="1233" width="9" style="11" customWidth="1"/>
    <col min="1234" max="1473" width="9.33203125" style="11"/>
    <col min="1474" max="1474" width="3.83203125" style="11" customWidth="1"/>
    <col min="1475" max="1475" width="8.6640625" style="11" customWidth="1"/>
    <col min="1476" max="1476" width="9.33203125" style="11" customWidth="1"/>
    <col min="1477" max="1477" width="14.6640625" style="11" customWidth="1"/>
    <col min="1478" max="1478" width="2.83203125" style="11" customWidth="1"/>
    <col min="1479" max="1479" width="9.1640625" style="11" customWidth="1"/>
    <col min="1480" max="1480" width="14.33203125" style="11" customWidth="1"/>
    <col min="1481" max="1481" width="4.1640625" style="11" customWidth="1"/>
    <col min="1482" max="1482" width="5.33203125" style="11" customWidth="1"/>
    <col min="1483" max="1483" width="13.33203125" style="11" customWidth="1"/>
    <col min="1484" max="1484" width="6.33203125" style="11" customWidth="1"/>
    <col min="1485" max="1486" width="12.33203125" style="11" customWidth="1"/>
    <col min="1487" max="1487" width="12" style="11" customWidth="1"/>
    <col min="1488" max="1488" width="2.83203125" style="11" customWidth="1"/>
    <col min="1489" max="1489" width="9" style="11" customWidth="1"/>
    <col min="1490" max="1729" width="9.33203125" style="11"/>
    <col min="1730" max="1730" width="3.83203125" style="11" customWidth="1"/>
    <col min="1731" max="1731" width="8.6640625" style="11" customWidth="1"/>
    <col min="1732" max="1732" width="9.33203125" style="11" customWidth="1"/>
    <col min="1733" max="1733" width="14.6640625" style="11" customWidth="1"/>
    <col min="1734" max="1734" width="2.83203125" style="11" customWidth="1"/>
    <col min="1735" max="1735" width="9.1640625" style="11" customWidth="1"/>
    <col min="1736" max="1736" width="14.33203125" style="11" customWidth="1"/>
    <col min="1737" max="1737" width="4.1640625" style="11" customWidth="1"/>
    <col min="1738" max="1738" width="5.33203125" style="11" customWidth="1"/>
    <col min="1739" max="1739" width="13.33203125" style="11" customWidth="1"/>
    <col min="1740" max="1740" width="6.33203125" style="11" customWidth="1"/>
    <col min="1741" max="1742" width="12.33203125" style="11" customWidth="1"/>
    <col min="1743" max="1743" width="12" style="11" customWidth="1"/>
    <col min="1744" max="1744" width="2.83203125" style="11" customWidth="1"/>
    <col min="1745" max="1745" width="9" style="11" customWidth="1"/>
    <col min="1746" max="1985" width="9.33203125" style="11"/>
    <col min="1986" max="1986" width="3.83203125" style="11" customWidth="1"/>
    <col min="1987" max="1987" width="8.6640625" style="11" customWidth="1"/>
    <col min="1988" max="1988" width="9.33203125" style="11" customWidth="1"/>
    <col min="1989" max="1989" width="14.6640625" style="11" customWidth="1"/>
    <col min="1990" max="1990" width="2.83203125" style="11" customWidth="1"/>
    <col min="1991" max="1991" width="9.1640625" style="11" customWidth="1"/>
    <col min="1992" max="1992" width="14.33203125" style="11" customWidth="1"/>
    <col min="1993" max="1993" width="4.1640625" style="11" customWidth="1"/>
    <col min="1994" max="1994" width="5.33203125" style="11" customWidth="1"/>
    <col min="1995" max="1995" width="13.33203125" style="11" customWidth="1"/>
    <col min="1996" max="1996" width="6.33203125" style="11" customWidth="1"/>
    <col min="1997" max="1998" width="12.33203125" style="11" customWidth="1"/>
    <col min="1999" max="1999" width="12" style="11" customWidth="1"/>
    <col min="2000" max="2000" width="2.83203125" style="11" customWidth="1"/>
    <col min="2001" max="2001" width="9" style="11" customWidth="1"/>
    <col min="2002" max="2241" width="9.33203125" style="11"/>
    <col min="2242" max="2242" width="3.83203125" style="11" customWidth="1"/>
    <col min="2243" max="2243" width="8.6640625" style="11" customWidth="1"/>
    <col min="2244" max="2244" width="9.33203125" style="11" customWidth="1"/>
    <col min="2245" max="2245" width="14.6640625" style="11" customWidth="1"/>
    <col min="2246" max="2246" width="2.83203125" style="11" customWidth="1"/>
    <col min="2247" max="2247" width="9.1640625" style="11" customWidth="1"/>
    <col min="2248" max="2248" width="14.33203125" style="11" customWidth="1"/>
    <col min="2249" max="2249" width="4.1640625" style="11" customWidth="1"/>
    <col min="2250" max="2250" width="5.33203125" style="11" customWidth="1"/>
    <col min="2251" max="2251" width="13.33203125" style="11" customWidth="1"/>
    <col min="2252" max="2252" width="6.33203125" style="11" customWidth="1"/>
    <col min="2253" max="2254" width="12.33203125" style="11" customWidth="1"/>
    <col min="2255" max="2255" width="12" style="11" customWidth="1"/>
    <col min="2256" max="2256" width="2.83203125" style="11" customWidth="1"/>
    <col min="2257" max="2257" width="9" style="11" customWidth="1"/>
    <col min="2258" max="2497" width="9.33203125" style="11"/>
    <col min="2498" max="2498" width="3.83203125" style="11" customWidth="1"/>
    <col min="2499" max="2499" width="8.6640625" style="11" customWidth="1"/>
    <col min="2500" max="2500" width="9.33203125" style="11" customWidth="1"/>
    <col min="2501" max="2501" width="14.6640625" style="11" customWidth="1"/>
    <col min="2502" max="2502" width="2.83203125" style="11" customWidth="1"/>
    <col min="2503" max="2503" width="9.1640625" style="11" customWidth="1"/>
    <col min="2504" max="2504" width="14.33203125" style="11" customWidth="1"/>
    <col min="2505" max="2505" width="4.1640625" style="11" customWidth="1"/>
    <col min="2506" max="2506" width="5.33203125" style="11" customWidth="1"/>
    <col min="2507" max="2507" width="13.33203125" style="11" customWidth="1"/>
    <col min="2508" max="2508" width="6.33203125" style="11" customWidth="1"/>
    <col min="2509" max="2510" width="12.33203125" style="11" customWidth="1"/>
    <col min="2511" max="2511" width="12" style="11" customWidth="1"/>
    <col min="2512" max="2512" width="2.83203125" style="11" customWidth="1"/>
    <col min="2513" max="2513" width="9" style="11" customWidth="1"/>
    <col min="2514" max="2753" width="9.33203125" style="11"/>
    <col min="2754" max="2754" width="3.83203125" style="11" customWidth="1"/>
    <col min="2755" max="2755" width="8.6640625" style="11" customWidth="1"/>
    <col min="2756" max="2756" width="9.33203125" style="11" customWidth="1"/>
    <col min="2757" max="2757" width="14.6640625" style="11" customWidth="1"/>
    <col min="2758" max="2758" width="2.83203125" style="11" customWidth="1"/>
    <col min="2759" max="2759" width="9.1640625" style="11" customWidth="1"/>
    <col min="2760" max="2760" width="14.33203125" style="11" customWidth="1"/>
    <col min="2761" max="2761" width="4.1640625" style="11" customWidth="1"/>
    <col min="2762" max="2762" width="5.33203125" style="11" customWidth="1"/>
    <col min="2763" max="2763" width="13.33203125" style="11" customWidth="1"/>
    <col min="2764" max="2764" width="6.33203125" style="11" customWidth="1"/>
    <col min="2765" max="2766" width="12.33203125" style="11" customWidth="1"/>
    <col min="2767" max="2767" width="12" style="11" customWidth="1"/>
    <col min="2768" max="2768" width="2.83203125" style="11" customWidth="1"/>
    <col min="2769" max="2769" width="9" style="11" customWidth="1"/>
    <col min="2770" max="3009" width="9.33203125" style="11"/>
    <col min="3010" max="3010" width="3.83203125" style="11" customWidth="1"/>
    <col min="3011" max="3011" width="8.6640625" style="11" customWidth="1"/>
    <col min="3012" max="3012" width="9.33203125" style="11" customWidth="1"/>
    <col min="3013" max="3013" width="14.6640625" style="11" customWidth="1"/>
    <col min="3014" max="3014" width="2.83203125" style="11" customWidth="1"/>
    <col min="3015" max="3015" width="9.1640625" style="11" customWidth="1"/>
    <col min="3016" max="3016" width="14.33203125" style="11" customWidth="1"/>
    <col min="3017" max="3017" width="4.1640625" style="11" customWidth="1"/>
    <col min="3018" max="3018" width="5.33203125" style="11" customWidth="1"/>
    <col min="3019" max="3019" width="13.33203125" style="11" customWidth="1"/>
    <col min="3020" max="3020" width="6.33203125" style="11" customWidth="1"/>
    <col min="3021" max="3022" width="12.33203125" style="11" customWidth="1"/>
    <col min="3023" max="3023" width="12" style="11" customWidth="1"/>
    <col min="3024" max="3024" width="2.83203125" style="11" customWidth="1"/>
    <col min="3025" max="3025" width="9" style="11" customWidth="1"/>
    <col min="3026" max="3265" width="9.33203125" style="11"/>
    <col min="3266" max="3266" width="3.83203125" style="11" customWidth="1"/>
    <col min="3267" max="3267" width="8.6640625" style="11" customWidth="1"/>
    <col min="3268" max="3268" width="9.33203125" style="11" customWidth="1"/>
    <col min="3269" max="3269" width="14.6640625" style="11" customWidth="1"/>
    <col min="3270" max="3270" width="2.83203125" style="11" customWidth="1"/>
    <col min="3271" max="3271" width="9.1640625" style="11" customWidth="1"/>
    <col min="3272" max="3272" width="14.33203125" style="11" customWidth="1"/>
    <col min="3273" max="3273" width="4.1640625" style="11" customWidth="1"/>
    <col min="3274" max="3274" width="5.33203125" style="11" customWidth="1"/>
    <col min="3275" max="3275" width="13.33203125" style="11" customWidth="1"/>
    <col min="3276" max="3276" width="6.33203125" style="11" customWidth="1"/>
    <col min="3277" max="3278" width="12.33203125" style="11" customWidth="1"/>
    <col min="3279" max="3279" width="12" style="11" customWidth="1"/>
    <col min="3280" max="3280" width="2.83203125" style="11" customWidth="1"/>
    <col min="3281" max="3281" width="9" style="11" customWidth="1"/>
    <col min="3282" max="3521" width="9.33203125" style="11"/>
    <col min="3522" max="3522" width="3.83203125" style="11" customWidth="1"/>
    <col min="3523" max="3523" width="8.6640625" style="11" customWidth="1"/>
    <col min="3524" max="3524" width="9.33203125" style="11" customWidth="1"/>
    <col min="3525" max="3525" width="14.6640625" style="11" customWidth="1"/>
    <col min="3526" max="3526" width="2.83203125" style="11" customWidth="1"/>
    <col min="3527" max="3527" width="9.1640625" style="11" customWidth="1"/>
    <col min="3528" max="3528" width="14.33203125" style="11" customWidth="1"/>
    <col min="3529" max="3529" width="4.1640625" style="11" customWidth="1"/>
    <col min="3530" max="3530" width="5.33203125" style="11" customWidth="1"/>
    <col min="3531" max="3531" width="13.33203125" style="11" customWidth="1"/>
    <col min="3532" max="3532" width="6.33203125" style="11" customWidth="1"/>
    <col min="3533" max="3534" width="12.33203125" style="11" customWidth="1"/>
    <col min="3535" max="3535" width="12" style="11" customWidth="1"/>
    <col min="3536" max="3536" width="2.83203125" style="11" customWidth="1"/>
    <col min="3537" max="3537" width="9" style="11" customWidth="1"/>
    <col min="3538" max="3777" width="9.33203125" style="11"/>
    <col min="3778" max="3778" width="3.83203125" style="11" customWidth="1"/>
    <col min="3779" max="3779" width="8.6640625" style="11" customWidth="1"/>
    <col min="3780" max="3780" width="9.33203125" style="11" customWidth="1"/>
    <col min="3781" max="3781" width="14.6640625" style="11" customWidth="1"/>
    <col min="3782" max="3782" width="2.83203125" style="11" customWidth="1"/>
    <col min="3783" max="3783" width="9.1640625" style="11" customWidth="1"/>
    <col min="3784" max="3784" width="14.33203125" style="11" customWidth="1"/>
    <col min="3785" max="3785" width="4.1640625" style="11" customWidth="1"/>
    <col min="3786" max="3786" width="5.33203125" style="11" customWidth="1"/>
    <col min="3787" max="3787" width="13.33203125" style="11" customWidth="1"/>
    <col min="3788" max="3788" width="6.33203125" style="11" customWidth="1"/>
    <col min="3789" max="3790" width="12.33203125" style="11" customWidth="1"/>
    <col min="3791" max="3791" width="12" style="11" customWidth="1"/>
    <col min="3792" max="3792" width="2.83203125" style="11" customWidth="1"/>
    <col min="3793" max="3793" width="9" style="11" customWidth="1"/>
    <col min="3794" max="4033" width="9.33203125" style="11"/>
    <col min="4034" max="4034" width="3.83203125" style="11" customWidth="1"/>
    <col min="4035" max="4035" width="8.6640625" style="11" customWidth="1"/>
    <col min="4036" max="4036" width="9.33203125" style="11" customWidth="1"/>
    <col min="4037" max="4037" width="14.6640625" style="11" customWidth="1"/>
    <col min="4038" max="4038" width="2.83203125" style="11" customWidth="1"/>
    <col min="4039" max="4039" width="9.1640625" style="11" customWidth="1"/>
    <col min="4040" max="4040" width="14.33203125" style="11" customWidth="1"/>
    <col min="4041" max="4041" width="4.1640625" style="11" customWidth="1"/>
    <col min="4042" max="4042" width="5.33203125" style="11" customWidth="1"/>
    <col min="4043" max="4043" width="13.33203125" style="11" customWidth="1"/>
    <col min="4044" max="4044" width="6.33203125" style="11" customWidth="1"/>
    <col min="4045" max="4046" width="12.33203125" style="11" customWidth="1"/>
    <col min="4047" max="4047" width="12" style="11" customWidth="1"/>
    <col min="4048" max="4048" width="2.83203125" style="11" customWidth="1"/>
    <col min="4049" max="4049" width="9" style="11" customWidth="1"/>
    <col min="4050" max="4289" width="9.33203125" style="11"/>
    <col min="4290" max="4290" width="3.83203125" style="11" customWidth="1"/>
    <col min="4291" max="4291" width="8.6640625" style="11" customWidth="1"/>
    <col min="4292" max="4292" width="9.33203125" style="11" customWidth="1"/>
    <col min="4293" max="4293" width="14.6640625" style="11" customWidth="1"/>
    <col min="4294" max="4294" width="2.83203125" style="11" customWidth="1"/>
    <col min="4295" max="4295" width="9.1640625" style="11" customWidth="1"/>
    <col min="4296" max="4296" width="14.33203125" style="11" customWidth="1"/>
    <col min="4297" max="4297" width="4.1640625" style="11" customWidth="1"/>
    <col min="4298" max="4298" width="5.33203125" style="11" customWidth="1"/>
    <col min="4299" max="4299" width="13.33203125" style="11" customWidth="1"/>
    <col min="4300" max="4300" width="6.33203125" style="11" customWidth="1"/>
    <col min="4301" max="4302" width="12.33203125" style="11" customWidth="1"/>
    <col min="4303" max="4303" width="12" style="11" customWidth="1"/>
    <col min="4304" max="4304" width="2.83203125" style="11" customWidth="1"/>
    <col min="4305" max="4305" width="9" style="11" customWidth="1"/>
    <col min="4306" max="4545" width="9.33203125" style="11"/>
    <col min="4546" max="4546" width="3.83203125" style="11" customWidth="1"/>
    <col min="4547" max="4547" width="8.6640625" style="11" customWidth="1"/>
    <col min="4548" max="4548" width="9.33203125" style="11" customWidth="1"/>
    <col min="4549" max="4549" width="14.6640625" style="11" customWidth="1"/>
    <col min="4550" max="4550" width="2.83203125" style="11" customWidth="1"/>
    <col min="4551" max="4551" width="9.1640625" style="11" customWidth="1"/>
    <col min="4552" max="4552" width="14.33203125" style="11" customWidth="1"/>
    <col min="4553" max="4553" width="4.1640625" style="11" customWidth="1"/>
    <col min="4554" max="4554" width="5.33203125" style="11" customWidth="1"/>
    <col min="4555" max="4555" width="13.33203125" style="11" customWidth="1"/>
    <col min="4556" max="4556" width="6.33203125" style="11" customWidth="1"/>
    <col min="4557" max="4558" width="12.33203125" style="11" customWidth="1"/>
    <col min="4559" max="4559" width="12" style="11" customWidth="1"/>
    <col min="4560" max="4560" width="2.83203125" style="11" customWidth="1"/>
    <col min="4561" max="4561" width="9" style="11" customWidth="1"/>
    <col min="4562" max="4801" width="9.33203125" style="11"/>
    <col min="4802" max="4802" width="3.83203125" style="11" customWidth="1"/>
    <col min="4803" max="4803" width="8.6640625" style="11" customWidth="1"/>
    <col min="4804" max="4804" width="9.33203125" style="11" customWidth="1"/>
    <col min="4805" max="4805" width="14.6640625" style="11" customWidth="1"/>
    <col min="4806" max="4806" width="2.83203125" style="11" customWidth="1"/>
    <col min="4807" max="4807" width="9.1640625" style="11" customWidth="1"/>
    <col min="4808" max="4808" width="14.33203125" style="11" customWidth="1"/>
    <col min="4809" max="4809" width="4.1640625" style="11" customWidth="1"/>
    <col min="4810" max="4810" width="5.33203125" style="11" customWidth="1"/>
    <col min="4811" max="4811" width="13.33203125" style="11" customWidth="1"/>
    <col min="4812" max="4812" width="6.33203125" style="11" customWidth="1"/>
    <col min="4813" max="4814" width="12.33203125" style="11" customWidth="1"/>
    <col min="4815" max="4815" width="12" style="11" customWidth="1"/>
    <col min="4816" max="4816" width="2.83203125" style="11" customWidth="1"/>
    <col min="4817" max="4817" width="9" style="11" customWidth="1"/>
    <col min="4818" max="5057" width="9.33203125" style="11"/>
    <col min="5058" max="5058" width="3.83203125" style="11" customWidth="1"/>
    <col min="5059" max="5059" width="8.6640625" style="11" customWidth="1"/>
    <col min="5060" max="5060" width="9.33203125" style="11" customWidth="1"/>
    <col min="5061" max="5061" width="14.6640625" style="11" customWidth="1"/>
    <col min="5062" max="5062" width="2.83203125" style="11" customWidth="1"/>
    <col min="5063" max="5063" width="9.1640625" style="11" customWidth="1"/>
    <col min="5064" max="5064" width="14.33203125" style="11" customWidth="1"/>
    <col min="5065" max="5065" width="4.1640625" style="11" customWidth="1"/>
    <col min="5066" max="5066" width="5.33203125" style="11" customWidth="1"/>
    <col min="5067" max="5067" width="13.33203125" style="11" customWidth="1"/>
    <col min="5068" max="5068" width="6.33203125" style="11" customWidth="1"/>
    <col min="5069" max="5070" width="12.33203125" style="11" customWidth="1"/>
    <col min="5071" max="5071" width="12" style="11" customWidth="1"/>
    <col min="5072" max="5072" width="2.83203125" style="11" customWidth="1"/>
    <col min="5073" max="5073" width="9" style="11" customWidth="1"/>
    <col min="5074" max="5313" width="9.33203125" style="11"/>
    <col min="5314" max="5314" width="3.83203125" style="11" customWidth="1"/>
    <col min="5315" max="5315" width="8.6640625" style="11" customWidth="1"/>
    <col min="5316" max="5316" width="9.33203125" style="11" customWidth="1"/>
    <col min="5317" max="5317" width="14.6640625" style="11" customWidth="1"/>
    <col min="5318" max="5318" width="2.83203125" style="11" customWidth="1"/>
    <col min="5319" max="5319" width="9.1640625" style="11" customWidth="1"/>
    <col min="5320" max="5320" width="14.33203125" style="11" customWidth="1"/>
    <col min="5321" max="5321" width="4.1640625" style="11" customWidth="1"/>
    <col min="5322" max="5322" width="5.33203125" style="11" customWidth="1"/>
    <col min="5323" max="5323" width="13.33203125" style="11" customWidth="1"/>
    <col min="5324" max="5324" width="6.33203125" style="11" customWidth="1"/>
    <col min="5325" max="5326" width="12.33203125" style="11" customWidth="1"/>
    <col min="5327" max="5327" width="12" style="11" customWidth="1"/>
    <col min="5328" max="5328" width="2.83203125" style="11" customWidth="1"/>
    <col min="5329" max="5329" width="9" style="11" customWidth="1"/>
    <col min="5330" max="5569" width="9.33203125" style="11"/>
    <col min="5570" max="5570" width="3.83203125" style="11" customWidth="1"/>
    <col min="5571" max="5571" width="8.6640625" style="11" customWidth="1"/>
    <col min="5572" max="5572" width="9.33203125" style="11" customWidth="1"/>
    <col min="5573" max="5573" width="14.6640625" style="11" customWidth="1"/>
    <col min="5574" max="5574" width="2.83203125" style="11" customWidth="1"/>
    <col min="5575" max="5575" width="9.1640625" style="11" customWidth="1"/>
    <col min="5576" max="5576" width="14.33203125" style="11" customWidth="1"/>
    <col min="5577" max="5577" width="4.1640625" style="11" customWidth="1"/>
    <col min="5578" max="5578" width="5.33203125" style="11" customWidth="1"/>
    <col min="5579" max="5579" width="13.33203125" style="11" customWidth="1"/>
    <col min="5580" max="5580" width="6.33203125" style="11" customWidth="1"/>
    <col min="5581" max="5582" width="12.33203125" style="11" customWidth="1"/>
    <col min="5583" max="5583" width="12" style="11" customWidth="1"/>
    <col min="5584" max="5584" width="2.83203125" style="11" customWidth="1"/>
    <col min="5585" max="5585" width="9" style="11" customWidth="1"/>
    <col min="5586" max="5825" width="9.33203125" style="11"/>
    <col min="5826" max="5826" width="3.83203125" style="11" customWidth="1"/>
    <col min="5827" max="5827" width="8.6640625" style="11" customWidth="1"/>
    <col min="5828" max="5828" width="9.33203125" style="11" customWidth="1"/>
    <col min="5829" max="5829" width="14.6640625" style="11" customWidth="1"/>
    <col min="5830" max="5830" width="2.83203125" style="11" customWidth="1"/>
    <col min="5831" max="5831" width="9.1640625" style="11" customWidth="1"/>
    <col min="5832" max="5832" width="14.33203125" style="11" customWidth="1"/>
    <col min="5833" max="5833" width="4.1640625" style="11" customWidth="1"/>
    <col min="5834" max="5834" width="5.33203125" style="11" customWidth="1"/>
    <col min="5835" max="5835" width="13.33203125" style="11" customWidth="1"/>
    <col min="5836" max="5836" width="6.33203125" style="11" customWidth="1"/>
    <col min="5837" max="5838" width="12.33203125" style="11" customWidth="1"/>
    <col min="5839" max="5839" width="12" style="11" customWidth="1"/>
    <col min="5840" max="5840" width="2.83203125" style="11" customWidth="1"/>
    <col min="5841" max="5841" width="9" style="11" customWidth="1"/>
    <col min="5842" max="6081" width="9.33203125" style="11"/>
    <col min="6082" max="6082" width="3.83203125" style="11" customWidth="1"/>
    <col min="6083" max="6083" width="8.6640625" style="11" customWidth="1"/>
    <col min="6084" max="6084" width="9.33203125" style="11" customWidth="1"/>
    <col min="6085" max="6085" width="14.6640625" style="11" customWidth="1"/>
    <col min="6086" max="6086" width="2.83203125" style="11" customWidth="1"/>
    <col min="6087" max="6087" width="9.1640625" style="11" customWidth="1"/>
    <col min="6088" max="6088" width="14.33203125" style="11" customWidth="1"/>
    <col min="6089" max="6089" width="4.1640625" style="11" customWidth="1"/>
    <col min="6090" max="6090" width="5.33203125" style="11" customWidth="1"/>
    <col min="6091" max="6091" width="13.33203125" style="11" customWidth="1"/>
    <col min="6092" max="6092" width="6.33203125" style="11" customWidth="1"/>
    <col min="6093" max="6094" width="12.33203125" style="11" customWidth="1"/>
    <col min="6095" max="6095" width="12" style="11" customWidth="1"/>
    <col min="6096" max="6096" width="2.83203125" style="11" customWidth="1"/>
    <col min="6097" max="6097" width="9" style="11" customWidth="1"/>
    <col min="6098" max="6337" width="9.33203125" style="11"/>
    <col min="6338" max="6338" width="3.83203125" style="11" customWidth="1"/>
    <col min="6339" max="6339" width="8.6640625" style="11" customWidth="1"/>
    <col min="6340" max="6340" width="9.33203125" style="11" customWidth="1"/>
    <col min="6341" max="6341" width="14.6640625" style="11" customWidth="1"/>
    <col min="6342" max="6342" width="2.83203125" style="11" customWidth="1"/>
    <col min="6343" max="6343" width="9.1640625" style="11" customWidth="1"/>
    <col min="6344" max="6344" width="14.33203125" style="11" customWidth="1"/>
    <col min="6345" max="6345" width="4.1640625" style="11" customWidth="1"/>
    <col min="6346" max="6346" width="5.33203125" style="11" customWidth="1"/>
    <col min="6347" max="6347" width="13.33203125" style="11" customWidth="1"/>
    <col min="6348" max="6348" width="6.33203125" style="11" customWidth="1"/>
    <col min="6349" max="6350" width="12.33203125" style="11" customWidth="1"/>
    <col min="6351" max="6351" width="12" style="11" customWidth="1"/>
    <col min="6352" max="6352" width="2.83203125" style="11" customWidth="1"/>
    <col min="6353" max="6353" width="9" style="11" customWidth="1"/>
    <col min="6354" max="6593" width="9.33203125" style="11"/>
    <col min="6594" max="6594" width="3.83203125" style="11" customWidth="1"/>
    <col min="6595" max="6595" width="8.6640625" style="11" customWidth="1"/>
    <col min="6596" max="6596" width="9.33203125" style="11" customWidth="1"/>
    <col min="6597" max="6597" width="14.6640625" style="11" customWidth="1"/>
    <col min="6598" max="6598" width="2.83203125" style="11" customWidth="1"/>
    <col min="6599" max="6599" width="9.1640625" style="11" customWidth="1"/>
    <col min="6600" max="6600" width="14.33203125" style="11" customWidth="1"/>
    <col min="6601" max="6601" width="4.1640625" style="11" customWidth="1"/>
    <col min="6602" max="6602" width="5.33203125" style="11" customWidth="1"/>
    <col min="6603" max="6603" width="13.33203125" style="11" customWidth="1"/>
    <col min="6604" max="6604" width="6.33203125" style="11" customWidth="1"/>
    <col min="6605" max="6606" width="12.33203125" style="11" customWidth="1"/>
    <col min="6607" max="6607" width="12" style="11" customWidth="1"/>
    <col min="6608" max="6608" width="2.83203125" style="11" customWidth="1"/>
    <col min="6609" max="6609" width="9" style="11" customWidth="1"/>
    <col min="6610" max="6849" width="9.33203125" style="11"/>
    <col min="6850" max="6850" width="3.83203125" style="11" customWidth="1"/>
    <col min="6851" max="6851" width="8.6640625" style="11" customWidth="1"/>
    <col min="6852" max="6852" width="9.33203125" style="11" customWidth="1"/>
    <col min="6853" max="6853" width="14.6640625" style="11" customWidth="1"/>
    <col min="6854" max="6854" width="2.83203125" style="11" customWidth="1"/>
    <col min="6855" max="6855" width="9.1640625" style="11" customWidth="1"/>
    <col min="6856" max="6856" width="14.33203125" style="11" customWidth="1"/>
    <col min="6857" max="6857" width="4.1640625" style="11" customWidth="1"/>
    <col min="6858" max="6858" width="5.33203125" style="11" customWidth="1"/>
    <col min="6859" max="6859" width="13.33203125" style="11" customWidth="1"/>
    <col min="6860" max="6860" width="6.33203125" style="11" customWidth="1"/>
    <col min="6861" max="6862" width="12.33203125" style="11" customWidth="1"/>
    <col min="6863" max="6863" width="12" style="11" customWidth="1"/>
    <col min="6864" max="6864" width="2.83203125" style="11" customWidth="1"/>
    <col min="6865" max="6865" width="9" style="11" customWidth="1"/>
    <col min="6866" max="7105" width="9.33203125" style="11"/>
    <col min="7106" max="7106" width="3.83203125" style="11" customWidth="1"/>
    <col min="7107" max="7107" width="8.6640625" style="11" customWidth="1"/>
    <col min="7108" max="7108" width="9.33203125" style="11" customWidth="1"/>
    <col min="7109" max="7109" width="14.6640625" style="11" customWidth="1"/>
    <col min="7110" max="7110" width="2.83203125" style="11" customWidth="1"/>
    <col min="7111" max="7111" width="9.1640625" style="11" customWidth="1"/>
    <col min="7112" max="7112" width="14.33203125" style="11" customWidth="1"/>
    <col min="7113" max="7113" width="4.1640625" style="11" customWidth="1"/>
    <col min="7114" max="7114" width="5.33203125" style="11" customWidth="1"/>
    <col min="7115" max="7115" width="13.33203125" style="11" customWidth="1"/>
    <col min="7116" max="7116" width="6.33203125" style="11" customWidth="1"/>
    <col min="7117" max="7118" width="12.33203125" style="11" customWidth="1"/>
    <col min="7119" max="7119" width="12" style="11" customWidth="1"/>
    <col min="7120" max="7120" width="2.83203125" style="11" customWidth="1"/>
    <col min="7121" max="7121" width="9" style="11" customWidth="1"/>
    <col min="7122" max="7361" width="9.33203125" style="11"/>
    <col min="7362" max="7362" width="3.83203125" style="11" customWidth="1"/>
    <col min="7363" max="7363" width="8.6640625" style="11" customWidth="1"/>
    <col min="7364" max="7364" width="9.33203125" style="11" customWidth="1"/>
    <col min="7365" max="7365" width="14.6640625" style="11" customWidth="1"/>
    <col min="7366" max="7366" width="2.83203125" style="11" customWidth="1"/>
    <col min="7367" max="7367" width="9.1640625" style="11" customWidth="1"/>
    <col min="7368" max="7368" width="14.33203125" style="11" customWidth="1"/>
    <col min="7369" max="7369" width="4.1640625" style="11" customWidth="1"/>
    <col min="7370" max="7370" width="5.33203125" style="11" customWidth="1"/>
    <col min="7371" max="7371" width="13.33203125" style="11" customWidth="1"/>
    <col min="7372" max="7372" width="6.33203125" style="11" customWidth="1"/>
    <col min="7373" max="7374" width="12.33203125" style="11" customWidth="1"/>
    <col min="7375" max="7375" width="12" style="11" customWidth="1"/>
    <col min="7376" max="7376" width="2.83203125" style="11" customWidth="1"/>
    <col min="7377" max="7377" width="9" style="11" customWidth="1"/>
    <col min="7378" max="7617" width="9.33203125" style="11"/>
    <col min="7618" max="7618" width="3.83203125" style="11" customWidth="1"/>
    <col min="7619" max="7619" width="8.6640625" style="11" customWidth="1"/>
    <col min="7620" max="7620" width="9.33203125" style="11" customWidth="1"/>
    <col min="7621" max="7621" width="14.6640625" style="11" customWidth="1"/>
    <col min="7622" max="7622" width="2.83203125" style="11" customWidth="1"/>
    <col min="7623" max="7623" width="9.1640625" style="11" customWidth="1"/>
    <col min="7624" max="7624" width="14.33203125" style="11" customWidth="1"/>
    <col min="7625" max="7625" width="4.1640625" style="11" customWidth="1"/>
    <col min="7626" max="7626" width="5.33203125" style="11" customWidth="1"/>
    <col min="7627" max="7627" width="13.33203125" style="11" customWidth="1"/>
    <col min="7628" max="7628" width="6.33203125" style="11" customWidth="1"/>
    <col min="7629" max="7630" width="12.33203125" style="11" customWidth="1"/>
    <col min="7631" max="7631" width="12" style="11" customWidth="1"/>
    <col min="7632" max="7632" width="2.83203125" style="11" customWidth="1"/>
    <col min="7633" max="7633" width="9" style="11" customWidth="1"/>
    <col min="7634" max="7873" width="9.33203125" style="11"/>
    <col min="7874" max="7874" width="3.83203125" style="11" customWidth="1"/>
    <col min="7875" max="7875" width="8.6640625" style="11" customWidth="1"/>
    <col min="7876" max="7876" width="9.33203125" style="11" customWidth="1"/>
    <col min="7877" max="7877" width="14.6640625" style="11" customWidth="1"/>
    <col min="7878" max="7878" width="2.83203125" style="11" customWidth="1"/>
    <col min="7879" max="7879" width="9.1640625" style="11" customWidth="1"/>
    <col min="7880" max="7880" width="14.33203125" style="11" customWidth="1"/>
    <col min="7881" max="7881" width="4.1640625" style="11" customWidth="1"/>
    <col min="7882" max="7882" width="5.33203125" style="11" customWidth="1"/>
    <col min="7883" max="7883" width="13.33203125" style="11" customWidth="1"/>
    <col min="7884" max="7884" width="6.33203125" style="11" customWidth="1"/>
    <col min="7885" max="7886" width="12.33203125" style="11" customWidth="1"/>
    <col min="7887" max="7887" width="12" style="11" customWidth="1"/>
    <col min="7888" max="7888" width="2.83203125" style="11" customWidth="1"/>
    <col min="7889" max="7889" width="9" style="11" customWidth="1"/>
    <col min="7890" max="8129" width="9.33203125" style="11"/>
    <col min="8130" max="8130" width="3.83203125" style="11" customWidth="1"/>
    <col min="8131" max="8131" width="8.6640625" style="11" customWidth="1"/>
    <col min="8132" max="8132" width="9.33203125" style="11" customWidth="1"/>
    <col min="8133" max="8133" width="14.6640625" style="11" customWidth="1"/>
    <col min="8134" max="8134" width="2.83203125" style="11" customWidth="1"/>
    <col min="8135" max="8135" width="9.1640625" style="11" customWidth="1"/>
    <col min="8136" max="8136" width="14.33203125" style="11" customWidth="1"/>
    <col min="8137" max="8137" width="4.1640625" style="11" customWidth="1"/>
    <col min="8138" max="8138" width="5.33203125" style="11" customWidth="1"/>
    <col min="8139" max="8139" width="13.33203125" style="11" customWidth="1"/>
    <col min="8140" max="8140" width="6.33203125" style="11" customWidth="1"/>
    <col min="8141" max="8142" width="12.33203125" style="11" customWidth="1"/>
    <col min="8143" max="8143" width="12" style="11" customWidth="1"/>
    <col min="8144" max="8144" width="2.83203125" style="11" customWidth="1"/>
    <col min="8145" max="8145" width="9" style="11" customWidth="1"/>
    <col min="8146" max="8385" width="9.33203125" style="11"/>
    <col min="8386" max="8386" width="3.83203125" style="11" customWidth="1"/>
    <col min="8387" max="8387" width="8.6640625" style="11" customWidth="1"/>
    <col min="8388" max="8388" width="9.33203125" style="11" customWidth="1"/>
    <col min="8389" max="8389" width="14.6640625" style="11" customWidth="1"/>
    <col min="8390" max="8390" width="2.83203125" style="11" customWidth="1"/>
    <col min="8391" max="8391" width="9.1640625" style="11" customWidth="1"/>
    <col min="8392" max="8392" width="14.33203125" style="11" customWidth="1"/>
    <col min="8393" max="8393" width="4.1640625" style="11" customWidth="1"/>
    <col min="8394" max="8394" width="5.33203125" style="11" customWidth="1"/>
    <col min="8395" max="8395" width="13.33203125" style="11" customWidth="1"/>
    <col min="8396" max="8396" width="6.33203125" style="11" customWidth="1"/>
    <col min="8397" max="8398" width="12.33203125" style="11" customWidth="1"/>
    <col min="8399" max="8399" width="12" style="11" customWidth="1"/>
    <col min="8400" max="8400" width="2.83203125" style="11" customWidth="1"/>
    <col min="8401" max="8401" width="9" style="11" customWidth="1"/>
    <col min="8402" max="8641" width="9.33203125" style="11"/>
    <col min="8642" max="8642" width="3.83203125" style="11" customWidth="1"/>
    <col min="8643" max="8643" width="8.6640625" style="11" customWidth="1"/>
    <col min="8644" max="8644" width="9.33203125" style="11" customWidth="1"/>
    <col min="8645" max="8645" width="14.6640625" style="11" customWidth="1"/>
    <col min="8646" max="8646" width="2.83203125" style="11" customWidth="1"/>
    <col min="8647" max="8647" width="9.1640625" style="11" customWidth="1"/>
    <col min="8648" max="8648" width="14.33203125" style="11" customWidth="1"/>
    <col min="8649" max="8649" width="4.1640625" style="11" customWidth="1"/>
    <col min="8650" max="8650" width="5.33203125" style="11" customWidth="1"/>
    <col min="8651" max="8651" width="13.33203125" style="11" customWidth="1"/>
    <col min="8652" max="8652" width="6.33203125" style="11" customWidth="1"/>
    <col min="8653" max="8654" width="12.33203125" style="11" customWidth="1"/>
    <col min="8655" max="8655" width="12" style="11" customWidth="1"/>
    <col min="8656" max="8656" width="2.83203125" style="11" customWidth="1"/>
    <col min="8657" max="8657" width="9" style="11" customWidth="1"/>
    <col min="8658" max="8897" width="9.33203125" style="11"/>
    <col min="8898" max="8898" width="3.83203125" style="11" customWidth="1"/>
    <col min="8899" max="8899" width="8.6640625" style="11" customWidth="1"/>
    <col min="8900" max="8900" width="9.33203125" style="11" customWidth="1"/>
    <col min="8901" max="8901" width="14.6640625" style="11" customWidth="1"/>
    <col min="8902" max="8902" width="2.83203125" style="11" customWidth="1"/>
    <col min="8903" max="8903" width="9.1640625" style="11" customWidth="1"/>
    <col min="8904" max="8904" width="14.33203125" style="11" customWidth="1"/>
    <col min="8905" max="8905" width="4.1640625" style="11" customWidth="1"/>
    <col min="8906" max="8906" width="5.33203125" style="11" customWidth="1"/>
    <col min="8907" max="8907" width="13.33203125" style="11" customWidth="1"/>
    <col min="8908" max="8908" width="6.33203125" style="11" customWidth="1"/>
    <col min="8909" max="8910" width="12.33203125" style="11" customWidth="1"/>
    <col min="8911" max="8911" width="12" style="11" customWidth="1"/>
    <col min="8912" max="8912" width="2.83203125" style="11" customWidth="1"/>
    <col min="8913" max="8913" width="9" style="11" customWidth="1"/>
    <col min="8914" max="9153" width="9.33203125" style="11"/>
    <col min="9154" max="9154" width="3.83203125" style="11" customWidth="1"/>
    <col min="9155" max="9155" width="8.6640625" style="11" customWidth="1"/>
    <col min="9156" max="9156" width="9.33203125" style="11" customWidth="1"/>
    <col min="9157" max="9157" width="14.6640625" style="11" customWidth="1"/>
    <col min="9158" max="9158" width="2.83203125" style="11" customWidth="1"/>
    <col min="9159" max="9159" width="9.1640625" style="11" customWidth="1"/>
    <col min="9160" max="9160" width="14.33203125" style="11" customWidth="1"/>
    <col min="9161" max="9161" width="4.1640625" style="11" customWidth="1"/>
    <col min="9162" max="9162" width="5.33203125" style="11" customWidth="1"/>
    <col min="9163" max="9163" width="13.33203125" style="11" customWidth="1"/>
    <col min="9164" max="9164" width="6.33203125" style="11" customWidth="1"/>
    <col min="9165" max="9166" width="12.33203125" style="11" customWidth="1"/>
    <col min="9167" max="9167" width="12" style="11" customWidth="1"/>
    <col min="9168" max="9168" width="2.83203125" style="11" customWidth="1"/>
    <col min="9169" max="9169" width="9" style="11" customWidth="1"/>
    <col min="9170" max="9409" width="9.33203125" style="11"/>
    <col min="9410" max="9410" width="3.83203125" style="11" customWidth="1"/>
    <col min="9411" max="9411" width="8.6640625" style="11" customWidth="1"/>
    <col min="9412" max="9412" width="9.33203125" style="11" customWidth="1"/>
    <col min="9413" max="9413" width="14.6640625" style="11" customWidth="1"/>
    <col min="9414" max="9414" width="2.83203125" style="11" customWidth="1"/>
    <col min="9415" max="9415" width="9.1640625" style="11" customWidth="1"/>
    <col min="9416" max="9416" width="14.33203125" style="11" customWidth="1"/>
    <col min="9417" max="9417" width="4.1640625" style="11" customWidth="1"/>
    <col min="9418" max="9418" width="5.33203125" style="11" customWidth="1"/>
    <col min="9419" max="9419" width="13.33203125" style="11" customWidth="1"/>
    <col min="9420" max="9420" width="6.33203125" style="11" customWidth="1"/>
    <col min="9421" max="9422" width="12.33203125" style="11" customWidth="1"/>
    <col min="9423" max="9423" width="12" style="11" customWidth="1"/>
    <col min="9424" max="9424" width="2.83203125" style="11" customWidth="1"/>
    <col min="9425" max="9425" width="9" style="11" customWidth="1"/>
    <col min="9426" max="9665" width="9.33203125" style="11"/>
    <col min="9666" max="9666" width="3.83203125" style="11" customWidth="1"/>
    <col min="9667" max="9667" width="8.6640625" style="11" customWidth="1"/>
    <col min="9668" max="9668" width="9.33203125" style="11" customWidth="1"/>
    <col min="9669" max="9669" width="14.6640625" style="11" customWidth="1"/>
    <col min="9670" max="9670" width="2.83203125" style="11" customWidth="1"/>
    <col min="9671" max="9671" width="9.1640625" style="11" customWidth="1"/>
    <col min="9672" max="9672" width="14.33203125" style="11" customWidth="1"/>
    <col min="9673" max="9673" width="4.1640625" style="11" customWidth="1"/>
    <col min="9674" max="9674" width="5.33203125" style="11" customWidth="1"/>
    <col min="9675" max="9675" width="13.33203125" style="11" customWidth="1"/>
    <col min="9676" max="9676" width="6.33203125" style="11" customWidth="1"/>
    <col min="9677" max="9678" width="12.33203125" style="11" customWidth="1"/>
    <col min="9679" max="9679" width="12" style="11" customWidth="1"/>
    <col min="9680" max="9680" width="2.83203125" style="11" customWidth="1"/>
    <col min="9681" max="9681" width="9" style="11" customWidth="1"/>
    <col min="9682" max="9921" width="9.33203125" style="11"/>
    <col min="9922" max="9922" width="3.83203125" style="11" customWidth="1"/>
    <col min="9923" max="9923" width="8.6640625" style="11" customWidth="1"/>
    <col min="9924" max="9924" width="9.33203125" style="11" customWidth="1"/>
    <col min="9925" max="9925" width="14.6640625" style="11" customWidth="1"/>
    <col min="9926" max="9926" width="2.83203125" style="11" customWidth="1"/>
    <col min="9927" max="9927" width="9.1640625" style="11" customWidth="1"/>
    <col min="9928" max="9928" width="14.33203125" style="11" customWidth="1"/>
    <col min="9929" max="9929" width="4.1640625" style="11" customWidth="1"/>
    <col min="9930" max="9930" width="5.33203125" style="11" customWidth="1"/>
    <col min="9931" max="9931" width="13.33203125" style="11" customWidth="1"/>
    <col min="9932" max="9932" width="6.33203125" style="11" customWidth="1"/>
    <col min="9933" max="9934" width="12.33203125" style="11" customWidth="1"/>
    <col min="9935" max="9935" width="12" style="11" customWidth="1"/>
    <col min="9936" max="9936" width="2.83203125" style="11" customWidth="1"/>
    <col min="9937" max="9937" width="9" style="11" customWidth="1"/>
    <col min="9938" max="10177" width="9.33203125" style="11"/>
    <col min="10178" max="10178" width="3.83203125" style="11" customWidth="1"/>
    <col min="10179" max="10179" width="8.6640625" style="11" customWidth="1"/>
    <col min="10180" max="10180" width="9.33203125" style="11" customWidth="1"/>
    <col min="10181" max="10181" width="14.6640625" style="11" customWidth="1"/>
    <col min="10182" max="10182" width="2.83203125" style="11" customWidth="1"/>
    <col min="10183" max="10183" width="9.1640625" style="11" customWidth="1"/>
    <col min="10184" max="10184" width="14.33203125" style="11" customWidth="1"/>
    <col min="10185" max="10185" width="4.1640625" style="11" customWidth="1"/>
    <col min="10186" max="10186" width="5.33203125" style="11" customWidth="1"/>
    <col min="10187" max="10187" width="13.33203125" style="11" customWidth="1"/>
    <col min="10188" max="10188" width="6.33203125" style="11" customWidth="1"/>
    <col min="10189" max="10190" width="12.33203125" style="11" customWidth="1"/>
    <col min="10191" max="10191" width="12" style="11" customWidth="1"/>
    <col min="10192" max="10192" width="2.83203125" style="11" customWidth="1"/>
    <col min="10193" max="10193" width="9" style="11" customWidth="1"/>
    <col min="10194" max="10433" width="9.33203125" style="11"/>
    <col min="10434" max="10434" width="3.83203125" style="11" customWidth="1"/>
    <col min="10435" max="10435" width="8.6640625" style="11" customWidth="1"/>
    <col min="10436" max="10436" width="9.33203125" style="11" customWidth="1"/>
    <col min="10437" max="10437" width="14.6640625" style="11" customWidth="1"/>
    <col min="10438" max="10438" width="2.83203125" style="11" customWidth="1"/>
    <col min="10439" max="10439" width="9.1640625" style="11" customWidth="1"/>
    <col min="10440" max="10440" width="14.33203125" style="11" customWidth="1"/>
    <col min="10441" max="10441" width="4.1640625" style="11" customWidth="1"/>
    <col min="10442" max="10442" width="5.33203125" style="11" customWidth="1"/>
    <col min="10443" max="10443" width="13.33203125" style="11" customWidth="1"/>
    <col min="10444" max="10444" width="6.33203125" style="11" customWidth="1"/>
    <col min="10445" max="10446" width="12.33203125" style="11" customWidth="1"/>
    <col min="10447" max="10447" width="12" style="11" customWidth="1"/>
    <col min="10448" max="10448" width="2.83203125" style="11" customWidth="1"/>
    <col min="10449" max="10449" width="9" style="11" customWidth="1"/>
    <col min="10450" max="10689" width="9.33203125" style="11"/>
    <col min="10690" max="10690" width="3.83203125" style="11" customWidth="1"/>
    <col min="10691" max="10691" width="8.6640625" style="11" customWidth="1"/>
    <col min="10692" max="10692" width="9.33203125" style="11" customWidth="1"/>
    <col min="10693" max="10693" width="14.6640625" style="11" customWidth="1"/>
    <col min="10694" max="10694" width="2.83203125" style="11" customWidth="1"/>
    <col min="10695" max="10695" width="9.1640625" style="11" customWidth="1"/>
    <col min="10696" max="10696" width="14.33203125" style="11" customWidth="1"/>
    <col min="10697" max="10697" width="4.1640625" style="11" customWidth="1"/>
    <col min="10698" max="10698" width="5.33203125" style="11" customWidth="1"/>
    <col min="10699" max="10699" width="13.33203125" style="11" customWidth="1"/>
    <col min="10700" max="10700" width="6.33203125" style="11" customWidth="1"/>
    <col min="10701" max="10702" width="12.33203125" style="11" customWidth="1"/>
    <col min="10703" max="10703" width="12" style="11" customWidth="1"/>
    <col min="10704" max="10704" width="2.83203125" style="11" customWidth="1"/>
    <col min="10705" max="10705" width="9" style="11" customWidth="1"/>
    <col min="10706" max="10945" width="9.33203125" style="11"/>
    <col min="10946" max="10946" width="3.83203125" style="11" customWidth="1"/>
    <col min="10947" max="10947" width="8.6640625" style="11" customWidth="1"/>
    <col min="10948" max="10948" width="9.33203125" style="11" customWidth="1"/>
    <col min="10949" max="10949" width="14.6640625" style="11" customWidth="1"/>
    <col min="10950" max="10950" width="2.83203125" style="11" customWidth="1"/>
    <col min="10951" max="10951" width="9.1640625" style="11" customWidth="1"/>
    <col min="10952" max="10952" width="14.33203125" style="11" customWidth="1"/>
    <col min="10953" max="10953" width="4.1640625" style="11" customWidth="1"/>
    <col min="10954" max="10954" width="5.33203125" style="11" customWidth="1"/>
    <col min="10955" max="10955" width="13.33203125" style="11" customWidth="1"/>
    <col min="10956" max="10956" width="6.33203125" style="11" customWidth="1"/>
    <col min="10957" max="10958" width="12.33203125" style="11" customWidth="1"/>
    <col min="10959" max="10959" width="12" style="11" customWidth="1"/>
    <col min="10960" max="10960" width="2.83203125" style="11" customWidth="1"/>
    <col min="10961" max="10961" width="9" style="11" customWidth="1"/>
    <col min="10962" max="11201" width="9.33203125" style="11"/>
    <col min="11202" max="11202" width="3.83203125" style="11" customWidth="1"/>
    <col min="11203" max="11203" width="8.6640625" style="11" customWidth="1"/>
    <col min="11204" max="11204" width="9.33203125" style="11" customWidth="1"/>
    <col min="11205" max="11205" width="14.6640625" style="11" customWidth="1"/>
    <col min="11206" max="11206" width="2.83203125" style="11" customWidth="1"/>
    <col min="11207" max="11207" width="9.1640625" style="11" customWidth="1"/>
    <col min="11208" max="11208" width="14.33203125" style="11" customWidth="1"/>
    <col min="11209" max="11209" width="4.1640625" style="11" customWidth="1"/>
    <col min="11210" max="11210" width="5.33203125" style="11" customWidth="1"/>
    <col min="11211" max="11211" width="13.33203125" style="11" customWidth="1"/>
    <col min="11212" max="11212" width="6.33203125" style="11" customWidth="1"/>
    <col min="11213" max="11214" width="12.33203125" style="11" customWidth="1"/>
    <col min="11215" max="11215" width="12" style="11" customWidth="1"/>
    <col min="11216" max="11216" width="2.83203125" style="11" customWidth="1"/>
    <col min="11217" max="11217" width="9" style="11" customWidth="1"/>
    <col min="11218" max="11457" width="9.33203125" style="11"/>
    <col min="11458" max="11458" width="3.83203125" style="11" customWidth="1"/>
    <col min="11459" max="11459" width="8.6640625" style="11" customWidth="1"/>
    <col min="11460" max="11460" width="9.33203125" style="11" customWidth="1"/>
    <col min="11461" max="11461" width="14.6640625" style="11" customWidth="1"/>
    <col min="11462" max="11462" width="2.83203125" style="11" customWidth="1"/>
    <col min="11463" max="11463" width="9.1640625" style="11" customWidth="1"/>
    <col min="11464" max="11464" width="14.33203125" style="11" customWidth="1"/>
    <col min="11465" max="11465" width="4.1640625" style="11" customWidth="1"/>
    <col min="11466" max="11466" width="5.33203125" style="11" customWidth="1"/>
    <col min="11467" max="11467" width="13.33203125" style="11" customWidth="1"/>
    <col min="11468" max="11468" width="6.33203125" style="11" customWidth="1"/>
    <col min="11469" max="11470" width="12.33203125" style="11" customWidth="1"/>
    <col min="11471" max="11471" width="12" style="11" customWidth="1"/>
    <col min="11472" max="11472" width="2.83203125" style="11" customWidth="1"/>
    <col min="11473" max="11473" width="9" style="11" customWidth="1"/>
    <col min="11474" max="11713" width="9.33203125" style="11"/>
    <col min="11714" max="11714" width="3.83203125" style="11" customWidth="1"/>
    <col min="11715" max="11715" width="8.6640625" style="11" customWidth="1"/>
    <col min="11716" max="11716" width="9.33203125" style="11" customWidth="1"/>
    <col min="11717" max="11717" width="14.6640625" style="11" customWidth="1"/>
    <col min="11718" max="11718" width="2.83203125" style="11" customWidth="1"/>
    <col min="11719" max="11719" width="9.1640625" style="11" customWidth="1"/>
    <col min="11720" max="11720" width="14.33203125" style="11" customWidth="1"/>
    <col min="11721" max="11721" width="4.1640625" style="11" customWidth="1"/>
    <col min="11722" max="11722" width="5.33203125" style="11" customWidth="1"/>
    <col min="11723" max="11723" width="13.33203125" style="11" customWidth="1"/>
    <col min="11724" max="11724" width="6.33203125" style="11" customWidth="1"/>
    <col min="11725" max="11726" width="12.33203125" style="11" customWidth="1"/>
    <col min="11727" max="11727" width="12" style="11" customWidth="1"/>
    <col min="11728" max="11728" width="2.83203125" style="11" customWidth="1"/>
    <col min="11729" max="11729" width="9" style="11" customWidth="1"/>
    <col min="11730" max="11969" width="9.33203125" style="11"/>
    <col min="11970" max="11970" width="3.83203125" style="11" customWidth="1"/>
    <col min="11971" max="11971" width="8.6640625" style="11" customWidth="1"/>
    <col min="11972" max="11972" width="9.33203125" style="11" customWidth="1"/>
    <col min="11973" max="11973" width="14.6640625" style="11" customWidth="1"/>
    <col min="11974" max="11974" width="2.83203125" style="11" customWidth="1"/>
    <col min="11975" max="11975" width="9.1640625" style="11" customWidth="1"/>
    <col min="11976" max="11976" width="14.33203125" style="11" customWidth="1"/>
    <col min="11977" max="11977" width="4.1640625" style="11" customWidth="1"/>
    <col min="11978" max="11978" width="5.33203125" style="11" customWidth="1"/>
    <col min="11979" max="11979" width="13.33203125" style="11" customWidth="1"/>
    <col min="11980" max="11980" width="6.33203125" style="11" customWidth="1"/>
    <col min="11981" max="11982" width="12.33203125" style="11" customWidth="1"/>
    <col min="11983" max="11983" width="12" style="11" customWidth="1"/>
    <col min="11984" max="11984" width="2.83203125" style="11" customWidth="1"/>
    <col min="11985" max="11985" width="9" style="11" customWidth="1"/>
    <col min="11986" max="12225" width="9.33203125" style="11"/>
    <col min="12226" max="12226" width="3.83203125" style="11" customWidth="1"/>
    <col min="12227" max="12227" width="8.6640625" style="11" customWidth="1"/>
    <col min="12228" max="12228" width="9.33203125" style="11" customWidth="1"/>
    <col min="12229" max="12229" width="14.6640625" style="11" customWidth="1"/>
    <col min="12230" max="12230" width="2.83203125" style="11" customWidth="1"/>
    <col min="12231" max="12231" width="9.1640625" style="11" customWidth="1"/>
    <col min="12232" max="12232" width="14.33203125" style="11" customWidth="1"/>
    <col min="12233" max="12233" width="4.1640625" style="11" customWidth="1"/>
    <col min="12234" max="12234" width="5.33203125" style="11" customWidth="1"/>
    <col min="12235" max="12235" width="13.33203125" style="11" customWidth="1"/>
    <col min="12236" max="12236" width="6.33203125" style="11" customWidth="1"/>
    <col min="12237" max="12238" width="12.33203125" style="11" customWidth="1"/>
    <col min="12239" max="12239" width="12" style="11" customWidth="1"/>
    <col min="12240" max="12240" width="2.83203125" style="11" customWidth="1"/>
    <col min="12241" max="12241" width="9" style="11" customWidth="1"/>
    <col min="12242" max="12481" width="9.33203125" style="11"/>
    <col min="12482" max="12482" width="3.83203125" style="11" customWidth="1"/>
    <col min="12483" max="12483" width="8.6640625" style="11" customWidth="1"/>
    <col min="12484" max="12484" width="9.33203125" style="11" customWidth="1"/>
    <col min="12485" max="12485" width="14.6640625" style="11" customWidth="1"/>
    <col min="12486" max="12486" width="2.83203125" style="11" customWidth="1"/>
    <col min="12487" max="12487" width="9.1640625" style="11" customWidth="1"/>
    <col min="12488" max="12488" width="14.33203125" style="11" customWidth="1"/>
    <col min="12489" max="12489" width="4.1640625" style="11" customWidth="1"/>
    <col min="12490" max="12490" width="5.33203125" style="11" customWidth="1"/>
    <col min="12491" max="12491" width="13.33203125" style="11" customWidth="1"/>
    <col min="12492" max="12492" width="6.33203125" style="11" customWidth="1"/>
    <col min="12493" max="12494" width="12.33203125" style="11" customWidth="1"/>
    <col min="12495" max="12495" width="12" style="11" customWidth="1"/>
    <col min="12496" max="12496" width="2.83203125" style="11" customWidth="1"/>
    <col min="12497" max="12497" width="9" style="11" customWidth="1"/>
    <col min="12498" max="12737" width="9.33203125" style="11"/>
    <col min="12738" max="12738" width="3.83203125" style="11" customWidth="1"/>
    <col min="12739" max="12739" width="8.6640625" style="11" customWidth="1"/>
    <col min="12740" max="12740" width="9.33203125" style="11" customWidth="1"/>
    <col min="12741" max="12741" width="14.6640625" style="11" customWidth="1"/>
    <col min="12742" max="12742" width="2.83203125" style="11" customWidth="1"/>
    <col min="12743" max="12743" width="9.1640625" style="11" customWidth="1"/>
    <col min="12744" max="12744" width="14.33203125" style="11" customWidth="1"/>
    <col min="12745" max="12745" width="4.1640625" style="11" customWidth="1"/>
    <col min="12746" max="12746" width="5.33203125" style="11" customWidth="1"/>
    <col min="12747" max="12747" width="13.33203125" style="11" customWidth="1"/>
    <col min="12748" max="12748" width="6.33203125" style="11" customWidth="1"/>
    <col min="12749" max="12750" width="12.33203125" style="11" customWidth="1"/>
    <col min="12751" max="12751" width="12" style="11" customWidth="1"/>
    <col min="12752" max="12752" width="2.83203125" style="11" customWidth="1"/>
    <col min="12753" max="12753" width="9" style="11" customWidth="1"/>
    <col min="12754" max="12993" width="9.33203125" style="11"/>
    <col min="12994" max="12994" width="3.83203125" style="11" customWidth="1"/>
    <col min="12995" max="12995" width="8.6640625" style="11" customWidth="1"/>
    <col min="12996" max="12996" width="9.33203125" style="11" customWidth="1"/>
    <col min="12997" max="12997" width="14.6640625" style="11" customWidth="1"/>
    <col min="12998" max="12998" width="2.83203125" style="11" customWidth="1"/>
    <col min="12999" max="12999" width="9.1640625" style="11" customWidth="1"/>
    <col min="13000" max="13000" width="14.33203125" style="11" customWidth="1"/>
    <col min="13001" max="13001" width="4.1640625" style="11" customWidth="1"/>
    <col min="13002" max="13002" width="5.33203125" style="11" customWidth="1"/>
    <col min="13003" max="13003" width="13.33203125" style="11" customWidth="1"/>
    <col min="13004" max="13004" width="6.33203125" style="11" customWidth="1"/>
    <col min="13005" max="13006" width="12.33203125" style="11" customWidth="1"/>
    <col min="13007" max="13007" width="12" style="11" customWidth="1"/>
    <col min="13008" max="13008" width="2.83203125" style="11" customWidth="1"/>
    <col min="13009" max="13009" width="9" style="11" customWidth="1"/>
    <col min="13010" max="13249" width="9.33203125" style="11"/>
    <col min="13250" max="13250" width="3.83203125" style="11" customWidth="1"/>
    <col min="13251" max="13251" width="8.6640625" style="11" customWidth="1"/>
    <col min="13252" max="13252" width="9.33203125" style="11" customWidth="1"/>
    <col min="13253" max="13253" width="14.6640625" style="11" customWidth="1"/>
    <col min="13254" max="13254" width="2.83203125" style="11" customWidth="1"/>
    <col min="13255" max="13255" width="9.1640625" style="11" customWidth="1"/>
    <col min="13256" max="13256" width="14.33203125" style="11" customWidth="1"/>
    <col min="13257" max="13257" width="4.1640625" style="11" customWidth="1"/>
    <col min="13258" max="13258" width="5.33203125" style="11" customWidth="1"/>
    <col min="13259" max="13259" width="13.33203125" style="11" customWidth="1"/>
    <col min="13260" max="13260" width="6.33203125" style="11" customWidth="1"/>
    <col min="13261" max="13262" width="12.33203125" style="11" customWidth="1"/>
    <col min="13263" max="13263" width="12" style="11" customWidth="1"/>
    <col min="13264" max="13264" width="2.83203125" style="11" customWidth="1"/>
    <col min="13265" max="13265" width="9" style="11" customWidth="1"/>
    <col min="13266" max="13505" width="9.33203125" style="11"/>
    <col min="13506" max="13506" width="3.83203125" style="11" customWidth="1"/>
    <col min="13507" max="13507" width="8.6640625" style="11" customWidth="1"/>
    <col min="13508" max="13508" width="9.33203125" style="11" customWidth="1"/>
    <col min="13509" max="13509" width="14.6640625" style="11" customWidth="1"/>
    <col min="13510" max="13510" width="2.83203125" style="11" customWidth="1"/>
    <col min="13511" max="13511" width="9.1640625" style="11" customWidth="1"/>
    <col min="13512" max="13512" width="14.33203125" style="11" customWidth="1"/>
    <col min="13513" max="13513" width="4.1640625" style="11" customWidth="1"/>
    <col min="13514" max="13514" width="5.33203125" style="11" customWidth="1"/>
    <col min="13515" max="13515" width="13.33203125" style="11" customWidth="1"/>
    <col min="13516" max="13516" width="6.33203125" style="11" customWidth="1"/>
    <col min="13517" max="13518" width="12.33203125" style="11" customWidth="1"/>
    <col min="13519" max="13519" width="12" style="11" customWidth="1"/>
    <col min="13520" max="13520" width="2.83203125" style="11" customWidth="1"/>
    <col min="13521" max="13521" width="9" style="11" customWidth="1"/>
    <col min="13522" max="13761" width="9.33203125" style="11"/>
    <col min="13762" max="13762" width="3.83203125" style="11" customWidth="1"/>
    <col min="13763" max="13763" width="8.6640625" style="11" customWidth="1"/>
    <col min="13764" max="13764" width="9.33203125" style="11" customWidth="1"/>
    <col min="13765" max="13765" width="14.6640625" style="11" customWidth="1"/>
    <col min="13766" max="13766" width="2.83203125" style="11" customWidth="1"/>
    <col min="13767" max="13767" width="9.1640625" style="11" customWidth="1"/>
    <col min="13768" max="13768" width="14.33203125" style="11" customWidth="1"/>
    <col min="13769" max="13769" width="4.1640625" style="11" customWidth="1"/>
    <col min="13770" max="13770" width="5.33203125" style="11" customWidth="1"/>
    <col min="13771" max="13771" width="13.33203125" style="11" customWidth="1"/>
    <col min="13772" max="13772" width="6.33203125" style="11" customWidth="1"/>
    <col min="13773" max="13774" width="12.33203125" style="11" customWidth="1"/>
    <col min="13775" max="13775" width="12" style="11" customWidth="1"/>
    <col min="13776" max="13776" width="2.83203125" style="11" customWidth="1"/>
    <col min="13777" max="13777" width="9" style="11" customWidth="1"/>
    <col min="13778" max="14017" width="9.33203125" style="11"/>
    <col min="14018" max="14018" width="3.83203125" style="11" customWidth="1"/>
    <col min="14019" max="14019" width="8.6640625" style="11" customWidth="1"/>
    <col min="14020" max="14020" width="9.33203125" style="11" customWidth="1"/>
    <col min="14021" max="14021" width="14.6640625" style="11" customWidth="1"/>
    <col min="14022" max="14022" width="2.83203125" style="11" customWidth="1"/>
    <col min="14023" max="14023" width="9.1640625" style="11" customWidth="1"/>
    <col min="14024" max="14024" width="14.33203125" style="11" customWidth="1"/>
    <col min="14025" max="14025" width="4.1640625" style="11" customWidth="1"/>
    <col min="14026" max="14026" width="5.33203125" style="11" customWidth="1"/>
    <col min="14027" max="14027" width="13.33203125" style="11" customWidth="1"/>
    <col min="14028" max="14028" width="6.33203125" style="11" customWidth="1"/>
    <col min="14029" max="14030" width="12.33203125" style="11" customWidth="1"/>
    <col min="14031" max="14031" width="12" style="11" customWidth="1"/>
    <col min="14032" max="14032" width="2.83203125" style="11" customWidth="1"/>
    <col min="14033" max="14033" width="9" style="11" customWidth="1"/>
    <col min="14034" max="14273" width="9.33203125" style="11"/>
    <col min="14274" max="14274" width="3.83203125" style="11" customWidth="1"/>
    <col min="14275" max="14275" width="8.6640625" style="11" customWidth="1"/>
    <col min="14276" max="14276" width="9.33203125" style="11" customWidth="1"/>
    <col min="14277" max="14277" width="14.6640625" style="11" customWidth="1"/>
    <col min="14278" max="14278" width="2.83203125" style="11" customWidth="1"/>
    <col min="14279" max="14279" width="9.1640625" style="11" customWidth="1"/>
    <col min="14280" max="14280" width="14.33203125" style="11" customWidth="1"/>
    <col min="14281" max="14281" width="4.1640625" style="11" customWidth="1"/>
    <col min="14282" max="14282" width="5.33203125" style="11" customWidth="1"/>
    <col min="14283" max="14283" width="13.33203125" style="11" customWidth="1"/>
    <col min="14284" max="14284" width="6.33203125" style="11" customWidth="1"/>
    <col min="14285" max="14286" width="12.33203125" style="11" customWidth="1"/>
    <col min="14287" max="14287" width="12" style="11" customWidth="1"/>
    <col min="14288" max="14288" width="2.83203125" style="11" customWidth="1"/>
    <col min="14289" max="14289" width="9" style="11" customWidth="1"/>
    <col min="14290" max="14529" width="9.33203125" style="11"/>
    <col min="14530" max="14530" width="3.83203125" style="11" customWidth="1"/>
    <col min="14531" max="14531" width="8.6640625" style="11" customWidth="1"/>
    <col min="14532" max="14532" width="9.33203125" style="11" customWidth="1"/>
    <col min="14533" max="14533" width="14.6640625" style="11" customWidth="1"/>
    <col min="14534" max="14534" width="2.83203125" style="11" customWidth="1"/>
    <col min="14535" max="14535" width="9.1640625" style="11" customWidth="1"/>
    <col min="14536" max="14536" width="14.33203125" style="11" customWidth="1"/>
    <col min="14537" max="14537" width="4.1640625" style="11" customWidth="1"/>
    <col min="14538" max="14538" width="5.33203125" style="11" customWidth="1"/>
    <col min="14539" max="14539" width="13.33203125" style="11" customWidth="1"/>
    <col min="14540" max="14540" width="6.33203125" style="11" customWidth="1"/>
    <col min="14541" max="14542" width="12.33203125" style="11" customWidth="1"/>
    <col min="14543" max="14543" width="12" style="11" customWidth="1"/>
    <col min="14544" max="14544" width="2.83203125" style="11" customWidth="1"/>
    <col min="14545" max="14545" width="9" style="11" customWidth="1"/>
    <col min="14546" max="14785" width="9.33203125" style="11"/>
    <col min="14786" max="14786" width="3.83203125" style="11" customWidth="1"/>
    <col min="14787" max="14787" width="8.6640625" style="11" customWidth="1"/>
    <col min="14788" max="14788" width="9.33203125" style="11" customWidth="1"/>
    <col min="14789" max="14789" width="14.6640625" style="11" customWidth="1"/>
    <col min="14790" max="14790" width="2.83203125" style="11" customWidth="1"/>
    <col min="14791" max="14791" width="9.1640625" style="11" customWidth="1"/>
    <col min="14792" max="14792" width="14.33203125" style="11" customWidth="1"/>
    <col min="14793" max="14793" width="4.1640625" style="11" customWidth="1"/>
    <col min="14794" max="14794" width="5.33203125" style="11" customWidth="1"/>
    <col min="14795" max="14795" width="13.33203125" style="11" customWidth="1"/>
    <col min="14796" max="14796" width="6.33203125" style="11" customWidth="1"/>
    <col min="14797" max="14798" width="12.33203125" style="11" customWidth="1"/>
    <col min="14799" max="14799" width="12" style="11" customWidth="1"/>
    <col min="14800" max="14800" width="2.83203125" style="11" customWidth="1"/>
    <col min="14801" max="14801" width="9" style="11" customWidth="1"/>
    <col min="14802" max="15041" width="9.33203125" style="11"/>
    <col min="15042" max="15042" width="3.83203125" style="11" customWidth="1"/>
    <col min="15043" max="15043" width="8.6640625" style="11" customWidth="1"/>
    <col min="15044" max="15044" width="9.33203125" style="11" customWidth="1"/>
    <col min="15045" max="15045" width="14.6640625" style="11" customWidth="1"/>
    <col min="15046" max="15046" width="2.83203125" style="11" customWidth="1"/>
    <col min="15047" max="15047" width="9.1640625" style="11" customWidth="1"/>
    <col min="15048" max="15048" width="14.33203125" style="11" customWidth="1"/>
    <col min="15049" max="15049" width="4.1640625" style="11" customWidth="1"/>
    <col min="15050" max="15050" width="5.33203125" style="11" customWidth="1"/>
    <col min="15051" max="15051" width="13.33203125" style="11" customWidth="1"/>
    <col min="15052" max="15052" width="6.33203125" style="11" customWidth="1"/>
    <col min="15053" max="15054" width="12.33203125" style="11" customWidth="1"/>
    <col min="15055" max="15055" width="12" style="11" customWidth="1"/>
    <col min="15056" max="15056" width="2.83203125" style="11" customWidth="1"/>
    <col min="15057" max="15057" width="9" style="11" customWidth="1"/>
    <col min="15058" max="15297" width="9.33203125" style="11"/>
    <col min="15298" max="15298" width="3.83203125" style="11" customWidth="1"/>
    <col min="15299" max="15299" width="8.6640625" style="11" customWidth="1"/>
    <col min="15300" max="15300" width="9.33203125" style="11" customWidth="1"/>
    <col min="15301" max="15301" width="14.6640625" style="11" customWidth="1"/>
    <col min="15302" max="15302" width="2.83203125" style="11" customWidth="1"/>
    <col min="15303" max="15303" width="9.1640625" style="11" customWidth="1"/>
    <col min="15304" max="15304" width="14.33203125" style="11" customWidth="1"/>
    <col min="15305" max="15305" width="4.1640625" style="11" customWidth="1"/>
    <col min="15306" max="15306" width="5.33203125" style="11" customWidth="1"/>
    <col min="15307" max="15307" width="13.33203125" style="11" customWidth="1"/>
    <col min="15308" max="15308" width="6.33203125" style="11" customWidth="1"/>
    <col min="15309" max="15310" width="12.33203125" style="11" customWidth="1"/>
    <col min="15311" max="15311" width="12" style="11" customWidth="1"/>
    <col min="15312" max="15312" width="2.83203125" style="11" customWidth="1"/>
    <col min="15313" max="15313" width="9" style="11" customWidth="1"/>
    <col min="15314" max="15553" width="9.33203125" style="11"/>
    <col min="15554" max="15554" width="3.83203125" style="11" customWidth="1"/>
    <col min="15555" max="15555" width="8.6640625" style="11" customWidth="1"/>
    <col min="15556" max="15556" width="9.33203125" style="11" customWidth="1"/>
    <col min="15557" max="15557" width="14.6640625" style="11" customWidth="1"/>
    <col min="15558" max="15558" width="2.83203125" style="11" customWidth="1"/>
    <col min="15559" max="15559" width="9.1640625" style="11" customWidth="1"/>
    <col min="15560" max="15560" width="14.33203125" style="11" customWidth="1"/>
    <col min="15561" max="15561" width="4.1640625" style="11" customWidth="1"/>
    <col min="15562" max="15562" width="5.33203125" style="11" customWidth="1"/>
    <col min="15563" max="15563" width="13.33203125" style="11" customWidth="1"/>
    <col min="15564" max="15564" width="6.33203125" style="11" customWidth="1"/>
    <col min="15565" max="15566" width="12.33203125" style="11" customWidth="1"/>
    <col min="15567" max="15567" width="12" style="11" customWidth="1"/>
    <col min="15568" max="15568" width="2.83203125" style="11" customWidth="1"/>
    <col min="15569" max="15569" width="9" style="11" customWidth="1"/>
    <col min="15570" max="15809" width="9.33203125" style="11"/>
    <col min="15810" max="15810" width="3.83203125" style="11" customWidth="1"/>
    <col min="15811" max="15811" width="8.6640625" style="11" customWidth="1"/>
    <col min="15812" max="15812" width="9.33203125" style="11" customWidth="1"/>
    <col min="15813" max="15813" width="14.6640625" style="11" customWidth="1"/>
    <col min="15814" max="15814" width="2.83203125" style="11" customWidth="1"/>
    <col min="15815" max="15815" width="9.1640625" style="11" customWidth="1"/>
    <col min="15816" max="15816" width="14.33203125" style="11" customWidth="1"/>
    <col min="15817" max="15817" width="4.1640625" style="11" customWidth="1"/>
    <col min="15818" max="15818" width="5.33203125" style="11" customWidth="1"/>
    <col min="15819" max="15819" width="13.33203125" style="11" customWidth="1"/>
    <col min="15820" max="15820" width="6.33203125" style="11" customWidth="1"/>
    <col min="15821" max="15822" width="12.33203125" style="11" customWidth="1"/>
    <col min="15823" max="15823" width="12" style="11" customWidth="1"/>
    <col min="15824" max="15824" width="2.83203125" style="11" customWidth="1"/>
    <col min="15825" max="15825" width="9" style="11" customWidth="1"/>
    <col min="15826" max="16065" width="9.33203125" style="11"/>
    <col min="16066" max="16066" width="3.83203125" style="11" customWidth="1"/>
    <col min="16067" max="16067" width="8.6640625" style="11" customWidth="1"/>
    <col min="16068" max="16068" width="9.33203125" style="11" customWidth="1"/>
    <col min="16069" max="16069" width="14.6640625" style="11" customWidth="1"/>
    <col min="16070" max="16070" width="2.83203125" style="11" customWidth="1"/>
    <col min="16071" max="16071" width="9.1640625" style="11" customWidth="1"/>
    <col min="16072" max="16072" width="14.33203125" style="11" customWidth="1"/>
    <col min="16073" max="16073" width="4.1640625" style="11" customWidth="1"/>
    <col min="16074" max="16074" width="5.33203125" style="11" customWidth="1"/>
    <col min="16075" max="16075" width="13.33203125" style="11" customWidth="1"/>
    <col min="16076" max="16076" width="6.33203125" style="11" customWidth="1"/>
    <col min="16077" max="16078" width="12.33203125" style="11" customWidth="1"/>
    <col min="16079" max="16079" width="12" style="11" customWidth="1"/>
    <col min="16080" max="16080" width="2.83203125" style="11" customWidth="1"/>
    <col min="16081" max="16081" width="9" style="11" customWidth="1"/>
    <col min="16082" max="16384" width="9.33203125" style="11"/>
  </cols>
  <sheetData>
    <row r="1" spans="1:13" ht="12.75" customHeight="1" x14ac:dyDescent="0.2">
      <c r="A1" s="232" t="s">
        <v>106</v>
      </c>
      <c r="B1" s="232"/>
      <c r="C1" s="232"/>
      <c r="D1" s="232"/>
      <c r="E1" s="232"/>
      <c r="F1" s="232"/>
      <c r="G1" s="232"/>
      <c r="H1" s="232"/>
      <c r="I1" s="232"/>
      <c r="J1" s="20"/>
      <c r="K1" s="14"/>
    </row>
    <row r="2" spans="1:13" ht="12.75" customHeight="1" x14ac:dyDescent="0.2">
      <c r="A2" s="233" t="s">
        <v>107</v>
      </c>
      <c r="B2" s="233"/>
      <c r="C2" s="233"/>
      <c r="D2" s="233"/>
      <c r="E2" s="233"/>
      <c r="F2" s="233"/>
      <c r="G2" s="233"/>
      <c r="H2" s="233"/>
      <c r="I2" s="233"/>
      <c r="J2" s="73"/>
      <c r="K2" s="12"/>
    </row>
    <row r="3" spans="1:13" ht="12.75" customHeight="1" x14ac:dyDescent="0.2">
      <c r="A3" s="234" t="s">
        <v>796</v>
      </c>
      <c r="B3" s="234"/>
      <c r="C3" s="234"/>
      <c r="D3" s="234"/>
      <c r="E3" s="234"/>
      <c r="F3" s="234"/>
      <c r="G3" s="234"/>
      <c r="H3" s="234"/>
      <c r="I3" s="234"/>
      <c r="J3" s="74"/>
      <c r="K3" s="72"/>
    </row>
    <row r="4" spans="1:13" x14ac:dyDescent="0.2">
      <c r="A4" s="14" t="s">
        <v>108</v>
      </c>
      <c r="B4" s="12"/>
      <c r="C4" s="12"/>
      <c r="D4" s="12"/>
      <c r="E4" s="12"/>
      <c r="F4" s="12"/>
      <c r="G4" s="36"/>
      <c r="H4" s="41"/>
      <c r="I4" s="56">
        <v>146158.5</v>
      </c>
      <c r="J4" s="75"/>
      <c r="K4" s="13"/>
    </row>
    <row r="5" spans="1:13" x14ac:dyDescent="0.2">
      <c r="A5" s="47" t="s">
        <v>109</v>
      </c>
      <c r="B5" s="48" t="s">
        <v>95</v>
      </c>
      <c r="C5" s="48" t="s">
        <v>110</v>
      </c>
      <c r="D5" s="48" t="s">
        <v>111</v>
      </c>
      <c r="E5" s="48" t="s">
        <v>99</v>
      </c>
      <c r="F5" s="48" t="s">
        <v>112</v>
      </c>
      <c r="G5" s="57" t="s">
        <v>113</v>
      </c>
      <c r="H5" s="57" t="s">
        <v>114</v>
      </c>
      <c r="I5" s="58" t="s">
        <v>115</v>
      </c>
      <c r="J5" s="76" t="s">
        <v>116</v>
      </c>
      <c r="K5" s="49" t="s">
        <v>98</v>
      </c>
    </row>
    <row r="6" spans="1:13" ht="12.75" customHeight="1" x14ac:dyDescent="0.2">
      <c r="A6" s="11" t="s">
        <v>117</v>
      </c>
      <c r="B6" s="35">
        <v>45901</v>
      </c>
      <c r="C6" s="12" t="s">
        <v>356</v>
      </c>
      <c r="D6" s="12" t="s">
        <v>119</v>
      </c>
      <c r="E6" s="15" t="s">
        <v>516</v>
      </c>
      <c r="F6" s="12" t="s">
        <v>550</v>
      </c>
      <c r="G6" s="238">
        <v>4599.8500000000004</v>
      </c>
      <c r="H6" s="77"/>
      <c r="I6" s="36">
        <v>150758.35</v>
      </c>
      <c r="J6" s="33" t="s">
        <v>206</v>
      </c>
      <c r="K6" s="164">
        <v>2</v>
      </c>
      <c r="L6" s="77"/>
      <c r="M6" s="36"/>
    </row>
    <row r="7" spans="1:13" ht="12.75" customHeight="1" x14ac:dyDescent="0.2">
      <c r="A7" s="11" t="s">
        <v>117</v>
      </c>
      <c r="B7" s="35">
        <v>45901</v>
      </c>
      <c r="C7" s="12" t="s">
        <v>356</v>
      </c>
      <c r="D7" s="12" t="s">
        <v>119</v>
      </c>
      <c r="E7" s="15" t="s">
        <v>516</v>
      </c>
      <c r="F7" s="12" t="s">
        <v>551</v>
      </c>
      <c r="G7" s="196">
        <v>2772.13</v>
      </c>
      <c r="H7" s="77"/>
      <c r="I7" s="36">
        <v>153530.48000000001</v>
      </c>
      <c r="J7" s="33" t="s">
        <v>206</v>
      </c>
      <c r="K7" s="164">
        <v>3</v>
      </c>
      <c r="L7" s="192"/>
      <c r="M7" s="36"/>
    </row>
    <row r="8" spans="1:13" ht="12.75" customHeight="1" x14ac:dyDescent="0.2">
      <c r="A8" s="11" t="s">
        <v>117</v>
      </c>
      <c r="B8" s="35">
        <v>45901</v>
      </c>
      <c r="C8" s="12" t="s">
        <v>357</v>
      </c>
      <c r="D8" s="12" t="s">
        <v>358</v>
      </c>
      <c r="E8" s="15" t="s">
        <v>358</v>
      </c>
      <c r="F8" s="12" t="s">
        <v>358</v>
      </c>
      <c r="G8" s="36">
        <v>22750.99</v>
      </c>
      <c r="H8" s="77"/>
      <c r="I8" s="36">
        <v>176281.47</v>
      </c>
      <c r="J8" s="35">
        <v>45900</v>
      </c>
      <c r="K8" s="164">
        <v>4</v>
      </c>
      <c r="L8" s="192"/>
      <c r="M8" s="36"/>
    </row>
    <row r="9" spans="1:13" ht="12.75" customHeight="1" x14ac:dyDescent="0.2">
      <c r="A9" s="11" t="s">
        <v>117</v>
      </c>
      <c r="B9" s="35">
        <v>45901</v>
      </c>
      <c r="C9" s="12" t="s">
        <v>359</v>
      </c>
      <c r="D9" s="12" t="s">
        <v>360</v>
      </c>
      <c r="E9" s="15" t="s">
        <v>360</v>
      </c>
      <c r="F9" s="12" t="s">
        <v>204</v>
      </c>
      <c r="G9" s="36">
        <v>21748.98</v>
      </c>
      <c r="H9" s="77"/>
      <c r="I9" s="36">
        <v>198030.45</v>
      </c>
      <c r="J9" s="35">
        <v>45900</v>
      </c>
      <c r="K9" s="164">
        <v>4</v>
      </c>
      <c r="L9" s="192"/>
      <c r="M9" s="36"/>
    </row>
    <row r="10" spans="1:13" ht="12.75" customHeight="1" x14ac:dyDescent="0.2">
      <c r="A10" s="11" t="s">
        <v>117</v>
      </c>
      <c r="B10" s="35">
        <v>45902</v>
      </c>
      <c r="C10" s="12" t="s">
        <v>361</v>
      </c>
      <c r="D10" s="12" t="s">
        <v>362</v>
      </c>
      <c r="E10" s="15" t="s">
        <v>517</v>
      </c>
      <c r="F10" s="12" t="s">
        <v>552</v>
      </c>
      <c r="G10" s="36"/>
      <c r="H10" s="77">
        <v>-200.42</v>
      </c>
      <c r="I10" s="36">
        <v>197830.03</v>
      </c>
      <c r="J10" s="33" t="s">
        <v>208</v>
      </c>
      <c r="K10" s="164">
        <v>-2</v>
      </c>
      <c r="L10" s="192"/>
      <c r="M10" s="36"/>
    </row>
    <row r="11" spans="1:13" ht="12.75" customHeight="1" x14ac:dyDescent="0.2">
      <c r="A11" s="11" t="s">
        <v>117</v>
      </c>
      <c r="B11" s="35">
        <v>45902</v>
      </c>
      <c r="C11" s="12" t="s">
        <v>363</v>
      </c>
      <c r="D11" s="12" t="s">
        <v>364</v>
      </c>
      <c r="E11" s="15" t="s">
        <v>170</v>
      </c>
      <c r="F11" s="12" t="s">
        <v>118</v>
      </c>
      <c r="G11" s="36"/>
      <c r="H11" s="77">
        <v>-4550.2</v>
      </c>
      <c r="I11" s="36">
        <v>193279.83</v>
      </c>
      <c r="J11" s="33" t="s">
        <v>208</v>
      </c>
      <c r="K11" s="164">
        <v>-2</v>
      </c>
      <c r="L11" s="192"/>
      <c r="M11" s="36"/>
    </row>
    <row r="12" spans="1:13" ht="12.75" customHeight="1" x14ac:dyDescent="0.2">
      <c r="A12" s="11" t="s">
        <v>117</v>
      </c>
      <c r="B12" s="35">
        <v>45902</v>
      </c>
      <c r="C12" s="12" t="s">
        <v>363</v>
      </c>
      <c r="D12" s="12" t="s">
        <v>364</v>
      </c>
      <c r="E12" s="15" t="s">
        <v>170</v>
      </c>
      <c r="F12" s="12" t="s">
        <v>118</v>
      </c>
      <c r="G12" s="36"/>
      <c r="H12" s="77">
        <v>-18200.79</v>
      </c>
      <c r="I12" s="36">
        <v>175079.04000000001</v>
      </c>
      <c r="J12" s="33" t="s">
        <v>208</v>
      </c>
      <c r="K12" s="164">
        <v>-2</v>
      </c>
      <c r="L12" s="192"/>
      <c r="M12" s="36"/>
    </row>
    <row r="13" spans="1:13" ht="12.75" customHeight="1" x14ac:dyDescent="0.2">
      <c r="A13" s="11" t="s">
        <v>117</v>
      </c>
      <c r="B13" s="35">
        <v>45902</v>
      </c>
      <c r="C13" s="12" t="s">
        <v>365</v>
      </c>
      <c r="D13" s="12" t="s">
        <v>119</v>
      </c>
      <c r="E13" s="15" t="s">
        <v>518</v>
      </c>
      <c r="F13" s="12" t="s">
        <v>553</v>
      </c>
      <c r="G13" s="36">
        <v>35</v>
      </c>
      <c r="H13" s="77"/>
      <c r="I13" s="36">
        <v>175114.04</v>
      </c>
      <c r="J13" s="33" t="s">
        <v>206</v>
      </c>
      <c r="K13" s="164">
        <v>2</v>
      </c>
      <c r="L13" s="192"/>
      <c r="M13" s="36"/>
    </row>
    <row r="14" spans="1:13" ht="12.75" customHeight="1" x14ac:dyDescent="0.2">
      <c r="A14" s="11" t="s">
        <v>117</v>
      </c>
      <c r="B14" s="35">
        <v>45902</v>
      </c>
      <c r="C14" s="12" t="s">
        <v>365</v>
      </c>
      <c r="D14" s="12" t="s">
        <v>119</v>
      </c>
      <c r="E14" s="15" t="s">
        <v>518</v>
      </c>
      <c r="F14" s="12" t="s">
        <v>554</v>
      </c>
      <c r="G14" s="36">
        <v>950</v>
      </c>
      <c r="H14" s="77"/>
      <c r="I14" s="36">
        <v>176064.04</v>
      </c>
      <c r="J14" s="33" t="s">
        <v>206</v>
      </c>
      <c r="K14" s="164">
        <v>2</v>
      </c>
      <c r="L14" s="192"/>
      <c r="M14" s="36"/>
    </row>
    <row r="15" spans="1:13" ht="12.75" customHeight="1" x14ac:dyDescent="0.2">
      <c r="A15" s="11" t="s">
        <v>117</v>
      </c>
      <c r="B15" s="35">
        <v>45902</v>
      </c>
      <c r="C15" s="12" t="s">
        <v>365</v>
      </c>
      <c r="D15" s="12" t="s">
        <v>119</v>
      </c>
      <c r="E15" s="15" t="s">
        <v>518</v>
      </c>
      <c r="F15" s="12" t="s">
        <v>555</v>
      </c>
      <c r="G15" s="36">
        <v>2737.27</v>
      </c>
      <c r="H15" s="77"/>
      <c r="I15" s="36">
        <v>178801.31</v>
      </c>
      <c r="J15" s="33" t="s">
        <v>208</v>
      </c>
      <c r="K15" s="164">
        <v>2</v>
      </c>
      <c r="L15" s="192"/>
      <c r="M15" s="36"/>
    </row>
    <row r="16" spans="1:13" ht="12.75" customHeight="1" x14ac:dyDescent="0.2">
      <c r="A16" s="11" t="s">
        <v>117</v>
      </c>
      <c r="B16" s="35">
        <v>45902</v>
      </c>
      <c r="C16" s="12" t="s">
        <v>365</v>
      </c>
      <c r="D16" s="12" t="s">
        <v>119</v>
      </c>
      <c r="E16" s="15" t="s">
        <v>518</v>
      </c>
      <c r="F16" s="12" t="s">
        <v>556</v>
      </c>
      <c r="G16" s="36">
        <v>19550.05</v>
      </c>
      <c r="H16" s="77"/>
      <c r="I16" s="36">
        <v>198351.35999999999</v>
      </c>
      <c r="J16" s="33" t="s">
        <v>205</v>
      </c>
      <c r="K16" s="164">
        <v>2</v>
      </c>
      <c r="L16" s="192"/>
      <c r="M16" s="36"/>
    </row>
    <row r="17" spans="1:13" ht="12.75" customHeight="1" x14ac:dyDescent="0.2">
      <c r="A17" s="11" t="s">
        <v>117</v>
      </c>
      <c r="B17" s="35">
        <v>45902</v>
      </c>
      <c r="C17" s="12" t="s">
        <v>365</v>
      </c>
      <c r="D17" s="12" t="s">
        <v>119</v>
      </c>
      <c r="E17" s="15" t="s">
        <v>518</v>
      </c>
      <c r="F17" s="12" t="s">
        <v>557</v>
      </c>
      <c r="G17" s="237">
        <v>1815.93</v>
      </c>
      <c r="H17" s="77"/>
      <c r="I17" s="36">
        <v>200167.29</v>
      </c>
      <c r="J17" s="33" t="s">
        <v>210</v>
      </c>
      <c r="K17" s="164">
        <v>2</v>
      </c>
      <c r="L17" s="192"/>
      <c r="M17" s="36"/>
    </row>
    <row r="18" spans="1:13" ht="12.75" customHeight="1" x14ac:dyDescent="0.2">
      <c r="A18" s="11" t="s">
        <v>117</v>
      </c>
      <c r="B18" s="35">
        <v>45902</v>
      </c>
      <c r="C18" s="12" t="s">
        <v>366</v>
      </c>
      <c r="D18" s="12" t="s">
        <v>367</v>
      </c>
      <c r="E18" s="15" t="s">
        <v>367</v>
      </c>
      <c r="F18" s="12" t="s">
        <v>558</v>
      </c>
      <c r="G18" s="36">
        <v>1013.39</v>
      </c>
      <c r="H18" s="77"/>
      <c r="I18" s="36">
        <v>201180.68</v>
      </c>
      <c r="J18" s="33" t="s">
        <v>205</v>
      </c>
      <c r="K18" s="164">
        <v>2</v>
      </c>
      <c r="L18" s="192"/>
      <c r="M18" s="36"/>
    </row>
    <row r="19" spans="1:13" ht="12.75" customHeight="1" x14ac:dyDescent="0.2">
      <c r="A19" s="11" t="s">
        <v>117</v>
      </c>
      <c r="B19" s="35">
        <v>45903</v>
      </c>
      <c r="C19" s="12" t="s">
        <v>368</v>
      </c>
      <c r="D19" s="12" t="s">
        <v>207</v>
      </c>
      <c r="E19" s="15" t="s">
        <v>120</v>
      </c>
      <c r="F19" s="12" t="s">
        <v>559</v>
      </c>
      <c r="G19" s="36"/>
      <c r="H19" s="77">
        <v>-4168.25</v>
      </c>
      <c r="I19" s="36">
        <v>197012.43</v>
      </c>
      <c r="J19" s="33" t="s">
        <v>206</v>
      </c>
      <c r="K19" s="164">
        <v>-2</v>
      </c>
      <c r="L19" s="192"/>
      <c r="M19" s="36"/>
    </row>
    <row r="20" spans="1:13" ht="12.75" customHeight="1" x14ac:dyDescent="0.2">
      <c r="A20" s="11" t="s">
        <v>117</v>
      </c>
      <c r="B20" s="35">
        <v>45903</v>
      </c>
      <c r="C20" s="12" t="s">
        <v>368</v>
      </c>
      <c r="D20" s="12" t="s">
        <v>207</v>
      </c>
      <c r="E20" s="15" t="s">
        <v>120</v>
      </c>
      <c r="F20" s="12" t="s">
        <v>560</v>
      </c>
      <c r="G20" s="36"/>
      <c r="H20" s="77">
        <v>-126.62</v>
      </c>
      <c r="I20" s="36">
        <v>196885.81</v>
      </c>
      <c r="J20" s="33" t="s">
        <v>206</v>
      </c>
      <c r="K20" s="164">
        <v>-2</v>
      </c>
      <c r="L20" s="192"/>
      <c r="M20" s="36"/>
    </row>
    <row r="21" spans="1:13" ht="12.75" customHeight="1" x14ac:dyDescent="0.2">
      <c r="A21" s="11" t="s">
        <v>117</v>
      </c>
      <c r="B21" s="35">
        <v>45903</v>
      </c>
      <c r="C21" s="12" t="s">
        <v>368</v>
      </c>
      <c r="D21" s="12" t="s">
        <v>207</v>
      </c>
      <c r="E21" s="15" t="s">
        <v>120</v>
      </c>
      <c r="F21" s="12" t="s">
        <v>561</v>
      </c>
      <c r="G21" s="36"/>
      <c r="H21" s="77">
        <v>-23.4</v>
      </c>
      <c r="I21" s="36">
        <v>196862.41</v>
      </c>
      <c r="J21" s="33" t="s">
        <v>206</v>
      </c>
      <c r="K21" s="164">
        <v>-2</v>
      </c>
      <c r="L21" s="192"/>
      <c r="M21" s="36"/>
    </row>
    <row r="22" spans="1:13" ht="12.75" customHeight="1" x14ac:dyDescent="0.2">
      <c r="A22" s="11" t="s">
        <v>117</v>
      </c>
      <c r="B22" s="35">
        <v>45903</v>
      </c>
      <c r="C22" s="12" t="s">
        <v>368</v>
      </c>
      <c r="D22" s="12" t="s">
        <v>207</v>
      </c>
      <c r="E22" s="15" t="s">
        <v>120</v>
      </c>
      <c r="F22" s="12" t="s">
        <v>562</v>
      </c>
      <c r="G22" s="36"/>
      <c r="H22" s="77">
        <v>-182.08</v>
      </c>
      <c r="I22" s="36">
        <v>196680.33</v>
      </c>
      <c r="J22" s="33" t="s">
        <v>206</v>
      </c>
      <c r="K22" s="164">
        <v>-2</v>
      </c>
      <c r="L22" s="192"/>
      <c r="M22" s="36"/>
    </row>
    <row r="23" spans="1:13" ht="12.75" customHeight="1" x14ac:dyDescent="0.2">
      <c r="A23" s="11" t="s">
        <v>117</v>
      </c>
      <c r="B23" s="35">
        <v>45903</v>
      </c>
      <c r="C23" s="12" t="s">
        <v>368</v>
      </c>
      <c r="D23" s="12" t="s">
        <v>207</v>
      </c>
      <c r="E23" s="15" t="s">
        <v>120</v>
      </c>
      <c r="F23" s="12" t="s">
        <v>562</v>
      </c>
      <c r="G23" s="36"/>
      <c r="H23" s="77">
        <v>-3901.08</v>
      </c>
      <c r="I23" s="36">
        <v>192779.25</v>
      </c>
      <c r="J23" s="33" t="s">
        <v>206</v>
      </c>
      <c r="K23" s="164">
        <v>-2</v>
      </c>
      <c r="L23" s="192"/>
      <c r="M23" s="36"/>
    </row>
    <row r="24" spans="1:13" ht="12.75" customHeight="1" x14ac:dyDescent="0.2">
      <c r="A24" s="11" t="s">
        <v>117</v>
      </c>
      <c r="B24" s="35">
        <v>45903</v>
      </c>
      <c r="C24" s="12" t="s">
        <v>368</v>
      </c>
      <c r="D24" s="12" t="s">
        <v>207</v>
      </c>
      <c r="E24" s="15" t="s">
        <v>120</v>
      </c>
      <c r="F24" s="12" t="s">
        <v>562</v>
      </c>
      <c r="G24" s="36"/>
      <c r="H24" s="77">
        <v>-6245.26</v>
      </c>
      <c r="I24" s="36">
        <v>186533.99</v>
      </c>
      <c r="J24" s="33" t="s">
        <v>206</v>
      </c>
      <c r="K24" s="164">
        <v>-2</v>
      </c>
      <c r="L24" s="192"/>
      <c r="M24" s="36"/>
    </row>
    <row r="25" spans="1:13" ht="12.75" customHeight="1" x14ac:dyDescent="0.2">
      <c r="A25" s="11" t="s">
        <v>117</v>
      </c>
      <c r="B25" s="35">
        <v>45903</v>
      </c>
      <c r="C25" s="12" t="s">
        <v>368</v>
      </c>
      <c r="D25" s="12" t="s">
        <v>207</v>
      </c>
      <c r="E25" s="15" t="s">
        <v>120</v>
      </c>
      <c r="F25" s="12" t="s">
        <v>562</v>
      </c>
      <c r="G25" s="36"/>
      <c r="H25" s="77">
        <v>-738.32</v>
      </c>
      <c r="I25" s="36">
        <v>185795.67</v>
      </c>
      <c r="J25" s="33" t="s">
        <v>206</v>
      </c>
      <c r="K25" s="164">
        <v>-2</v>
      </c>
      <c r="L25" s="192"/>
      <c r="M25" s="36"/>
    </row>
    <row r="26" spans="1:13" ht="12.75" customHeight="1" x14ac:dyDescent="0.2">
      <c r="A26" s="11" t="s">
        <v>117</v>
      </c>
      <c r="B26" s="35">
        <v>45903</v>
      </c>
      <c r="C26" s="12" t="s">
        <v>368</v>
      </c>
      <c r="D26" s="12" t="s">
        <v>207</v>
      </c>
      <c r="E26" s="15" t="s">
        <v>120</v>
      </c>
      <c r="F26" s="12" t="s">
        <v>562</v>
      </c>
      <c r="G26" s="36"/>
      <c r="H26" s="77">
        <v>-91.44</v>
      </c>
      <c r="I26" s="36">
        <v>185704.23</v>
      </c>
      <c r="J26" s="33" t="s">
        <v>206</v>
      </c>
      <c r="K26" s="164">
        <v>-2</v>
      </c>
      <c r="L26" s="192"/>
      <c r="M26" s="36"/>
    </row>
    <row r="27" spans="1:13" ht="12.75" customHeight="1" x14ac:dyDescent="0.2">
      <c r="A27" s="11" t="s">
        <v>117</v>
      </c>
      <c r="B27" s="35">
        <v>45903</v>
      </c>
      <c r="C27" s="12" t="s">
        <v>368</v>
      </c>
      <c r="D27" s="12" t="s">
        <v>207</v>
      </c>
      <c r="E27" s="15" t="s">
        <v>120</v>
      </c>
      <c r="F27" s="12" t="s">
        <v>562</v>
      </c>
      <c r="G27" s="36">
        <v>496.8</v>
      </c>
      <c r="H27" s="77"/>
      <c r="I27" s="36">
        <v>186201.03</v>
      </c>
      <c r="J27" s="33" t="s">
        <v>206</v>
      </c>
      <c r="K27" s="164">
        <v>-2</v>
      </c>
      <c r="L27" s="192"/>
      <c r="M27" s="36"/>
    </row>
    <row r="28" spans="1:13" ht="12.75" customHeight="1" x14ac:dyDescent="0.2">
      <c r="A28" s="11" t="s">
        <v>117</v>
      </c>
      <c r="B28" s="35">
        <v>45903</v>
      </c>
      <c r="C28" s="12" t="s">
        <v>368</v>
      </c>
      <c r="D28" s="12" t="s">
        <v>207</v>
      </c>
      <c r="E28" s="15" t="s">
        <v>120</v>
      </c>
      <c r="F28" s="12" t="s">
        <v>562</v>
      </c>
      <c r="G28" s="36">
        <v>48.27</v>
      </c>
      <c r="H28" s="77"/>
      <c r="I28" s="36">
        <v>186249.3</v>
      </c>
      <c r="J28" s="33" t="s">
        <v>206</v>
      </c>
      <c r="K28" s="164">
        <v>-2</v>
      </c>
      <c r="L28" s="192"/>
      <c r="M28" s="36"/>
    </row>
    <row r="29" spans="1:13" ht="12.75" customHeight="1" x14ac:dyDescent="0.2">
      <c r="A29" s="11" t="s">
        <v>117</v>
      </c>
      <c r="B29" s="35">
        <v>45903</v>
      </c>
      <c r="C29" s="12" t="s">
        <v>368</v>
      </c>
      <c r="D29" s="12" t="s">
        <v>207</v>
      </c>
      <c r="E29" s="15" t="s">
        <v>120</v>
      </c>
      <c r="F29" s="12" t="s">
        <v>562</v>
      </c>
      <c r="G29" s="36">
        <v>80.45</v>
      </c>
      <c r="H29" s="77"/>
      <c r="I29" s="36">
        <v>186329.75</v>
      </c>
      <c r="J29" s="33" t="s">
        <v>206</v>
      </c>
      <c r="K29" s="164">
        <v>-2</v>
      </c>
      <c r="L29" s="192"/>
      <c r="M29" s="36"/>
    </row>
    <row r="30" spans="1:13" ht="12.75" customHeight="1" x14ac:dyDescent="0.2">
      <c r="A30" s="11" t="s">
        <v>117</v>
      </c>
      <c r="B30" s="35">
        <v>45903</v>
      </c>
      <c r="C30" s="12" t="s">
        <v>368</v>
      </c>
      <c r="D30" s="12" t="s">
        <v>207</v>
      </c>
      <c r="E30" s="15" t="s">
        <v>120</v>
      </c>
      <c r="F30" s="12" t="s">
        <v>562</v>
      </c>
      <c r="G30" s="36">
        <v>14.96</v>
      </c>
      <c r="H30" s="77"/>
      <c r="I30" s="36">
        <v>186344.71</v>
      </c>
      <c r="J30" s="33" t="s">
        <v>206</v>
      </c>
      <c r="K30" s="164">
        <v>-2</v>
      </c>
      <c r="L30" s="192"/>
      <c r="M30" s="36"/>
    </row>
    <row r="31" spans="1:13" ht="12.75" customHeight="1" x14ac:dyDescent="0.2">
      <c r="A31" s="11" t="s">
        <v>117</v>
      </c>
      <c r="B31" s="35">
        <v>45903</v>
      </c>
      <c r="C31" s="12" t="s">
        <v>368</v>
      </c>
      <c r="D31" s="12" t="s">
        <v>207</v>
      </c>
      <c r="E31" s="15" t="s">
        <v>120</v>
      </c>
      <c r="F31" s="12" t="s">
        <v>563</v>
      </c>
      <c r="G31" s="36"/>
      <c r="H31" s="77">
        <v>-26.5</v>
      </c>
      <c r="I31" s="36">
        <v>186318.21</v>
      </c>
      <c r="J31" s="33" t="s">
        <v>206</v>
      </c>
      <c r="K31" s="164">
        <v>-2</v>
      </c>
      <c r="L31" s="192"/>
      <c r="M31" s="36"/>
    </row>
    <row r="32" spans="1:13" ht="12.75" customHeight="1" x14ac:dyDescent="0.2">
      <c r="A32" s="11" t="s">
        <v>117</v>
      </c>
      <c r="B32" s="35">
        <v>45903</v>
      </c>
      <c r="C32" s="12" t="s">
        <v>368</v>
      </c>
      <c r="D32" s="12" t="s">
        <v>207</v>
      </c>
      <c r="E32" s="15" t="s">
        <v>120</v>
      </c>
      <c r="F32" s="12" t="s">
        <v>563</v>
      </c>
      <c r="G32" s="36"/>
      <c r="H32" s="77">
        <v>-2.02</v>
      </c>
      <c r="I32" s="36">
        <v>186316.19</v>
      </c>
      <c r="J32" s="33" t="s">
        <v>206</v>
      </c>
      <c r="K32" s="164">
        <v>-2</v>
      </c>
      <c r="L32" s="192"/>
      <c r="M32" s="36"/>
    </row>
    <row r="33" spans="1:13" ht="12.75" customHeight="1" x14ac:dyDescent="0.2">
      <c r="A33" s="11" t="s">
        <v>117</v>
      </c>
      <c r="B33" s="35">
        <v>45903</v>
      </c>
      <c r="C33" s="12" t="s">
        <v>369</v>
      </c>
      <c r="D33" s="12"/>
      <c r="E33" s="15" t="s">
        <v>519</v>
      </c>
      <c r="F33" s="12" t="s">
        <v>564</v>
      </c>
      <c r="G33" s="221">
        <v>12</v>
      </c>
      <c r="H33" s="77"/>
      <c r="I33" s="36">
        <v>186328.19</v>
      </c>
      <c r="J33" s="33" t="s">
        <v>208</v>
      </c>
      <c r="K33" s="164">
        <v>2</v>
      </c>
      <c r="L33" s="192"/>
      <c r="M33" s="36"/>
    </row>
    <row r="34" spans="1:13" ht="12.75" customHeight="1" x14ac:dyDescent="0.2">
      <c r="A34" s="11" t="s">
        <v>117</v>
      </c>
      <c r="B34" s="35">
        <v>45903</v>
      </c>
      <c r="C34" s="12" t="s">
        <v>369</v>
      </c>
      <c r="D34" s="12"/>
      <c r="E34" s="15" t="s">
        <v>519</v>
      </c>
      <c r="F34" s="12" t="s">
        <v>565</v>
      </c>
      <c r="G34" s="221">
        <v>184.85</v>
      </c>
      <c r="H34" s="77"/>
      <c r="I34" s="36">
        <v>186513.04</v>
      </c>
      <c r="J34" s="33" t="s">
        <v>208</v>
      </c>
      <c r="K34" s="164">
        <v>2</v>
      </c>
      <c r="L34" s="192"/>
      <c r="M34" s="36"/>
    </row>
    <row r="35" spans="1:13" ht="12.75" customHeight="1" x14ac:dyDescent="0.2">
      <c r="A35" s="11" t="s">
        <v>117</v>
      </c>
      <c r="B35" s="35">
        <v>45903</v>
      </c>
      <c r="C35" s="12" t="s">
        <v>370</v>
      </c>
      <c r="D35" s="12" t="s">
        <v>119</v>
      </c>
      <c r="E35" s="15" t="s">
        <v>520</v>
      </c>
      <c r="F35" s="12" t="s">
        <v>566</v>
      </c>
      <c r="G35" s="36">
        <v>8167.98</v>
      </c>
      <c r="H35" s="77"/>
      <c r="I35" s="36">
        <v>194681.02</v>
      </c>
      <c r="J35" s="33" t="s">
        <v>209</v>
      </c>
      <c r="K35" s="164">
        <v>2</v>
      </c>
      <c r="L35" s="192"/>
      <c r="M35" s="36"/>
    </row>
    <row r="36" spans="1:13" ht="12.75" customHeight="1" x14ac:dyDescent="0.2">
      <c r="A36" s="11" t="s">
        <v>117</v>
      </c>
      <c r="B36" s="35">
        <v>45903</v>
      </c>
      <c r="C36" s="12" t="s">
        <v>370</v>
      </c>
      <c r="D36" s="12" t="s">
        <v>119</v>
      </c>
      <c r="E36" s="15" t="s">
        <v>520</v>
      </c>
      <c r="F36" s="12" t="s">
        <v>556</v>
      </c>
      <c r="G36" s="238">
        <v>1416</v>
      </c>
      <c r="H36" s="77"/>
      <c r="I36" s="36">
        <v>196097.02</v>
      </c>
      <c r="J36" s="33" t="s">
        <v>206</v>
      </c>
      <c r="K36" s="164">
        <v>2</v>
      </c>
      <c r="L36" s="192"/>
      <c r="M36" s="36"/>
    </row>
    <row r="37" spans="1:13" ht="12.75" customHeight="1" x14ac:dyDescent="0.2">
      <c r="A37" s="11" t="s">
        <v>117</v>
      </c>
      <c r="B37" s="35">
        <v>45903</v>
      </c>
      <c r="C37" s="12" t="s">
        <v>370</v>
      </c>
      <c r="D37" s="12" t="s">
        <v>119</v>
      </c>
      <c r="E37" s="15" t="s">
        <v>520</v>
      </c>
      <c r="F37" s="12" t="s">
        <v>567</v>
      </c>
      <c r="G37" s="238">
        <v>3696.26</v>
      </c>
      <c r="H37" s="77"/>
      <c r="I37" s="36">
        <v>199793.28</v>
      </c>
      <c r="J37" s="33" t="s">
        <v>206</v>
      </c>
      <c r="K37" s="164">
        <v>2</v>
      </c>
      <c r="L37" s="192"/>
      <c r="M37" s="36"/>
    </row>
    <row r="38" spans="1:13" ht="12.75" customHeight="1" x14ac:dyDescent="0.2">
      <c r="A38" s="11" t="s">
        <v>117</v>
      </c>
      <c r="B38" s="35">
        <v>45903</v>
      </c>
      <c r="C38" s="12" t="s">
        <v>370</v>
      </c>
      <c r="D38" s="12" t="s">
        <v>119</v>
      </c>
      <c r="E38" s="15" t="s">
        <v>520</v>
      </c>
      <c r="F38" s="12" t="s">
        <v>568</v>
      </c>
      <c r="G38" s="238">
        <v>16883.990000000002</v>
      </c>
      <c r="H38" s="77"/>
      <c r="I38" s="36">
        <v>216677.27</v>
      </c>
      <c r="J38" s="33" t="s">
        <v>206</v>
      </c>
      <c r="K38" s="164">
        <v>2</v>
      </c>
      <c r="L38" s="192"/>
      <c r="M38" s="36"/>
    </row>
    <row r="39" spans="1:13" ht="12.75" customHeight="1" x14ac:dyDescent="0.2">
      <c r="A39" s="11" t="s">
        <v>117</v>
      </c>
      <c r="B39" s="35">
        <v>45903</v>
      </c>
      <c r="C39" s="12" t="s">
        <v>370</v>
      </c>
      <c r="D39" s="12" t="s">
        <v>119</v>
      </c>
      <c r="E39" s="15" t="s">
        <v>520</v>
      </c>
      <c r="F39" s="12" t="s">
        <v>569</v>
      </c>
      <c r="G39" s="238">
        <v>26941.26</v>
      </c>
      <c r="H39" s="77"/>
      <c r="I39" s="36">
        <v>243618.53</v>
      </c>
      <c r="J39" s="33" t="s">
        <v>206</v>
      </c>
      <c r="K39" s="164">
        <v>2</v>
      </c>
      <c r="L39" s="192"/>
      <c r="M39" s="36"/>
    </row>
    <row r="40" spans="1:13" ht="12.75" customHeight="1" x14ac:dyDescent="0.2">
      <c r="A40" s="11" t="s">
        <v>117</v>
      </c>
      <c r="B40" s="35">
        <v>45903</v>
      </c>
      <c r="C40" s="12" t="s">
        <v>370</v>
      </c>
      <c r="D40" s="12" t="s">
        <v>119</v>
      </c>
      <c r="E40" s="15" t="s">
        <v>520</v>
      </c>
      <c r="F40" s="12" t="s">
        <v>570</v>
      </c>
      <c r="G40" s="238">
        <v>19902.72</v>
      </c>
      <c r="H40" s="77"/>
      <c r="I40" s="36">
        <v>263521.25</v>
      </c>
      <c r="J40" s="33" t="s">
        <v>206</v>
      </c>
      <c r="K40" s="164">
        <v>2</v>
      </c>
      <c r="L40" s="192"/>
      <c r="M40" s="36"/>
    </row>
    <row r="41" spans="1:13" ht="12.75" customHeight="1" x14ac:dyDescent="0.2">
      <c r="A41" s="11" t="s">
        <v>117</v>
      </c>
      <c r="B41" s="35">
        <v>45903</v>
      </c>
      <c r="C41" s="12" t="s">
        <v>370</v>
      </c>
      <c r="D41" s="12" t="s">
        <v>119</v>
      </c>
      <c r="E41" s="15" t="s">
        <v>520</v>
      </c>
      <c r="F41" s="12" t="s">
        <v>571</v>
      </c>
      <c r="G41" s="237">
        <v>3743.04</v>
      </c>
      <c r="H41" s="77"/>
      <c r="I41" s="36">
        <v>267264.28999999998</v>
      </c>
      <c r="J41" s="33" t="s">
        <v>210</v>
      </c>
      <c r="K41" s="164">
        <v>2</v>
      </c>
      <c r="L41" s="192"/>
      <c r="M41" s="36"/>
    </row>
    <row r="42" spans="1:13" ht="12.75" customHeight="1" x14ac:dyDescent="0.2">
      <c r="A42" s="11" t="s">
        <v>117</v>
      </c>
      <c r="B42" s="35">
        <v>45904</v>
      </c>
      <c r="C42" s="12" t="s">
        <v>371</v>
      </c>
      <c r="D42" s="12" t="s">
        <v>372</v>
      </c>
      <c r="E42" s="15" t="s">
        <v>19</v>
      </c>
      <c r="F42" s="12" t="s">
        <v>572</v>
      </c>
      <c r="G42" s="36"/>
      <c r="H42" s="77">
        <v>-2260.69</v>
      </c>
      <c r="I42" s="36">
        <v>265003.59999999998</v>
      </c>
      <c r="J42" s="33" t="s">
        <v>209</v>
      </c>
      <c r="K42" s="164">
        <v>-2</v>
      </c>
      <c r="L42" s="192"/>
      <c r="M42" s="36"/>
    </row>
    <row r="43" spans="1:13" ht="12.75" customHeight="1" x14ac:dyDescent="0.2">
      <c r="A43" s="11" t="s">
        <v>117</v>
      </c>
      <c r="B43" s="35">
        <v>45904</v>
      </c>
      <c r="C43" s="12" t="s">
        <v>373</v>
      </c>
      <c r="D43" s="12" t="s">
        <v>228</v>
      </c>
      <c r="E43" s="15" t="s">
        <v>21</v>
      </c>
      <c r="F43" s="12" t="s">
        <v>573</v>
      </c>
      <c r="G43" s="36"/>
      <c r="H43" s="77">
        <v>-115</v>
      </c>
      <c r="I43" s="36">
        <v>264888.59999999998</v>
      </c>
      <c r="J43" s="33" t="s">
        <v>226</v>
      </c>
      <c r="K43" s="164">
        <v>-2</v>
      </c>
      <c r="L43" s="192"/>
      <c r="M43" s="36"/>
    </row>
    <row r="44" spans="1:13" ht="12.75" customHeight="1" x14ac:dyDescent="0.2">
      <c r="A44" s="11" t="s">
        <v>117</v>
      </c>
      <c r="B44" s="35">
        <v>45904</v>
      </c>
      <c r="C44" s="12" t="s">
        <v>374</v>
      </c>
      <c r="D44" s="12" t="s">
        <v>375</v>
      </c>
      <c r="E44" s="15" t="s">
        <v>517</v>
      </c>
      <c r="F44" s="12" t="s">
        <v>574</v>
      </c>
      <c r="G44" s="36"/>
      <c r="H44" s="77">
        <v>-323.08</v>
      </c>
      <c r="I44" s="36">
        <v>264565.52</v>
      </c>
      <c r="J44" s="33" t="s">
        <v>210</v>
      </c>
      <c r="K44" s="164">
        <v>-2</v>
      </c>
      <c r="L44" s="192"/>
      <c r="M44" s="36"/>
    </row>
    <row r="45" spans="1:13" ht="12.75" customHeight="1" x14ac:dyDescent="0.2">
      <c r="A45" s="11" t="s">
        <v>117</v>
      </c>
      <c r="B45" s="35">
        <v>45904</v>
      </c>
      <c r="C45" s="12" t="s">
        <v>376</v>
      </c>
      <c r="D45" s="12" t="s">
        <v>377</v>
      </c>
      <c r="E45" s="15" t="s">
        <v>517</v>
      </c>
      <c r="F45" s="12" t="s">
        <v>575</v>
      </c>
      <c r="G45" s="36"/>
      <c r="H45" s="77">
        <v>-120.88</v>
      </c>
      <c r="I45" s="36">
        <v>264444.64</v>
      </c>
      <c r="J45" s="33" t="s">
        <v>210</v>
      </c>
      <c r="K45" s="164">
        <v>-2</v>
      </c>
      <c r="L45" s="192"/>
      <c r="M45" s="36"/>
    </row>
    <row r="46" spans="1:13" ht="12.75" customHeight="1" x14ac:dyDescent="0.2">
      <c r="A46" s="11" t="s">
        <v>117</v>
      </c>
      <c r="B46" s="35">
        <v>45904</v>
      </c>
      <c r="C46" s="12" t="s">
        <v>378</v>
      </c>
      <c r="D46" s="12" t="s">
        <v>119</v>
      </c>
      <c r="E46" s="15" t="s">
        <v>521</v>
      </c>
      <c r="F46" s="12" t="s">
        <v>576</v>
      </c>
      <c r="G46" s="36">
        <v>966.94</v>
      </c>
      <c r="H46" s="77"/>
      <c r="I46" s="36">
        <v>265411.58</v>
      </c>
      <c r="J46" s="33" t="s">
        <v>209</v>
      </c>
      <c r="K46" s="164">
        <v>2</v>
      </c>
      <c r="L46" s="192"/>
      <c r="M46" s="36"/>
    </row>
    <row r="47" spans="1:13" ht="12.75" customHeight="1" x14ac:dyDescent="0.2">
      <c r="A47" s="11" t="s">
        <v>117</v>
      </c>
      <c r="B47" s="35">
        <v>45904</v>
      </c>
      <c r="C47" s="12" t="s">
        <v>378</v>
      </c>
      <c r="D47" s="12" t="s">
        <v>119</v>
      </c>
      <c r="E47" s="15" t="s">
        <v>521</v>
      </c>
      <c r="F47" s="12" t="s">
        <v>577</v>
      </c>
      <c r="G47" s="36">
        <v>970</v>
      </c>
      <c r="H47" s="77"/>
      <c r="I47" s="36">
        <v>266381.58</v>
      </c>
      <c r="J47" s="33" t="s">
        <v>209</v>
      </c>
      <c r="K47" s="164">
        <v>2</v>
      </c>
      <c r="L47" s="192"/>
      <c r="M47" s="36"/>
    </row>
    <row r="48" spans="1:13" ht="12.75" customHeight="1" x14ac:dyDescent="0.2">
      <c r="A48" s="11" t="s">
        <v>117</v>
      </c>
      <c r="B48" s="35">
        <v>45904</v>
      </c>
      <c r="C48" s="12" t="s">
        <v>378</v>
      </c>
      <c r="D48" s="12" t="s">
        <v>119</v>
      </c>
      <c r="E48" s="15" t="s">
        <v>521</v>
      </c>
      <c r="F48" s="12" t="s">
        <v>578</v>
      </c>
      <c r="G48" s="36">
        <v>908.08</v>
      </c>
      <c r="H48" s="77"/>
      <c r="I48" s="36">
        <v>267289.65999999997</v>
      </c>
      <c r="J48" s="33" t="s">
        <v>209</v>
      </c>
      <c r="K48" s="164">
        <v>2</v>
      </c>
      <c r="L48" s="192"/>
      <c r="M48" s="36"/>
    </row>
    <row r="49" spans="1:13" ht="12.75" customHeight="1" x14ac:dyDescent="0.2">
      <c r="A49" s="11" t="s">
        <v>117</v>
      </c>
      <c r="B49" s="35">
        <v>45904</v>
      </c>
      <c r="C49" s="12" t="s">
        <v>378</v>
      </c>
      <c r="D49" s="12" t="s">
        <v>119</v>
      </c>
      <c r="E49" s="15" t="s">
        <v>521</v>
      </c>
      <c r="F49" s="12" t="s">
        <v>579</v>
      </c>
      <c r="G49" s="36">
        <v>10175.59</v>
      </c>
      <c r="H49" s="77"/>
      <c r="I49" s="36">
        <v>277465.25</v>
      </c>
      <c r="J49" s="33" t="s">
        <v>210</v>
      </c>
      <c r="K49" s="164">
        <v>2</v>
      </c>
      <c r="L49" s="192"/>
      <c r="M49" s="36"/>
    </row>
    <row r="50" spans="1:13" ht="12.75" customHeight="1" x14ac:dyDescent="0.2">
      <c r="A50" s="11" t="s">
        <v>117</v>
      </c>
      <c r="B50" s="35">
        <v>45904</v>
      </c>
      <c r="C50" s="12" t="s">
        <v>378</v>
      </c>
      <c r="D50" s="12" t="s">
        <v>119</v>
      </c>
      <c r="E50" s="15" t="s">
        <v>521</v>
      </c>
      <c r="F50" s="12" t="s">
        <v>570</v>
      </c>
      <c r="G50" s="206">
        <v>7430.31</v>
      </c>
      <c r="H50" s="77"/>
      <c r="I50" s="36">
        <v>284895.56</v>
      </c>
      <c r="J50" s="33" t="s">
        <v>208</v>
      </c>
      <c r="K50" s="164">
        <v>2</v>
      </c>
      <c r="L50" s="192"/>
      <c r="M50" s="36"/>
    </row>
    <row r="51" spans="1:13" ht="12.75" customHeight="1" x14ac:dyDescent="0.2">
      <c r="A51" s="11" t="s">
        <v>117</v>
      </c>
      <c r="B51" s="35">
        <v>45904</v>
      </c>
      <c r="C51" s="12" t="s">
        <v>378</v>
      </c>
      <c r="D51" s="12" t="s">
        <v>119</v>
      </c>
      <c r="E51" s="15" t="s">
        <v>521</v>
      </c>
      <c r="F51" s="12" t="s">
        <v>580</v>
      </c>
      <c r="G51" s="206">
        <v>33817.56</v>
      </c>
      <c r="H51" s="77"/>
      <c r="I51" s="36">
        <v>318713.12</v>
      </c>
      <c r="J51" s="33" t="s">
        <v>208</v>
      </c>
      <c r="K51" s="164">
        <v>2</v>
      </c>
      <c r="L51" s="192"/>
      <c r="M51" s="36"/>
    </row>
    <row r="52" spans="1:13" ht="12.75" customHeight="1" x14ac:dyDescent="0.2">
      <c r="A52" s="11" t="s">
        <v>117</v>
      </c>
      <c r="B52" s="35">
        <v>45904</v>
      </c>
      <c r="C52" s="12" t="s">
        <v>378</v>
      </c>
      <c r="D52" s="12" t="s">
        <v>119</v>
      </c>
      <c r="E52" s="15" t="s">
        <v>521</v>
      </c>
      <c r="F52" s="12" t="s">
        <v>581</v>
      </c>
      <c r="G52" s="237">
        <v>1834.83</v>
      </c>
      <c r="H52" s="77"/>
      <c r="I52" s="36">
        <v>320547.95</v>
      </c>
      <c r="J52" s="33" t="s">
        <v>210</v>
      </c>
      <c r="K52" s="164">
        <v>2</v>
      </c>
      <c r="L52" s="192"/>
      <c r="M52" s="36"/>
    </row>
    <row r="53" spans="1:13" ht="12.75" customHeight="1" x14ac:dyDescent="0.2">
      <c r="A53" s="11" t="s">
        <v>117</v>
      </c>
      <c r="B53" s="35">
        <v>45905</v>
      </c>
      <c r="C53" s="12" t="s">
        <v>379</v>
      </c>
      <c r="D53" s="12" t="s">
        <v>218</v>
      </c>
      <c r="E53" s="15" t="s">
        <v>135</v>
      </c>
      <c r="F53" s="12" t="s">
        <v>582</v>
      </c>
      <c r="G53" s="36"/>
      <c r="H53" s="77">
        <v>-240</v>
      </c>
      <c r="I53" s="36">
        <v>320307.95</v>
      </c>
      <c r="J53" s="33" t="s">
        <v>213</v>
      </c>
      <c r="K53" s="164">
        <v>-2</v>
      </c>
      <c r="L53" s="192"/>
      <c r="M53" s="36"/>
    </row>
    <row r="54" spans="1:13" ht="12.75" customHeight="1" x14ac:dyDescent="0.2">
      <c r="A54" s="11" t="s">
        <v>117</v>
      </c>
      <c r="B54" s="35">
        <v>45905</v>
      </c>
      <c r="C54" s="12" t="s">
        <v>380</v>
      </c>
      <c r="D54" s="12" t="s">
        <v>215</v>
      </c>
      <c r="E54" s="15" t="s">
        <v>75</v>
      </c>
      <c r="F54" s="12" t="s">
        <v>583</v>
      </c>
      <c r="G54" s="36"/>
      <c r="H54" s="77">
        <v>-800</v>
      </c>
      <c r="I54" s="36">
        <v>319507.95</v>
      </c>
      <c r="J54" s="33" t="s">
        <v>213</v>
      </c>
      <c r="K54" s="164">
        <v>-2</v>
      </c>
      <c r="L54" s="192"/>
      <c r="M54" s="36"/>
    </row>
    <row r="55" spans="1:13" ht="12.75" customHeight="1" x14ac:dyDescent="0.2">
      <c r="A55" s="11" t="s">
        <v>117</v>
      </c>
      <c r="B55" s="35">
        <v>45905</v>
      </c>
      <c r="C55" s="12" t="s">
        <v>381</v>
      </c>
      <c r="D55" s="12" t="s">
        <v>216</v>
      </c>
      <c r="E55" s="15" t="s">
        <v>72</v>
      </c>
      <c r="F55" s="12" t="s">
        <v>584</v>
      </c>
      <c r="G55" s="36"/>
      <c r="H55" s="77">
        <v>-425</v>
      </c>
      <c r="I55" s="36">
        <v>319082.95</v>
      </c>
      <c r="J55" s="33" t="s">
        <v>213</v>
      </c>
      <c r="K55" s="164">
        <v>-2</v>
      </c>
      <c r="L55" s="192"/>
      <c r="M55" s="36"/>
    </row>
    <row r="56" spans="1:13" ht="12.75" customHeight="1" x14ac:dyDescent="0.2">
      <c r="A56" s="11" t="s">
        <v>117</v>
      </c>
      <c r="B56" s="35">
        <v>45905</v>
      </c>
      <c r="C56" s="12" t="s">
        <v>382</v>
      </c>
      <c r="D56" s="12" t="s">
        <v>214</v>
      </c>
      <c r="E56" s="15" t="s">
        <v>72</v>
      </c>
      <c r="F56" s="12" t="s">
        <v>585</v>
      </c>
      <c r="G56" s="36"/>
      <c r="H56" s="77">
        <v>-9230.5499999999993</v>
      </c>
      <c r="I56" s="36">
        <v>309852.40000000002</v>
      </c>
      <c r="J56" s="33" t="s">
        <v>213</v>
      </c>
      <c r="K56" s="164">
        <v>-2</v>
      </c>
      <c r="L56" s="192"/>
      <c r="M56" s="36"/>
    </row>
    <row r="57" spans="1:13" ht="12.75" customHeight="1" x14ac:dyDescent="0.2">
      <c r="A57" s="11" t="s">
        <v>117</v>
      </c>
      <c r="B57" s="35">
        <v>45905</v>
      </c>
      <c r="C57" s="12" t="s">
        <v>382</v>
      </c>
      <c r="D57" s="12" t="s">
        <v>214</v>
      </c>
      <c r="E57" s="15" t="s">
        <v>72</v>
      </c>
      <c r="F57" s="12" t="s">
        <v>585</v>
      </c>
      <c r="G57" s="36"/>
      <c r="H57" s="77">
        <v>-3</v>
      </c>
      <c r="I57" s="36">
        <v>309849.40000000002</v>
      </c>
      <c r="J57" s="33" t="s">
        <v>213</v>
      </c>
      <c r="K57" s="164">
        <v>-2</v>
      </c>
      <c r="L57" s="192"/>
      <c r="M57" s="36"/>
    </row>
    <row r="58" spans="1:13" ht="12.75" customHeight="1" x14ac:dyDescent="0.2">
      <c r="A58" s="11" t="s">
        <v>117</v>
      </c>
      <c r="B58" s="35">
        <v>45905</v>
      </c>
      <c r="C58" s="12" t="s">
        <v>383</v>
      </c>
      <c r="D58" s="12" t="s">
        <v>217</v>
      </c>
      <c r="E58" s="15" t="s">
        <v>171</v>
      </c>
      <c r="F58" s="12" t="s">
        <v>586</v>
      </c>
      <c r="G58" s="36"/>
      <c r="H58" s="77">
        <v>-368.81</v>
      </c>
      <c r="I58" s="36">
        <v>309480.59000000003</v>
      </c>
      <c r="J58" s="33" t="s">
        <v>213</v>
      </c>
      <c r="K58" s="164">
        <v>-2</v>
      </c>
      <c r="L58" s="192"/>
      <c r="M58" s="36"/>
    </row>
    <row r="59" spans="1:13" ht="12.75" customHeight="1" x14ac:dyDescent="0.2">
      <c r="A59" s="11" t="s">
        <v>117</v>
      </c>
      <c r="B59" s="35">
        <v>45905</v>
      </c>
      <c r="C59" s="12" t="s">
        <v>384</v>
      </c>
      <c r="D59" s="12" t="s">
        <v>225</v>
      </c>
      <c r="E59" s="15" t="s">
        <v>73</v>
      </c>
      <c r="F59" s="12" t="s">
        <v>587</v>
      </c>
      <c r="G59" s="36"/>
      <c r="H59" s="77">
        <v>-90</v>
      </c>
      <c r="I59" s="36">
        <v>309390.59000000003</v>
      </c>
      <c r="J59" s="33" t="s">
        <v>223</v>
      </c>
      <c r="K59" s="164">
        <v>-2</v>
      </c>
      <c r="L59" s="192"/>
      <c r="M59" s="36"/>
    </row>
    <row r="60" spans="1:13" ht="12.75" customHeight="1" x14ac:dyDescent="0.2">
      <c r="A60" s="11" t="s">
        <v>117</v>
      </c>
      <c r="B60" s="35">
        <v>45905</v>
      </c>
      <c r="C60" s="12" t="s">
        <v>385</v>
      </c>
      <c r="D60" s="12" t="s">
        <v>221</v>
      </c>
      <c r="E60" s="15" t="s">
        <v>141</v>
      </c>
      <c r="F60" s="12" t="s">
        <v>588</v>
      </c>
      <c r="G60" s="36"/>
      <c r="H60" s="77">
        <v>-471.7</v>
      </c>
      <c r="I60" s="36">
        <v>308918.89</v>
      </c>
      <c r="J60" s="33" t="s">
        <v>220</v>
      </c>
      <c r="K60" s="164">
        <v>-2</v>
      </c>
      <c r="L60" s="192"/>
      <c r="M60" s="36"/>
    </row>
    <row r="61" spans="1:13" ht="12.75" customHeight="1" x14ac:dyDescent="0.2">
      <c r="A61" s="11" t="s">
        <v>117</v>
      </c>
      <c r="B61" s="35">
        <v>45905</v>
      </c>
      <c r="C61" s="12" t="s">
        <v>386</v>
      </c>
      <c r="D61" s="12" t="s">
        <v>222</v>
      </c>
      <c r="E61" s="15" t="s">
        <v>136</v>
      </c>
      <c r="F61" s="12" t="s">
        <v>589</v>
      </c>
      <c r="G61" s="36"/>
      <c r="H61" s="77">
        <v>-26.09</v>
      </c>
      <c r="I61" s="36">
        <v>308892.79999999999</v>
      </c>
      <c r="J61" s="33" t="s">
        <v>220</v>
      </c>
      <c r="K61" s="164">
        <v>-2</v>
      </c>
      <c r="L61" s="192"/>
      <c r="M61" s="36"/>
    </row>
    <row r="62" spans="1:13" ht="12.75" customHeight="1" x14ac:dyDescent="0.2">
      <c r="A62" s="11" t="s">
        <v>117</v>
      </c>
      <c r="B62" s="35">
        <v>45905</v>
      </c>
      <c r="C62" s="12" t="s">
        <v>387</v>
      </c>
      <c r="D62" s="12" t="s">
        <v>119</v>
      </c>
      <c r="E62" s="15" t="s">
        <v>522</v>
      </c>
      <c r="F62" s="12" t="s">
        <v>590</v>
      </c>
      <c r="G62" s="210">
        <v>11062.42</v>
      </c>
      <c r="H62" s="77"/>
      <c r="I62" s="36">
        <v>319955.21999999997</v>
      </c>
      <c r="J62" s="33" t="s">
        <v>210</v>
      </c>
      <c r="K62" s="164">
        <v>2</v>
      </c>
      <c r="L62" s="192"/>
      <c r="M62" s="36"/>
    </row>
    <row r="63" spans="1:13" ht="12.75" customHeight="1" x14ac:dyDescent="0.2">
      <c r="A63" s="11" t="s">
        <v>117</v>
      </c>
      <c r="B63" s="35">
        <v>45905</v>
      </c>
      <c r="C63" s="12" t="s">
        <v>387</v>
      </c>
      <c r="D63" s="12" t="s">
        <v>119</v>
      </c>
      <c r="E63" s="15" t="s">
        <v>522</v>
      </c>
      <c r="F63" s="12" t="s">
        <v>591</v>
      </c>
      <c r="G63" s="36"/>
      <c r="H63" s="77">
        <v>-1416</v>
      </c>
      <c r="I63" s="36">
        <v>318539.21999999997</v>
      </c>
      <c r="J63" s="33" t="s">
        <v>209</v>
      </c>
      <c r="K63" s="164">
        <v>-2</v>
      </c>
      <c r="L63" s="192"/>
      <c r="M63" s="36"/>
    </row>
    <row r="64" spans="1:13" ht="12.75" customHeight="1" x14ac:dyDescent="0.2">
      <c r="A64" s="11" t="s">
        <v>117</v>
      </c>
      <c r="B64" s="35">
        <v>45905</v>
      </c>
      <c r="C64" s="12" t="s">
        <v>387</v>
      </c>
      <c r="D64" s="12" t="s">
        <v>119</v>
      </c>
      <c r="E64" s="15" t="s">
        <v>522</v>
      </c>
      <c r="F64" s="12" t="s">
        <v>592</v>
      </c>
      <c r="G64" s="203">
        <v>17657.71</v>
      </c>
      <c r="H64" s="77"/>
      <c r="I64" s="36">
        <v>336196.93</v>
      </c>
      <c r="J64" s="33" t="s">
        <v>211</v>
      </c>
      <c r="K64" s="164">
        <v>2</v>
      </c>
      <c r="L64" s="192"/>
      <c r="M64" s="36"/>
    </row>
    <row r="65" spans="1:13" ht="12.75" customHeight="1" x14ac:dyDescent="0.2">
      <c r="A65" s="11" t="s">
        <v>117</v>
      </c>
      <c r="B65" s="35">
        <v>45905</v>
      </c>
      <c r="C65" s="12" t="s">
        <v>387</v>
      </c>
      <c r="D65" s="12" t="s">
        <v>119</v>
      </c>
      <c r="E65" s="15" t="s">
        <v>522</v>
      </c>
      <c r="F65" s="12" t="s">
        <v>580</v>
      </c>
      <c r="G65" s="208">
        <v>7501.89</v>
      </c>
      <c r="H65" s="77"/>
      <c r="I65" s="36">
        <v>343698.82</v>
      </c>
      <c r="J65" s="33" t="s">
        <v>209</v>
      </c>
      <c r="K65" s="164">
        <v>2</v>
      </c>
      <c r="L65" s="192"/>
      <c r="M65" s="36"/>
    </row>
    <row r="66" spans="1:13" ht="12.75" customHeight="1" x14ac:dyDescent="0.2">
      <c r="A66" s="11" t="s">
        <v>117</v>
      </c>
      <c r="B66" s="35">
        <v>45905</v>
      </c>
      <c r="C66" s="12" t="s">
        <v>387</v>
      </c>
      <c r="D66" s="12" t="s">
        <v>119</v>
      </c>
      <c r="E66" s="15" t="s">
        <v>522</v>
      </c>
      <c r="F66" s="12" t="s">
        <v>593</v>
      </c>
      <c r="G66" s="208">
        <v>31666.27</v>
      </c>
      <c r="H66" s="77"/>
      <c r="I66" s="36">
        <v>375365.09</v>
      </c>
      <c r="J66" s="33" t="s">
        <v>209</v>
      </c>
      <c r="K66" s="164">
        <v>2</v>
      </c>
      <c r="L66" s="192"/>
      <c r="M66" s="36"/>
    </row>
    <row r="67" spans="1:13" ht="12.75" customHeight="1" x14ac:dyDescent="0.2">
      <c r="A67" s="11" t="s">
        <v>117</v>
      </c>
      <c r="B67" s="35">
        <v>45905</v>
      </c>
      <c r="C67" s="12" t="s">
        <v>387</v>
      </c>
      <c r="D67" s="12" t="s">
        <v>119</v>
      </c>
      <c r="E67" s="15" t="s">
        <v>522</v>
      </c>
      <c r="F67" s="12" t="s">
        <v>594</v>
      </c>
      <c r="G67" s="237">
        <v>2909.41</v>
      </c>
      <c r="H67" s="77"/>
      <c r="I67" s="36">
        <v>378274.5</v>
      </c>
      <c r="J67" s="33" t="s">
        <v>210</v>
      </c>
      <c r="K67" s="164">
        <v>2</v>
      </c>
      <c r="L67" s="192"/>
      <c r="M67" s="36"/>
    </row>
    <row r="68" spans="1:13" ht="12.75" customHeight="1" x14ac:dyDescent="0.2">
      <c r="A68" s="11" t="s">
        <v>117</v>
      </c>
      <c r="B68" s="35">
        <v>45906</v>
      </c>
      <c r="C68" s="12" t="s">
        <v>388</v>
      </c>
      <c r="D68" s="12" t="s">
        <v>119</v>
      </c>
      <c r="E68" s="15" t="s">
        <v>523</v>
      </c>
      <c r="F68" s="12" t="s">
        <v>595</v>
      </c>
      <c r="G68" s="203">
        <v>913.89</v>
      </c>
      <c r="H68" s="77"/>
      <c r="I68" s="36">
        <v>379188.39</v>
      </c>
      <c r="J68" s="33" t="s">
        <v>211</v>
      </c>
      <c r="K68" s="164">
        <v>2</v>
      </c>
      <c r="L68" s="192"/>
      <c r="M68" s="36"/>
    </row>
    <row r="69" spans="1:13" ht="12.75" customHeight="1" x14ac:dyDescent="0.2">
      <c r="A69" s="11" t="s">
        <v>117</v>
      </c>
      <c r="B69" s="35">
        <v>45908</v>
      </c>
      <c r="C69" s="12" t="s">
        <v>389</v>
      </c>
      <c r="D69" s="12" t="s">
        <v>390</v>
      </c>
      <c r="E69" s="15" t="s">
        <v>517</v>
      </c>
      <c r="F69" s="12" t="s">
        <v>596</v>
      </c>
      <c r="G69" s="36"/>
      <c r="H69" s="77">
        <v>-610.14</v>
      </c>
      <c r="I69" s="36">
        <v>378578.25</v>
      </c>
      <c r="J69" s="33" t="s">
        <v>212</v>
      </c>
      <c r="K69" s="164">
        <v>-2</v>
      </c>
      <c r="L69" s="192"/>
      <c r="M69" s="36"/>
    </row>
    <row r="70" spans="1:13" ht="12.75" customHeight="1" x14ac:dyDescent="0.2">
      <c r="A70" s="11" t="s">
        <v>117</v>
      </c>
      <c r="B70" s="35">
        <v>45908</v>
      </c>
      <c r="C70" s="12" t="s">
        <v>391</v>
      </c>
      <c r="D70" s="12" t="s">
        <v>392</v>
      </c>
      <c r="E70" s="15" t="s">
        <v>517</v>
      </c>
      <c r="F70" s="12" t="s">
        <v>597</v>
      </c>
      <c r="G70" s="36"/>
      <c r="H70" s="77">
        <v>-223.27</v>
      </c>
      <c r="I70" s="36">
        <v>378354.98</v>
      </c>
      <c r="J70" s="33" t="s">
        <v>212</v>
      </c>
      <c r="K70" s="164">
        <v>-2</v>
      </c>
      <c r="L70" s="192"/>
      <c r="M70" s="36"/>
    </row>
    <row r="71" spans="1:13" ht="12.75" customHeight="1" x14ac:dyDescent="0.2">
      <c r="A71" s="11" t="s">
        <v>117</v>
      </c>
      <c r="B71" s="35">
        <v>45908</v>
      </c>
      <c r="C71" s="12" t="s">
        <v>393</v>
      </c>
      <c r="D71" s="12" t="s">
        <v>394</v>
      </c>
      <c r="E71" s="15" t="s">
        <v>138</v>
      </c>
      <c r="F71" s="12" t="s">
        <v>598</v>
      </c>
      <c r="G71" s="36"/>
      <c r="H71" s="77">
        <v>-21748.98</v>
      </c>
      <c r="I71" s="36">
        <v>356606</v>
      </c>
      <c r="J71" s="33" t="s">
        <v>211</v>
      </c>
      <c r="K71" s="164">
        <v>-2</v>
      </c>
      <c r="L71" s="192"/>
      <c r="M71" s="36"/>
    </row>
    <row r="72" spans="1:13" ht="12.75" customHeight="1" x14ac:dyDescent="0.2">
      <c r="A72" s="11" t="s">
        <v>117</v>
      </c>
      <c r="B72" s="35">
        <v>45908</v>
      </c>
      <c r="C72" s="12" t="s">
        <v>395</v>
      </c>
      <c r="D72" s="12" t="s">
        <v>119</v>
      </c>
      <c r="E72" s="15" t="s">
        <v>524</v>
      </c>
      <c r="F72" s="12" t="s">
        <v>599</v>
      </c>
      <c r="G72" s="36">
        <v>954.58</v>
      </c>
      <c r="H72" s="77"/>
      <c r="I72" s="36">
        <v>357560.58</v>
      </c>
      <c r="J72" s="33" t="s">
        <v>211</v>
      </c>
      <c r="K72" s="164">
        <v>2</v>
      </c>
      <c r="L72" s="192"/>
      <c r="M72" s="36"/>
    </row>
    <row r="73" spans="1:13" ht="12.75" customHeight="1" x14ac:dyDescent="0.2">
      <c r="A73" s="11" t="s">
        <v>117</v>
      </c>
      <c r="B73" s="35">
        <v>45908</v>
      </c>
      <c r="C73" s="12" t="s">
        <v>395</v>
      </c>
      <c r="D73" s="12" t="s">
        <v>119</v>
      </c>
      <c r="E73" s="15" t="s">
        <v>524</v>
      </c>
      <c r="F73" s="12" t="s">
        <v>600</v>
      </c>
      <c r="G73" s="36">
        <v>7325.97</v>
      </c>
      <c r="H73" s="77"/>
      <c r="I73" s="36">
        <v>364886.55</v>
      </c>
      <c r="J73" s="195" t="s">
        <v>211</v>
      </c>
      <c r="K73" s="164">
        <v>2</v>
      </c>
      <c r="L73" s="192"/>
      <c r="M73" s="36"/>
    </row>
    <row r="74" spans="1:13" ht="12.75" customHeight="1" x14ac:dyDescent="0.2">
      <c r="A74" s="11" t="s">
        <v>117</v>
      </c>
      <c r="B74" s="35">
        <v>45908</v>
      </c>
      <c r="C74" s="12" t="s">
        <v>395</v>
      </c>
      <c r="D74" s="12" t="s">
        <v>119</v>
      </c>
      <c r="E74" s="15" t="s">
        <v>524</v>
      </c>
      <c r="F74" s="12" t="s">
        <v>601</v>
      </c>
      <c r="G74" s="36">
        <v>1107</v>
      </c>
      <c r="H74" s="77"/>
      <c r="I74" s="36">
        <v>365993.55</v>
      </c>
      <c r="J74" s="195" t="s">
        <v>211</v>
      </c>
      <c r="K74" s="164">
        <v>2</v>
      </c>
      <c r="L74" s="192"/>
      <c r="M74" s="36"/>
    </row>
    <row r="75" spans="1:13" ht="12.75" customHeight="1" x14ac:dyDescent="0.2">
      <c r="A75" s="11" t="s">
        <v>117</v>
      </c>
      <c r="B75" s="35">
        <v>45908</v>
      </c>
      <c r="C75" s="12" t="s">
        <v>395</v>
      </c>
      <c r="D75" s="12" t="s">
        <v>119</v>
      </c>
      <c r="E75" s="15" t="s">
        <v>524</v>
      </c>
      <c r="F75" s="12" t="s">
        <v>602</v>
      </c>
      <c r="G75" s="36">
        <v>2742.27</v>
      </c>
      <c r="H75" s="77"/>
      <c r="I75" s="36">
        <v>368735.82</v>
      </c>
      <c r="J75" s="33" t="s">
        <v>211</v>
      </c>
      <c r="K75" s="164">
        <v>2</v>
      </c>
      <c r="L75" s="192"/>
      <c r="M75" s="36"/>
    </row>
    <row r="76" spans="1:13" ht="12.75" customHeight="1" x14ac:dyDescent="0.2">
      <c r="A76" s="11" t="s">
        <v>117</v>
      </c>
      <c r="B76" s="35">
        <v>45908</v>
      </c>
      <c r="C76" s="12" t="s">
        <v>395</v>
      </c>
      <c r="D76" s="12" t="s">
        <v>119</v>
      </c>
      <c r="E76" s="15" t="s">
        <v>524</v>
      </c>
      <c r="F76" s="12" t="s">
        <v>603</v>
      </c>
      <c r="G76" s="36">
        <v>1756.58</v>
      </c>
      <c r="H76" s="77"/>
      <c r="I76" s="36">
        <v>370492.4</v>
      </c>
      <c r="J76" s="33" t="s">
        <v>211</v>
      </c>
      <c r="K76" s="164">
        <v>2</v>
      </c>
      <c r="L76" s="192"/>
      <c r="M76" s="36"/>
    </row>
    <row r="77" spans="1:13" ht="12.75" customHeight="1" x14ac:dyDescent="0.2">
      <c r="A77" s="11" t="s">
        <v>117</v>
      </c>
      <c r="B77" s="35">
        <v>45908</v>
      </c>
      <c r="C77" s="12" t="s">
        <v>395</v>
      </c>
      <c r="D77" s="12" t="s">
        <v>119</v>
      </c>
      <c r="E77" s="15" t="s">
        <v>524</v>
      </c>
      <c r="F77" s="12" t="s">
        <v>604</v>
      </c>
      <c r="G77" s="36">
        <v>1732.58</v>
      </c>
      <c r="H77" s="77"/>
      <c r="I77" s="36">
        <v>372224.98</v>
      </c>
      <c r="J77" s="33" t="s">
        <v>211</v>
      </c>
      <c r="K77" s="164">
        <v>2</v>
      </c>
      <c r="L77" s="192"/>
      <c r="M77" s="36"/>
    </row>
    <row r="78" spans="1:13" ht="12.75" customHeight="1" x14ac:dyDescent="0.2">
      <c r="A78" s="11" t="s">
        <v>117</v>
      </c>
      <c r="B78" s="35">
        <v>45908</v>
      </c>
      <c r="C78" s="12" t="s">
        <v>395</v>
      </c>
      <c r="D78" s="12" t="s">
        <v>119</v>
      </c>
      <c r="E78" s="15" t="s">
        <v>524</v>
      </c>
      <c r="F78" s="12" t="s">
        <v>593</v>
      </c>
      <c r="G78" s="210">
        <v>2743.81</v>
      </c>
      <c r="H78" s="77"/>
      <c r="I78" s="36">
        <v>374968.79</v>
      </c>
      <c r="J78" s="33" t="s">
        <v>210</v>
      </c>
      <c r="K78" s="164">
        <v>2</v>
      </c>
      <c r="L78" s="192"/>
      <c r="M78" s="36"/>
    </row>
    <row r="79" spans="1:13" ht="12.75" customHeight="1" x14ac:dyDescent="0.2">
      <c r="A79" s="11" t="s">
        <v>117</v>
      </c>
      <c r="B79" s="35">
        <v>45908</v>
      </c>
      <c r="C79" s="12" t="s">
        <v>395</v>
      </c>
      <c r="D79" s="12" t="s">
        <v>119</v>
      </c>
      <c r="E79" s="15" t="s">
        <v>524</v>
      </c>
      <c r="F79" s="12" t="s">
        <v>605</v>
      </c>
      <c r="G79" s="210">
        <v>99936.85</v>
      </c>
      <c r="H79" s="77"/>
      <c r="I79" s="36">
        <v>474905.64</v>
      </c>
      <c r="J79" s="33" t="s">
        <v>210</v>
      </c>
      <c r="K79" s="164">
        <v>2</v>
      </c>
      <c r="L79" s="192"/>
      <c r="M79" s="36"/>
    </row>
    <row r="80" spans="1:13" ht="12.75" customHeight="1" x14ac:dyDescent="0.2">
      <c r="A80" s="11" t="s">
        <v>117</v>
      </c>
      <c r="B80" s="35">
        <v>45908</v>
      </c>
      <c r="C80" s="12" t="s">
        <v>395</v>
      </c>
      <c r="D80" s="12" t="s">
        <v>119</v>
      </c>
      <c r="E80" s="15" t="s">
        <v>524</v>
      </c>
      <c r="F80" s="12" t="s">
        <v>606</v>
      </c>
      <c r="G80" s="36">
        <v>919.19</v>
      </c>
      <c r="H80" s="77"/>
      <c r="I80" s="36">
        <v>475824.83</v>
      </c>
      <c r="J80" s="195" t="s">
        <v>211</v>
      </c>
      <c r="K80" s="164">
        <v>2</v>
      </c>
      <c r="L80" s="192"/>
      <c r="M80" s="36"/>
    </row>
    <row r="81" spans="1:13" ht="12.75" customHeight="1" x14ac:dyDescent="0.2">
      <c r="A81" s="11" t="s">
        <v>117</v>
      </c>
      <c r="B81" s="35">
        <v>45909</v>
      </c>
      <c r="C81" s="12" t="s">
        <v>396</v>
      </c>
      <c r="D81" s="12" t="s">
        <v>224</v>
      </c>
      <c r="E81" s="15" t="s">
        <v>74</v>
      </c>
      <c r="F81" s="12" t="s">
        <v>607</v>
      </c>
      <c r="G81" s="36"/>
      <c r="H81" s="77">
        <v>-244.95</v>
      </c>
      <c r="I81" s="36">
        <v>475579.88</v>
      </c>
      <c r="J81" s="33" t="s">
        <v>223</v>
      </c>
      <c r="K81" s="164">
        <v>-2</v>
      </c>
      <c r="L81" s="192"/>
      <c r="M81" s="36"/>
    </row>
    <row r="82" spans="1:13" ht="12.75" customHeight="1" x14ac:dyDescent="0.2">
      <c r="A82" s="11" t="s">
        <v>117</v>
      </c>
      <c r="B82" s="35">
        <v>45909</v>
      </c>
      <c r="C82" s="12" t="s">
        <v>397</v>
      </c>
      <c r="D82" s="12" t="s">
        <v>398</v>
      </c>
      <c r="E82" s="15" t="s">
        <v>19</v>
      </c>
      <c r="F82" s="12" t="s">
        <v>608</v>
      </c>
      <c r="G82" s="36"/>
      <c r="H82" s="77">
        <v>-101.91</v>
      </c>
      <c r="I82" s="36">
        <v>475477.97</v>
      </c>
      <c r="J82" s="33" t="s">
        <v>212</v>
      </c>
      <c r="K82" s="164">
        <v>-2</v>
      </c>
      <c r="L82" s="192"/>
      <c r="M82" s="36"/>
    </row>
    <row r="83" spans="1:13" ht="12.75" customHeight="1" x14ac:dyDescent="0.2">
      <c r="A83" s="11" t="s">
        <v>117</v>
      </c>
      <c r="B83" s="35">
        <v>45909</v>
      </c>
      <c r="C83" s="12" t="s">
        <v>399</v>
      </c>
      <c r="D83" s="12" t="s">
        <v>400</v>
      </c>
      <c r="E83" s="15" t="s">
        <v>19</v>
      </c>
      <c r="F83" s="12" t="s">
        <v>609</v>
      </c>
      <c r="G83" s="36"/>
      <c r="H83" s="77">
        <v>-128</v>
      </c>
      <c r="I83" s="36">
        <v>475349.97</v>
      </c>
      <c r="J83" s="33" t="s">
        <v>212</v>
      </c>
      <c r="K83" s="164">
        <v>-2</v>
      </c>
      <c r="L83" s="192"/>
      <c r="M83" s="36"/>
    </row>
    <row r="84" spans="1:13" ht="12.75" customHeight="1" x14ac:dyDescent="0.2">
      <c r="A84" s="11" t="s">
        <v>117</v>
      </c>
      <c r="B84" s="35">
        <v>45909</v>
      </c>
      <c r="C84" s="12" t="s">
        <v>401</v>
      </c>
      <c r="D84" s="12" t="s">
        <v>402</v>
      </c>
      <c r="E84" s="15" t="s">
        <v>19</v>
      </c>
      <c r="F84" s="12" t="s">
        <v>610</v>
      </c>
      <c r="G84" s="36"/>
      <c r="H84" s="77">
        <v>-33.71</v>
      </c>
      <c r="I84" s="36">
        <v>475316.26</v>
      </c>
      <c r="J84" s="33" t="s">
        <v>212</v>
      </c>
      <c r="K84" s="164">
        <v>-2</v>
      </c>
      <c r="L84" s="192"/>
      <c r="M84" s="36"/>
    </row>
    <row r="85" spans="1:13" ht="12.75" customHeight="1" x14ac:dyDescent="0.2">
      <c r="A85" s="11" t="s">
        <v>117</v>
      </c>
      <c r="B85" s="35">
        <v>45909</v>
      </c>
      <c r="C85" s="12" t="s">
        <v>403</v>
      </c>
      <c r="D85" s="12" t="s">
        <v>404</v>
      </c>
      <c r="E85" s="15" t="s">
        <v>19</v>
      </c>
      <c r="F85" s="12" t="s">
        <v>611</v>
      </c>
      <c r="G85" s="36"/>
      <c r="H85" s="77">
        <v>-155.52000000000001</v>
      </c>
      <c r="I85" s="36">
        <v>475160.74</v>
      </c>
      <c r="J85" s="33" t="s">
        <v>212</v>
      </c>
      <c r="K85" s="164">
        <v>-2</v>
      </c>
      <c r="L85" s="192"/>
      <c r="M85" s="36"/>
    </row>
    <row r="86" spans="1:13" ht="12.75" customHeight="1" x14ac:dyDescent="0.2">
      <c r="A86" s="11" t="s">
        <v>117</v>
      </c>
      <c r="B86" s="35">
        <v>45909</v>
      </c>
      <c r="C86" s="12" t="s">
        <v>405</v>
      </c>
      <c r="D86" s="12" t="s">
        <v>406</v>
      </c>
      <c r="E86" s="15" t="s">
        <v>19</v>
      </c>
      <c r="F86" s="12" t="s">
        <v>612</v>
      </c>
      <c r="G86" s="36"/>
      <c r="H86" s="77">
        <v>-66.040000000000006</v>
      </c>
      <c r="I86" s="36">
        <v>475094.7</v>
      </c>
      <c r="J86" s="33" t="s">
        <v>212</v>
      </c>
      <c r="K86" s="164">
        <v>-2</v>
      </c>
      <c r="L86" s="192"/>
      <c r="M86" s="36"/>
    </row>
    <row r="87" spans="1:13" ht="12.75" customHeight="1" x14ac:dyDescent="0.2">
      <c r="A87" s="11" t="s">
        <v>117</v>
      </c>
      <c r="B87" s="35">
        <v>45909</v>
      </c>
      <c r="C87" s="12" t="s">
        <v>407</v>
      </c>
      <c r="D87" s="12" t="s">
        <v>408</v>
      </c>
      <c r="E87" s="15" t="s">
        <v>517</v>
      </c>
      <c r="F87" s="12" t="s">
        <v>613</v>
      </c>
      <c r="G87" s="36"/>
      <c r="H87" s="77">
        <v>-1623.58</v>
      </c>
      <c r="I87" s="36">
        <v>473471.12</v>
      </c>
      <c r="J87" s="33" t="s">
        <v>213</v>
      </c>
      <c r="K87" s="164">
        <v>-2</v>
      </c>
      <c r="L87" s="192"/>
      <c r="M87" s="36"/>
    </row>
    <row r="88" spans="1:13" ht="12.75" customHeight="1" x14ac:dyDescent="0.2">
      <c r="A88" s="11" t="s">
        <v>117</v>
      </c>
      <c r="B88" s="35">
        <v>45909</v>
      </c>
      <c r="C88" s="12" t="s">
        <v>409</v>
      </c>
      <c r="D88" s="12" t="s">
        <v>410</v>
      </c>
      <c r="E88" s="15" t="s">
        <v>517</v>
      </c>
      <c r="F88" s="12" t="s">
        <v>614</v>
      </c>
      <c r="G88" s="36"/>
      <c r="H88" s="77">
        <v>-275.06</v>
      </c>
      <c r="I88" s="36">
        <v>473196.06</v>
      </c>
      <c r="J88" s="33" t="s">
        <v>213</v>
      </c>
      <c r="K88" s="164">
        <v>-2</v>
      </c>
      <c r="L88" s="192"/>
      <c r="M88" s="36"/>
    </row>
    <row r="89" spans="1:13" ht="12.75" customHeight="1" x14ac:dyDescent="0.2">
      <c r="A89" s="11" t="s">
        <v>117</v>
      </c>
      <c r="B89" s="35">
        <v>45909</v>
      </c>
      <c r="C89" s="12" t="s">
        <v>411</v>
      </c>
      <c r="D89" s="12" t="s">
        <v>412</v>
      </c>
      <c r="E89" s="15" t="s">
        <v>517</v>
      </c>
      <c r="F89" s="12" t="s">
        <v>615</v>
      </c>
      <c r="G89" s="36"/>
      <c r="H89" s="77">
        <v>-160</v>
      </c>
      <c r="I89" s="36">
        <v>473036.06</v>
      </c>
      <c r="J89" s="33" t="s">
        <v>213</v>
      </c>
      <c r="K89" s="164">
        <v>-2</v>
      </c>
      <c r="L89" s="192"/>
      <c r="M89" s="36"/>
    </row>
    <row r="90" spans="1:13" ht="12.75" customHeight="1" x14ac:dyDescent="0.2">
      <c r="A90" s="11" t="s">
        <v>117</v>
      </c>
      <c r="B90" s="35">
        <v>45909</v>
      </c>
      <c r="C90" s="12" t="s">
        <v>413</v>
      </c>
      <c r="D90" s="12" t="s">
        <v>119</v>
      </c>
      <c r="E90" s="15" t="s">
        <v>525</v>
      </c>
      <c r="F90" s="12" t="s">
        <v>616</v>
      </c>
      <c r="G90" s="36">
        <v>1967.44</v>
      </c>
      <c r="H90" s="77"/>
      <c r="I90" s="36">
        <v>475003.5</v>
      </c>
      <c r="J90" s="33" t="s">
        <v>212</v>
      </c>
      <c r="K90" s="164">
        <v>2</v>
      </c>
      <c r="L90" s="192"/>
      <c r="M90" s="36"/>
    </row>
    <row r="91" spans="1:13" ht="12.75" customHeight="1" x14ac:dyDescent="0.2">
      <c r="A91" s="11" t="s">
        <v>117</v>
      </c>
      <c r="B91" s="35">
        <v>45909</v>
      </c>
      <c r="C91" s="12" t="s">
        <v>413</v>
      </c>
      <c r="D91" s="12" t="s">
        <v>119</v>
      </c>
      <c r="E91" s="15" t="s">
        <v>525</v>
      </c>
      <c r="F91" s="12" t="s">
        <v>617</v>
      </c>
      <c r="G91" s="36"/>
      <c r="H91" s="77">
        <v>-924.15</v>
      </c>
      <c r="I91" s="36">
        <v>474079.35</v>
      </c>
      <c r="J91" s="33" t="s">
        <v>211</v>
      </c>
      <c r="K91" s="164">
        <v>-2</v>
      </c>
      <c r="L91" s="192"/>
      <c r="M91" s="36"/>
    </row>
    <row r="92" spans="1:13" ht="12.75" customHeight="1" x14ac:dyDescent="0.2">
      <c r="A92" s="11" t="s">
        <v>117</v>
      </c>
      <c r="B92" s="35">
        <v>45909</v>
      </c>
      <c r="C92" s="12" t="s">
        <v>413</v>
      </c>
      <c r="D92" s="12" t="s">
        <v>119</v>
      </c>
      <c r="E92" s="15" t="s">
        <v>525</v>
      </c>
      <c r="F92" s="12" t="s">
        <v>605</v>
      </c>
      <c r="G92" s="213">
        <v>14743.28</v>
      </c>
      <c r="H92" s="77"/>
      <c r="I92" s="36">
        <v>488822.63</v>
      </c>
      <c r="J92" s="33" t="s">
        <v>211</v>
      </c>
      <c r="K92" s="164">
        <v>2</v>
      </c>
      <c r="L92" s="192"/>
      <c r="M92" s="36"/>
    </row>
    <row r="93" spans="1:13" ht="12.75" customHeight="1" x14ac:dyDescent="0.2">
      <c r="A93" s="11" t="s">
        <v>117</v>
      </c>
      <c r="B93" s="35">
        <v>45909</v>
      </c>
      <c r="C93" s="12" t="s">
        <v>413</v>
      </c>
      <c r="D93" s="12" t="s">
        <v>119</v>
      </c>
      <c r="E93" s="15" t="s">
        <v>525</v>
      </c>
      <c r="F93" s="12" t="s">
        <v>618</v>
      </c>
      <c r="G93" s="213">
        <v>6438.63</v>
      </c>
      <c r="H93" s="77"/>
      <c r="I93" s="36">
        <v>495261.26</v>
      </c>
      <c r="J93" s="33" t="s">
        <v>211</v>
      </c>
      <c r="K93" s="164">
        <v>2</v>
      </c>
      <c r="L93" s="192"/>
      <c r="M93" s="36"/>
    </row>
    <row r="94" spans="1:13" ht="12.75" customHeight="1" x14ac:dyDescent="0.2">
      <c r="A94" s="11" t="s">
        <v>117</v>
      </c>
      <c r="B94" s="35">
        <v>45909</v>
      </c>
      <c r="C94" s="12" t="s">
        <v>413</v>
      </c>
      <c r="D94" s="12" t="s">
        <v>119</v>
      </c>
      <c r="E94" s="15" t="s">
        <v>525</v>
      </c>
      <c r="F94" s="12" t="s">
        <v>619</v>
      </c>
      <c r="G94" s="213">
        <v>1154.18</v>
      </c>
      <c r="H94" s="77"/>
      <c r="I94" s="36">
        <v>496415.44</v>
      </c>
      <c r="J94" s="33" t="s">
        <v>211</v>
      </c>
      <c r="K94" s="164">
        <v>2</v>
      </c>
      <c r="L94" s="192"/>
      <c r="M94" s="36"/>
    </row>
    <row r="95" spans="1:13" ht="12.75" customHeight="1" x14ac:dyDescent="0.2">
      <c r="A95" s="11" t="s">
        <v>117</v>
      </c>
      <c r="B95" s="35">
        <v>45910</v>
      </c>
      <c r="C95" s="12" t="s">
        <v>414</v>
      </c>
      <c r="D95" s="12" t="s">
        <v>415</v>
      </c>
      <c r="E95" s="15" t="s">
        <v>517</v>
      </c>
      <c r="F95" s="12" t="s">
        <v>620</v>
      </c>
      <c r="G95" s="36"/>
      <c r="H95" s="198">
        <v>-117.67</v>
      </c>
      <c r="I95" s="36">
        <v>496297.77</v>
      </c>
      <c r="J95" s="33" t="s">
        <v>220</v>
      </c>
      <c r="K95" s="164">
        <v>-2</v>
      </c>
      <c r="L95" s="192"/>
      <c r="M95" s="36"/>
    </row>
    <row r="96" spans="1:13" ht="12.75" customHeight="1" x14ac:dyDescent="0.2">
      <c r="A96" s="11" t="s">
        <v>117</v>
      </c>
      <c r="B96" s="35">
        <v>45910</v>
      </c>
      <c r="C96" s="12" t="s">
        <v>416</v>
      </c>
      <c r="D96" s="12" t="s">
        <v>417</v>
      </c>
      <c r="E96" s="15" t="s">
        <v>19</v>
      </c>
      <c r="F96" s="12" t="s">
        <v>621</v>
      </c>
      <c r="G96" s="36"/>
      <c r="H96" s="77">
        <v>-100.14</v>
      </c>
      <c r="I96" s="36">
        <v>496197.63</v>
      </c>
      <c r="J96" s="33" t="s">
        <v>219</v>
      </c>
      <c r="K96" s="164">
        <v>-2</v>
      </c>
      <c r="L96" s="192"/>
      <c r="M96" s="36"/>
    </row>
    <row r="97" spans="1:13" ht="12.75" customHeight="1" x14ac:dyDescent="0.2">
      <c r="A97" s="11" t="s">
        <v>117</v>
      </c>
      <c r="B97" s="35">
        <v>45910</v>
      </c>
      <c r="C97" s="12" t="s">
        <v>418</v>
      </c>
      <c r="D97" s="12" t="s">
        <v>419</v>
      </c>
      <c r="E97" s="15" t="s">
        <v>517</v>
      </c>
      <c r="F97" s="12" t="s">
        <v>622</v>
      </c>
      <c r="G97" s="36"/>
      <c r="H97" s="77">
        <v>-5</v>
      </c>
      <c r="I97" s="36">
        <v>496192.63</v>
      </c>
      <c r="J97" s="33" t="s">
        <v>219</v>
      </c>
      <c r="K97" s="164">
        <v>-2</v>
      </c>
      <c r="L97" s="192"/>
      <c r="M97" s="36"/>
    </row>
    <row r="98" spans="1:13" ht="12.75" customHeight="1" x14ac:dyDescent="0.2">
      <c r="A98" s="11" t="s">
        <v>117</v>
      </c>
      <c r="B98" s="35">
        <v>45910</v>
      </c>
      <c r="C98" s="12" t="s">
        <v>420</v>
      </c>
      <c r="D98" s="12" t="s">
        <v>421</v>
      </c>
      <c r="E98" s="15" t="s">
        <v>517</v>
      </c>
      <c r="F98" s="12" t="s">
        <v>623</v>
      </c>
      <c r="G98" s="36"/>
      <c r="H98" s="198">
        <v>-27.7</v>
      </c>
      <c r="I98" s="36">
        <v>496164.93</v>
      </c>
      <c r="J98" s="33" t="s">
        <v>220</v>
      </c>
      <c r="K98" s="164">
        <v>-2</v>
      </c>
      <c r="L98" s="192"/>
      <c r="M98" s="36"/>
    </row>
    <row r="99" spans="1:13" ht="12.75" customHeight="1" x14ac:dyDescent="0.2">
      <c r="A99" s="11" t="s">
        <v>117</v>
      </c>
      <c r="B99" s="35">
        <v>45910</v>
      </c>
      <c r="C99" s="12" t="s">
        <v>422</v>
      </c>
      <c r="D99" s="12" t="s">
        <v>423</v>
      </c>
      <c r="E99" s="15" t="s">
        <v>517</v>
      </c>
      <c r="F99" s="12" t="s">
        <v>624</v>
      </c>
      <c r="G99" s="36"/>
      <c r="H99" s="198">
        <v>-185.71</v>
      </c>
      <c r="I99" s="36">
        <v>495979.22</v>
      </c>
      <c r="J99" s="33" t="s">
        <v>220</v>
      </c>
      <c r="K99" s="164">
        <v>-2</v>
      </c>
      <c r="L99" s="192"/>
      <c r="M99" s="36"/>
    </row>
    <row r="100" spans="1:13" ht="12.75" customHeight="1" x14ac:dyDescent="0.2">
      <c r="A100" s="11" t="s">
        <v>117</v>
      </c>
      <c r="B100" s="35">
        <v>45910</v>
      </c>
      <c r="C100" s="12" t="s">
        <v>422</v>
      </c>
      <c r="D100" s="12" t="s">
        <v>423</v>
      </c>
      <c r="E100" s="15" t="s">
        <v>517</v>
      </c>
      <c r="F100" s="12" t="s">
        <v>624</v>
      </c>
      <c r="G100" s="36"/>
      <c r="H100" s="198">
        <v>-50.85</v>
      </c>
      <c r="I100" s="36">
        <v>495928.37</v>
      </c>
      <c r="J100" s="33" t="s">
        <v>220</v>
      </c>
      <c r="K100" s="164">
        <v>-2</v>
      </c>
      <c r="L100" s="192"/>
      <c r="M100" s="36"/>
    </row>
    <row r="101" spans="1:13" ht="12.75" customHeight="1" x14ac:dyDescent="0.2">
      <c r="A101" s="11" t="s">
        <v>117</v>
      </c>
      <c r="B101" s="35">
        <v>45910</v>
      </c>
      <c r="C101" s="12" t="s">
        <v>422</v>
      </c>
      <c r="D101" s="12" t="s">
        <v>423</v>
      </c>
      <c r="E101" s="15" t="s">
        <v>517</v>
      </c>
      <c r="F101" s="12" t="s">
        <v>624</v>
      </c>
      <c r="G101" s="36"/>
      <c r="H101" s="198">
        <v>-183.3</v>
      </c>
      <c r="I101" s="36">
        <v>495745.07</v>
      </c>
      <c r="J101" s="33" t="s">
        <v>220</v>
      </c>
      <c r="K101" s="164">
        <v>-2</v>
      </c>
      <c r="L101" s="192"/>
      <c r="M101" s="36"/>
    </row>
    <row r="102" spans="1:13" ht="12.75" customHeight="1" x14ac:dyDescent="0.2">
      <c r="A102" s="11" t="s">
        <v>117</v>
      </c>
      <c r="B102" s="35">
        <v>45910</v>
      </c>
      <c r="C102" s="12" t="s">
        <v>424</v>
      </c>
      <c r="D102" s="12" t="s">
        <v>119</v>
      </c>
      <c r="E102" s="15" t="s">
        <v>526</v>
      </c>
      <c r="F102" s="12" t="s">
        <v>625</v>
      </c>
      <c r="G102" s="36">
        <v>2266</v>
      </c>
      <c r="H102" s="77"/>
      <c r="I102" s="36">
        <v>498011.07</v>
      </c>
      <c r="J102" s="33" t="s">
        <v>213</v>
      </c>
      <c r="K102" s="164">
        <v>2</v>
      </c>
      <c r="L102" s="192"/>
      <c r="M102" s="36"/>
    </row>
    <row r="103" spans="1:13" ht="12.75" customHeight="1" x14ac:dyDescent="0.2">
      <c r="A103" s="11" t="s">
        <v>117</v>
      </c>
      <c r="B103" s="35">
        <v>45910</v>
      </c>
      <c r="C103" s="12" t="s">
        <v>424</v>
      </c>
      <c r="D103" s="12" t="s">
        <v>119</v>
      </c>
      <c r="E103" s="15" t="s">
        <v>526</v>
      </c>
      <c r="F103" s="12" t="s">
        <v>626</v>
      </c>
      <c r="G103" s="36">
        <v>1948</v>
      </c>
      <c r="H103" s="77"/>
      <c r="I103" s="36">
        <v>499959.07</v>
      </c>
      <c r="J103" s="33" t="s">
        <v>213</v>
      </c>
      <c r="K103" s="164">
        <v>2</v>
      </c>
      <c r="L103" s="192"/>
      <c r="M103" s="36"/>
    </row>
    <row r="104" spans="1:13" ht="12.75" customHeight="1" x14ac:dyDescent="0.2">
      <c r="A104" s="11" t="s">
        <v>117</v>
      </c>
      <c r="B104" s="35">
        <v>45910</v>
      </c>
      <c r="C104" s="12" t="s">
        <v>424</v>
      </c>
      <c r="D104" s="12" t="s">
        <v>119</v>
      </c>
      <c r="E104" s="15" t="s">
        <v>526</v>
      </c>
      <c r="F104" s="12" t="s">
        <v>627</v>
      </c>
      <c r="G104" s="36"/>
      <c r="H104" s="200">
        <v>-927</v>
      </c>
      <c r="I104" s="36">
        <v>499032.07</v>
      </c>
      <c r="J104" s="33" t="s">
        <v>213</v>
      </c>
      <c r="K104" s="164">
        <v>-2</v>
      </c>
      <c r="L104" s="192"/>
      <c r="M104" s="36"/>
    </row>
    <row r="105" spans="1:13" ht="12.75" customHeight="1" x14ac:dyDescent="0.2">
      <c r="A105" s="11" t="s">
        <v>117</v>
      </c>
      <c r="B105" s="35">
        <v>45910</v>
      </c>
      <c r="C105" s="12" t="s">
        <v>424</v>
      </c>
      <c r="D105" s="12" t="s">
        <v>119</v>
      </c>
      <c r="E105" s="15" t="s">
        <v>526</v>
      </c>
      <c r="F105" s="12" t="s">
        <v>628</v>
      </c>
      <c r="G105" s="36"/>
      <c r="H105" s="77">
        <v>-1852.57</v>
      </c>
      <c r="I105" s="36">
        <v>497179.5</v>
      </c>
      <c r="J105" s="33" t="s">
        <v>212</v>
      </c>
      <c r="K105" s="164">
        <v>-2</v>
      </c>
      <c r="L105" s="192"/>
      <c r="M105" s="36"/>
    </row>
    <row r="106" spans="1:13" ht="12.75" customHeight="1" x14ac:dyDescent="0.2">
      <c r="A106" s="11" t="s">
        <v>117</v>
      </c>
      <c r="B106" s="35">
        <v>45910</v>
      </c>
      <c r="C106" s="12" t="s">
        <v>424</v>
      </c>
      <c r="D106" s="12" t="s">
        <v>119</v>
      </c>
      <c r="E106" s="15" t="s">
        <v>526</v>
      </c>
      <c r="F106" s="12" t="s">
        <v>629</v>
      </c>
      <c r="G106" s="36">
        <v>1971.19</v>
      </c>
      <c r="H106" s="77"/>
      <c r="I106" s="36">
        <v>499150.69</v>
      </c>
      <c r="J106" s="33" t="s">
        <v>212</v>
      </c>
      <c r="K106" s="164">
        <v>2</v>
      </c>
      <c r="L106" s="192"/>
      <c r="M106" s="36"/>
    </row>
    <row r="107" spans="1:13" ht="12.75" customHeight="1" x14ac:dyDescent="0.2">
      <c r="A107" s="11" t="s">
        <v>117</v>
      </c>
      <c r="B107" s="35">
        <v>45911</v>
      </c>
      <c r="C107" s="12" t="s">
        <v>425</v>
      </c>
      <c r="D107" s="12" t="s">
        <v>426</v>
      </c>
      <c r="E107" s="15" t="s">
        <v>122</v>
      </c>
      <c r="F107" s="12" t="s">
        <v>123</v>
      </c>
      <c r="G107" s="36"/>
      <c r="H107" s="77">
        <v>-19.559999999999999</v>
      </c>
      <c r="I107" s="36">
        <v>499131.13</v>
      </c>
      <c r="J107" s="33" t="s">
        <v>219</v>
      </c>
      <c r="K107" s="164">
        <v>-2</v>
      </c>
      <c r="L107" s="192"/>
      <c r="M107" s="36"/>
    </row>
    <row r="108" spans="1:13" ht="12.75" customHeight="1" x14ac:dyDescent="0.2">
      <c r="A108" s="11" t="s">
        <v>117</v>
      </c>
      <c r="B108" s="35">
        <v>45911</v>
      </c>
      <c r="C108" s="12" t="s">
        <v>425</v>
      </c>
      <c r="D108" s="12" t="s">
        <v>426</v>
      </c>
      <c r="E108" s="15" t="s">
        <v>122</v>
      </c>
      <c r="F108" s="12" t="s">
        <v>124</v>
      </c>
      <c r="G108" s="36"/>
      <c r="H108" s="77">
        <v>-84.18</v>
      </c>
      <c r="I108" s="36">
        <v>499046.95</v>
      </c>
      <c r="J108" s="33" t="s">
        <v>219</v>
      </c>
      <c r="K108" s="164">
        <v>-2</v>
      </c>
      <c r="L108" s="192"/>
      <c r="M108" s="36"/>
    </row>
    <row r="109" spans="1:13" ht="12.75" customHeight="1" x14ac:dyDescent="0.2">
      <c r="A109" s="11" t="s">
        <v>117</v>
      </c>
      <c r="B109" s="35">
        <v>45911</v>
      </c>
      <c r="C109" s="12" t="s">
        <v>427</v>
      </c>
      <c r="D109" s="12" t="s">
        <v>235</v>
      </c>
      <c r="E109" s="15" t="s">
        <v>21</v>
      </c>
      <c r="F109" s="12" t="s">
        <v>630</v>
      </c>
      <c r="G109" s="36"/>
      <c r="H109" s="77">
        <v>-200</v>
      </c>
      <c r="I109" s="36">
        <v>498846.95</v>
      </c>
      <c r="J109" s="33" t="s">
        <v>232</v>
      </c>
      <c r="K109" s="164">
        <v>-2</v>
      </c>
      <c r="L109" s="192"/>
      <c r="M109" s="36"/>
    </row>
    <row r="110" spans="1:13" ht="12.75" customHeight="1" x14ac:dyDescent="0.2">
      <c r="A110" s="11" t="s">
        <v>117</v>
      </c>
      <c r="B110" s="35">
        <v>45911</v>
      </c>
      <c r="C110" s="12" t="s">
        <v>428</v>
      </c>
      <c r="D110" s="12" t="s">
        <v>119</v>
      </c>
      <c r="E110" s="15" t="s">
        <v>527</v>
      </c>
      <c r="F110" s="12" t="s">
        <v>631</v>
      </c>
      <c r="G110" s="36">
        <v>909.73</v>
      </c>
      <c r="H110" s="77"/>
      <c r="I110" s="36">
        <v>499756.68</v>
      </c>
      <c r="J110" s="33" t="s">
        <v>219</v>
      </c>
      <c r="K110" s="164">
        <v>2</v>
      </c>
      <c r="L110" s="192"/>
      <c r="M110" s="36"/>
    </row>
    <row r="111" spans="1:13" ht="12.75" customHeight="1" x14ac:dyDescent="0.2">
      <c r="A111" s="11" t="s">
        <v>117</v>
      </c>
      <c r="B111" s="35">
        <v>45911</v>
      </c>
      <c r="C111" s="12" t="s">
        <v>428</v>
      </c>
      <c r="D111" s="12" t="s">
        <v>119</v>
      </c>
      <c r="E111" s="15" t="s">
        <v>527</v>
      </c>
      <c r="F111" s="12" t="s">
        <v>628</v>
      </c>
      <c r="G111" s="36"/>
      <c r="H111" s="200">
        <v>-6697.43</v>
      </c>
      <c r="I111" s="36">
        <v>493059.25</v>
      </c>
      <c r="J111" s="33" t="s">
        <v>213</v>
      </c>
      <c r="K111" s="164">
        <v>-2</v>
      </c>
      <c r="L111" s="192"/>
      <c r="M111" s="36"/>
    </row>
    <row r="112" spans="1:13" ht="12.75" customHeight="1" x14ac:dyDescent="0.2">
      <c r="A112" s="11" t="s">
        <v>117</v>
      </c>
      <c r="B112" s="35">
        <v>45911</v>
      </c>
      <c r="C112" s="12" t="s">
        <v>428</v>
      </c>
      <c r="D112" s="12" t="s">
        <v>119</v>
      </c>
      <c r="E112" s="15" t="s">
        <v>527</v>
      </c>
      <c r="F112" s="12" t="s">
        <v>629</v>
      </c>
      <c r="G112" s="242">
        <v>1058.97</v>
      </c>
      <c r="H112" s="77"/>
      <c r="I112" s="36">
        <v>494118.22</v>
      </c>
      <c r="J112" s="33" t="s">
        <v>213</v>
      </c>
      <c r="K112" s="164">
        <v>2</v>
      </c>
      <c r="L112" s="192"/>
      <c r="M112" s="36"/>
    </row>
    <row r="113" spans="1:13" ht="12.75" customHeight="1" x14ac:dyDescent="0.2">
      <c r="A113" s="11" t="s">
        <v>117</v>
      </c>
      <c r="B113" s="35">
        <v>45911</v>
      </c>
      <c r="C113" s="12" t="s">
        <v>428</v>
      </c>
      <c r="D113" s="12" t="s">
        <v>119</v>
      </c>
      <c r="E113" s="15" t="s">
        <v>527</v>
      </c>
      <c r="F113" s="12" t="s">
        <v>632</v>
      </c>
      <c r="G113" s="242">
        <v>1037.1199999999999</v>
      </c>
      <c r="H113" s="77"/>
      <c r="I113" s="36">
        <v>495155.34</v>
      </c>
      <c r="J113" s="33" t="s">
        <v>213</v>
      </c>
      <c r="K113" s="164">
        <v>2</v>
      </c>
      <c r="L113" s="192"/>
      <c r="M113" s="36"/>
    </row>
    <row r="114" spans="1:13" ht="12.75" customHeight="1" x14ac:dyDescent="0.2">
      <c r="A114" s="11" t="s">
        <v>117</v>
      </c>
      <c r="B114" s="35">
        <v>45911</v>
      </c>
      <c r="C114" s="12" t="s">
        <v>428</v>
      </c>
      <c r="D114" s="12" t="s">
        <v>119</v>
      </c>
      <c r="E114" s="15" t="s">
        <v>527</v>
      </c>
      <c r="F114" s="12" t="s">
        <v>633</v>
      </c>
      <c r="G114" s="36">
        <v>50</v>
      </c>
      <c r="H114" s="77"/>
      <c r="I114" s="36">
        <v>495205.34</v>
      </c>
      <c r="J114" s="33" t="s">
        <v>219</v>
      </c>
      <c r="K114" s="164">
        <v>2</v>
      </c>
      <c r="L114" s="192"/>
      <c r="M114" s="36"/>
    </row>
    <row r="115" spans="1:13" ht="12.75" customHeight="1" x14ac:dyDescent="0.2">
      <c r="A115" s="11" t="s">
        <v>117</v>
      </c>
      <c r="B115" s="35">
        <v>45911</v>
      </c>
      <c r="C115" s="12" t="s">
        <v>429</v>
      </c>
      <c r="D115" s="12" t="s">
        <v>137</v>
      </c>
      <c r="E115" s="15" t="s">
        <v>137</v>
      </c>
      <c r="F115" s="12" t="s">
        <v>634</v>
      </c>
      <c r="G115" s="36">
        <v>4185.33</v>
      </c>
      <c r="H115" s="77"/>
      <c r="I115" s="36">
        <v>499390.67</v>
      </c>
      <c r="J115" s="33" t="s">
        <v>213</v>
      </c>
      <c r="K115" s="164">
        <v>2</v>
      </c>
      <c r="L115" s="192"/>
      <c r="M115" s="36"/>
    </row>
    <row r="116" spans="1:13" ht="12.75" customHeight="1" x14ac:dyDescent="0.2">
      <c r="A116" s="11" t="s">
        <v>117</v>
      </c>
      <c r="B116" s="35">
        <v>45912</v>
      </c>
      <c r="C116" s="12" t="s">
        <v>430</v>
      </c>
      <c r="D116" s="12" t="s">
        <v>119</v>
      </c>
      <c r="E116" s="15" t="s">
        <v>528</v>
      </c>
      <c r="F116" s="12" t="s">
        <v>635</v>
      </c>
      <c r="G116" s="36">
        <v>50</v>
      </c>
      <c r="H116" s="77"/>
      <c r="I116" s="36">
        <v>499440.67</v>
      </c>
      <c r="J116" s="33" t="s">
        <v>219</v>
      </c>
      <c r="K116" s="164">
        <v>2</v>
      </c>
      <c r="L116" s="192"/>
      <c r="M116" s="36"/>
    </row>
    <row r="117" spans="1:13" ht="12.75" customHeight="1" x14ac:dyDescent="0.2">
      <c r="A117" s="11" t="s">
        <v>117</v>
      </c>
      <c r="B117" s="35">
        <v>45912</v>
      </c>
      <c r="C117" s="12" t="s">
        <v>430</v>
      </c>
      <c r="D117" s="12" t="s">
        <v>119</v>
      </c>
      <c r="E117" s="15" t="s">
        <v>528</v>
      </c>
      <c r="F117" s="12" t="s">
        <v>636</v>
      </c>
      <c r="G117" s="36">
        <v>2076.52</v>
      </c>
      <c r="H117" s="77"/>
      <c r="I117" s="36">
        <v>501517.19</v>
      </c>
      <c r="J117" s="33" t="s">
        <v>220</v>
      </c>
      <c r="K117" s="164">
        <v>2</v>
      </c>
      <c r="L117" s="192"/>
      <c r="M117" s="36"/>
    </row>
    <row r="118" spans="1:13" ht="12.75" customHeight="1" x14ac:dyDescent="0.2">
      <c r="A118" s="11" t="s">
        <v>117</v>
      </c>
      <c r="B118" s="35">
        <v>45915</v>
      </c>
      <c r="C118" s="12" t="s">
        <v>431</v>
      </c>
      <c r="D118" s="12" t="s">
        <v>231</v>
      </c>
      <c r="E118" s="15" t="s">
        <v>75</v>
      </c>
      <c r="F118" s="12" t="s">
        <v>637</v>
      </c>
      <c r="G118" s="36"/>
      <c r="H118" s="77">
        <v>-5680</v>
      </c>
      <c r="I118" s="36">
        <v>495837.19</v>
      </c>
      <c r="J118" s="33" t="s">
        <v>230</v>
      </c>
      <c r="K118" s="164">
        <v>-2</v>
      </c>
      <c r="L118" s="192"/>
      <c r="M118" s="36"/>
    </row>
    <row r="119" spans="1:13" ht="12.75" customHeight="1" x14ac:dyDescent="0.2">
      <c r="A119" s="11" t="s">
        <v>117</v>
      </c>
      <c r="B119" s="35">
        <v>45915</v>
      </c>
      <c r="C119" s="12" t="s">
        <v>432</v>
      </c>
      <c r="D119" s="12" t="s">
        <v>233</v>
      </c>
      <c r="E119" s="15" t="s">
        <v>529</v>
      </c>
      <c r="F119" s="12" t="s">
        <v>638</v>
      </c>
      <c r="G119" s="36"/>
      <c r="H119" s="77">
        <v>-1650</v>
      </c>
      <c r="I119" s="36">
        <v>494187.19</v>
      </c>
      <c r="J119" s="33" t="s">
        <v>232</v>
      </c>
      <c r="K119" s="164">
        <v>-2</v>
      </c>
      <c r="L119" s="192"/>
      <c r="M119" s="36"/>
    </row>
    <row r="120" spans="1:13" ht="12.75" customHeight="1" x14ac:dyDescent="0.2">
      <c r="A120" s="11" t="s">
        <v>117</v>
      </c>
      <c r="B120" s="35">
        <v>45915</v>
      </c>
      <c r="C120" s="12" t="s">
        <v>432</v>
      </c>
      <c r="D120" s="12" t="s">
        <v>233</v>
      </c>
      <c r="E120" s="15" t="s">
        <v>529</v>
      </c>
      <c r="F120" s="12" t="s">
        <v>639</v>
      </c>
      <c r="G120" s="36"/>
      <c r="H120" s="77">
        <v>-1650</v>
      </c>
      <c r="I120" s="36">
        <v>492537.19</v>
      </c>
      <c r="J120" s="33" t="s">
        <v>232</v>
      </c>
      <c r="K120" s="164">
        <v>-2</v>
      </c>
      <c r="L120" s="192"/>
      <c r="M120" s="36"/>
    </row>
    <row r="121" spans="1:13" ht="12.75" customHeight="1" x14ac:dyDescent="0.2">
      <c r="A121" s="11" t="s">
        <v>117</v>
      </c>
      <c r="B121" s="35">
        <v>45915</v>
      </c>
      <c r="C121" s="12" t="s">
        <v>432</v>
      </c>
      <c r="D121" s="12" t="s">
        <v>233</v>
      </c>
      <c r="E121" s="15" t="s">
        <v>529</v>
      </c>
      <c r="F121" s="12" t="s">
        <v>640</v>
      </c>
      <c r="G121" s="36"/>
      <c r="H121" s="77">
        <v>-1650</v>
      </c>
      <c r="I121" s="36">
        <v>490887.19</v>
      </c>
      <c r="J121" s="33" t="s">
        <v>232</v>
      </c>
      <c r="K121" s="164">
        <v>-2</v>
      </c>
      <c r="L121" s="192"/>
      <c r="M121" s="36"/>
    </row>
    <row r="122" spans="1:13" ht="12.75" customHeight="1" x14ac:dyDescent="0.2">
      <c r="A122" s="11" t="s">
        <v>117</v>
      </c>
      <c r="B122" s="35">
        <v>45915</v>
      </c>
      <c r="C122" s="12" t="s">
        <v>433</v>
      </c>
      <c r="D122" s="12" t="s">
        <v>234</v>
      </c>
      <c r="E122" s="15" t="s">
        <v>530</v>
      </c>
      <c r="F122" s="12" t="s">
        <v>641</v>
      </c>
      <c r="G122" s="36"/>
      <c r="H122" s="77">
        <v>-85</v>
      </c>
      <c r="I122" s="36">
        <v>490802.19</v>
      </c>
      <c r="J122" s="33" t="s">
        <v>232</v>
      </c>
      <c r="K122" s="164">
        <v>-2</v>
      </c>
      <c r="L122" s="192"/>
      <c r="M122" s="36"/>
    </row>
    <row r="123" spans="1:13" ht="12.75" customHeight="1" x14ac:dyDescent="0.2">
      <c r="A123" s="11" t="s">
        <v>117</v>
      </c>
      <c r="B123" s="35">
        <v>45915</v>
      </c>
      <c r="C123" s="12" t="s">
        <v>433</v>
      </c>
      <c r="D123" s="12" t="s">
        <v>234</v>
      </c>
      <c r="E123" s="15" t="s">
        <v>530</v>
      </c>
      <c r="F123" s="12" t="s">
        <v>642</v>
      </c>
      <c r="G123" s="36"/>
      <c r="H123" s="77">
        <v>-85</v>
      </c>
      <c r="I123" s="36">
        <v>490717.19</v>
      </c>
      <c r="J123" s="33" t="s">
        <v>232</v>
      </c>
      <c r="K123" s="164">
        <v>-2</v>
      </c>
      <c r="L123" s="192"/>
      <c r="M123" s="36"/>
    </row>
    <row r="124" spans="1:13" ht="12.75" customHeight="1" x14ac:dyDescent="0.2">
      <c r="A124" s="11" t="s">
        <v>117</v>
      </c>
      <c r="B124" s="35">
        <v>45915</v>
      </c>
      <c r="C124" s="12" t="s">
        <v>433</v>
      </c>
      <c r="D124" s="12" t="s">
        <v>234</v>
      </c>
      <c r="E124" s="15" t="s">
        <v>530</v>
      </c>
      <c r="F124" s="12" t="s">
        <v>643</v>
      </c>
      <c r="G124" s="36"/>
      <c r="H124" s="77">
        <v>-85</v>
      </c>
      <c r="I124" s="36">
        <v>490632.19</v>
      </c>
      <c r="J124" s="33" t="s">
        <v>232</v>
      </c>
      <c r="K124" s="164">
        <v>-2</v>
      </c>
      <c r="L124" s="192"/>
      <c r="M124" s="36"/>
    </row>
    <row r="125" spans="1:13" ht="12.75" customHeight="1" x14ac:dyDescent="0.2">
      <c r="A125" s="11" t="s">
        <v>117</v>
      </c>
      <c r="B125" s="35">
        <v>45915</v>
      </c>
      <c r="C125" s="12" t="s">
        <v>433</v>
      </c>
      <c r="D125" s="12" t="s">
        <v>234</v>
      </c>
      <c r="E125" s="15" t="s">
        <v>530</v>
      </c>
      <c r="F125" s="12" t="s">
        <v>644</v>
      </c>
      <c r="G125" s="36"/>
      <c r="H125" s="77">
        <v>-350</v>
      </c>
      <c r="I125" s="36">
        <v>490282.19</v>
      </c>
      <c r="J125" s="33" t="s">
        <v>232</v>
      </c>
      <c r="K125" s="164">
        <v>-2</v>
      </c>
      <c r="L125" s="192"/>
      <c r="M125" s="36"/>
    </row>
    <row r="126" spans="1:13" ht="12.75" customHeight="1" x14ac:dyDescent="0.2">
      <c r="A126" s="11" t="s">
        <v>117</v>
      </c>
      <c r="B126" s="35">
        <v>45915</v>
      </c>
      <c r="C126" s="12" t="s">
        <v>434</v>
      </c>
      <c r="D126" s="12" t="s">
        <v>238</v>
      </c>
      <c r="E126" s="15" t="s">
        <v>21</v>
      </c>
      <c r="F126" s="12" t="s">
        <v>645</v>
      </c>
      <c r="G126" s="36"/>
      <c r="H126" s="77">
        <v>-45</v>
      </c>
      <c r="I126" s="36">
        <v>490237.19</v>
      </c>
      <c r="J126" s="33" t="s">
        <v>237</v>
      </c>
      <c r="K126" s="164">
        <v>-2</v>
      </c>
      <c r="L126" s="192"/>
      <c r="M126" s="36"/>
    </row>
    <row r="127" spans="1:13" ht="12.75" customHeight="1" x14ac:dyDescent="0.2">
      <c r="A127" s="11" t="s">
        <v>117</v>
      </c>
      <c r="B127" s="35">
        <v>45915</v>
      </c>
      <c r="C127" s="12" t="s">
        <v>434</v>
      </c>
      <c r="D127" s="12" t="s">
        <v>238</v>
      </c>
      <c r="E127" s="15" t="s">
        <v>21</v>
      </c>
      <c r="F127" s="12" t="s">
        <v>646</v>
      </c>
      <c r="G127" s="36"/>
      <c r="H127" s="77">
        <v>-53.95</v>
      </c>
      <c r="I127" s="36">
        <v>490183.24</v>
      </c>
      <c r="J127" s="33" t="s">
        <v>237</v>
      </c>
      <c r="K127" s="164">
        <v>-2</v>
      </c>
      <c r="L127" s="192"/>
      <c r="M127" s="36"/>
    </row>
    <row r="128" spans="1:13" ht="12.75" customHeight="1" x14ac:dyDescent="0.2">
      <c r="A128" s="11" t="s">
        <v>117</v>
      </c>
      <c r="B128" s="35">
        <v>45915</v>
      </c>
      <c r="C128" s="12" t="s">
        <v>435</v>
      </c>
      <c r="D128" s="12" t="s">
        <v>436</v>
      </c>
      <c r="E128" s="15" t="s">
        <v>517</v>
      </c>
      <c r="F128" s="12" t="s">
        <v>174</v>
      </c>
      <c r="G128" s="36"/>
      <c r="H128" s="77">
        <v>-42.4</v>
      </c>
      <c r="I128" s="36">
        <v>490140.84</v>
      </c>
      <c r="J128" s="33" t="s">
        <v>226</v>
      </c>
      <c r="K128" s="164">
        <v>-2</v>
      </c>
      <c r="L128" s="192"/>
      <c r="M128" s="36"/>
    </row>
    <row r="129" spans="1:13" ht="12.75" customHeight="1" x14ac:dyDescent="0.2">
      <c r="A129" s="11" t="s">
        <v>117</v>
      </c>
      <c r="B129" s="35">
        <v>45915</v>
      </c>
      <c r="C129" s="12" t="s">
        <v>437</v>
      </c>
      <c r="D129" s="12" t="s">
        <v>119</v>
      </c>
      <c r="E129" s="15" t="s">
        <v>531</v>
      </c>
      <c r="F129" s="12" t="s">
        <v>647</v>
      </c>
      <c r="G129" s="36">
        <v>67.69</v>
      </c>
      <c r="H129" s="77"/>
      <c r="I129" s="36">
        <v>490208.53</v>
      </c>
      <c r="J129" s="33" t="s">
        <v>223</v>
      </c>
      <c r="K129" s="164">
        <v>2</v>
      </c>
      <c r="L129" s="192"/>
      <c r="M129" s="36"/>
    </row>
    <row r="130" spans="1:13" ht="12.75" customHeight="1" x14ac:dyDescent="0.2">
      <c r="A130" s="11" t="s">
        <v>117</v>
      </c>
      <c r="B130" s="35">
        <v>45915</v>
      </c>
      <c r="C130" s="12" t="s">
        <v>437</v>
      </c>
      <c r="D130" s="12" t="s">
        <v>119</v>
      </c>
      <c r="E130" s="15" t="s">
        <v>531</v>
      </c>
      <c r="F130" s="12" t="s">
        <v>648</v>
      </c>
      <c r="G130" s="36">
        <v>2187.39</v>
      </c>
      <c r="H130" s="77"/>
      <c r="I130" s="36">
        <v>492395.92</v>
      </c>
      <c r="J130" s="33" t="s">
        <v>220</v>
      </c>
      <c r="K130" s="164">
        <v>2</v>
      </c>
      <c r="L130" s="192"/>
      <c r="M130" s="36"/>
    </row>
    <row r="131" spans="1:13" ht="12.75" customHeight="1" x14ac:dyDescent="0.2">
      <c r="A131" s="11" t="s">
        <v>117</v>
      </c>
      <c r="B131" s="35">
        <v>45916</v>
      </c>
      <c r="C131" s="12" t="s">
        <v>438</v>
      </c>
      <c r="D131" s="12" t="s">
        <v>439</v>
      </c>
      <c r="E131" s="15" t="s">
        <v>19</v>
      </c>
      <c r="F131" s="12" t="s">
        <v>649</v>
      </c>
      <c r="G131" s="36"/>
      <c r="H131" s="77">
        <v>-90.5</v>
      </c>
      <c r="I131" s="36">
        <v>492305.42</v>
      </c>
      <c r="J131" s="33" t="s">
        <v>226</v>
      </c>
      <c r="K131" s="164">
        <v>-2</v>
      </c>
      <c r="L131" s="192"/>
      <c r="M131" s="36"/>
    </row>
    <row r="132" spans="1:13" ht="12.75" customHeight="1" x14ac:dyDescent="0.2">
      <c r="A132" s="11" t="s">
        <v>117</v>
      </c>
      <c r="B132" s="35">
        <v>45916</v>
      </c>
      <c r="C132" s="12" t="s">
        <v>440</v>
      </c>
      <c r="D132" s="12" t="s">
        <v>441</v>
      </c>
      <c r="E132" s="15" t="s">
        <v>19</v>
      </c>
      <c r="F132" s="12" t="s">
        <v>650</v>
      </c>
      <c r="G132" s="36"/>
      <c r="H132" s="77">
        <v>-59.04</v>
      </c>
      <c r="I132" s="36">
        <v>492246.38</v>
      </c>
      <c r="J132" s="33" t="s">
        <v>226</v>
      </c>
      <c r="K132" s="164">
        <v>-2</v>
      </c>
      <c r="L132" s="192"/>
      <c r="M132" s="36"/>
    </row>
    <row r="133" spans="1:13" ht="12.75" customHeight="1" x14ac:dyDescent="0.2">
      <c r="A133" s="11" t="s">
        <v>117</v>
      </c>
      <c r="B133" s="35">
        <v>45916</v>
      </c>
      <c r="C133" s="12" t="s">
        <v>442</v>
      </c>
      <c r="D133" s="12" t="s">
        <v>443</v>
      </c>
      <c r="E133" s="15" t="s">
        <v>19</v>
      </c>
      <c r="F133" s="12" t="s">
        <v>651</v>
      </c>
      <c r="G133" s="36"/>
      <c r="H133" s="77">
        <v>-145.86000000000001</v>
      </c>
      <c r="I133" s="36">
        <v>492100.52</v>
      </c>
      <c r="J133" s="33" t="s">
        <v>226</v>
      </c>
      <c r="K133" s="164">
        <v>-2</v>
      </c>
      <c r="L133" s="192"/>
      <c r="M133" s="36"/>
    </row>
    <row r="134" spans="1:13" ht="12.75" customHeight="1" x14ac:dyDescent="0.2">
      <c r="A134" s="11" t="s">
        <v>117</v>
      </c>
      <c r="B134" s="35">
        <v>45916</v>
      </c>
      <c r="C134" s="12" t="s">
        <v>444</v>
      </c>
      <c r="D134" s="12" t="s">
        <v>445</v>
      </c>
      <c r="E134" s="15" t="s">
        <v>517</v>
      </c>
      <c r="F134" s="12" t="s">
        <v>652</v>
      </c>
      <c r="G134" s="36"/>
      <c r="H134" s="201">
        <v>-2.7</v>
      </c>
      <c r="I134" s="36">
        <v>492097.82</v>
      </c>
      <c r="J134" s="33" t="s">
        <v>229</v>
      </c>
      <c r="K134" s="164">
        <v>-2</v>
      </c>
      <c r="L134" s="192"/>
      <c r="M134" s="36"/>
    </row>
    <row r="135" spans="1:13" ht="12.75" customHeight="1" x14ac:dyDescent="0.2">
      <c r="A135" s="11" t="s">
        <v>117</v>
      </c>
      <c r="B135" s="35">
        <v>45916</v>
      </c>
      <c r="C135" s="12" t="s">
        <v>444</v>
      </c>
      <c r="D135" s="12" t="s">
        <v>445</v>
      </c>
      <c r="E135" s="15" t="s">
        <v>517</v>
      </c>
      <c r="F135" s="12" t="s">
        <v>653</v>
      </c>
      <c r="G135" s="36"/>
      <c r="H135" s="201">
        <v>-92.17</v>
      </c>
      <c r="I135" s="36">
        <v>492005.65</v>
      </c>
      <c r="J135" s="33" t="s">
        <v>229</v>
      </c>
      <c r="K135" s="164">
        <v>-2</v>
      </c>
      <c r="L135" s="192"/>
      <c r="M135" s="36"/>
    </row>
    <row r="136" spans="1:13" ht="12.75" customHeight="1" x14ac:dyDescent="0.2">
      <c r="A136" s="11" t="s">
        <v>117</v>
      </c>
      <c r="B136" s="35">
        <v>45916</v>
      </c>
      <c r="C136" s="12" t="s">
        <v>444</v>
      </c>
      <c r="D136" s="12" t="s">
        <v>445</v>
      </c>
      <c r="E136" s="15" t="s">
        <v>517</v>
      </c>
      <c r="F136" s="12" t="s">
        <v>176</v>
      </c>
      <c r="G136" s="36"/>
      <c r="H136" s="201">
        <v>-57.89</v>
      </c>
      <c r="I136" s="36">
        <v>491947.76</v>
      </c>
      <c r="J136" s="33" t="s">
        <v>229</v>
      </c>
      <c r="K136" s="164">
        <v>-2</v>
      </c>
      <c r="L136" s="192"/>
      <c r="M136" s="36"/>
    </row>
    <row r="137" spans="1:13" ht="12.75" customHeight="1" x14ac:dyDescent="0.2">
      <c r="A137" s="11" t="s">
        <v>117</v>
      </c>
      <c r="B137" s="35">
        <v>45916</v>
      </c>
      <c r="C137" s="12" t="s">
        <v>444</v>
      </c>
      <c r="D137" s="12" t="s">
        <v>445</v>
      </c>
      <c r="E137" s="15" t="s">
        <v>517</v>
      </c>
      <c r="F137" s="12" t="s">
        <v>177</v>
      </c>
      <c r="G137" s="36"/>
      <c r="H137" s="201">
        <v>-61</v>
      </c>
      <c r="I137" s="36">
        <v>491886.76</v>
      </c>
      <c r="J137" s="33" t="s">
        <v>229</v>
      </c>
      <c r="K137" s="164">
        <v>-2</v>
      </c>
      <c r="L137" s="192"/>
      <c r="M137" s="36"/>
    </row>
    <row r="138" spans="1:13" ht="12.75" customHeight="1" x14ac:dyDescent="0.2">
      <c r="A138" s="11" t="s">
        <v>117</v>
      </c>
      <c r="B138" s="35">
        <v>45916</v>
      </c>
      <c r="C138" s="12" t="s">
        <v>444</v>
      </c>
      <c r="D138" s="12" t="s">
        <v>445</v>
      </c>
      <c r="E138" s="15" t="s">
        <v>517</v>
      </c>
      <c r="F138" s="12" t="s">
        <v>177</v>
      </c>
      <c r="G138" s="36"/>
      <c r="H138" s="201">
        <v>-30.67</v>
      </c>
      <c r="I138" s="36">
        <v>491856.09</v>
      </c>
      <c r="J138" s="33" t="s">
        <v>229</v>
      </c>
      <c r="K138" s="164">
        <v>-2</v>
      </c>
      <c r="L138" s="192"/>
      <c r="M138" s="36"/>
    </row>
    <row r="139" spans="1:13" ht="12.75" customHeight="1" x14ac:dyDescent="0.2">
      <c r="A139" s="11" t="s">
        <v>117</v>
      </c>
      <c r="B139" s="35">
        <v>45916</v>
      </c>
      <c r="C139" s="12" t="s">
        <v>444</v>
      </c>
      <c r="D139" s="12" t="s">
        <v>445</v>
      </c>
      <c r="E139" s="15" t="s">
        <v>517</v>
      </c>
      <c r="F139" s="12" t="s">
        <v>177</v>
      </c>
      <c r="G139" s="36"/>
      <c r="H139" s="201">
        <v>-52.03</v>
      </c>
      <c r="I139" s="36">
        <v>491804.06</v>
      </c>
      <c r="J139" s="33" t="s">
        <v>229</v>
      </c>
      <c r="K139" s="164">
        <v>-2</v>
      </c>
      <c r="L139" s="192"/>
      <c r="M139" s="36"/>
    </row>
    <row r="140" spans="1:13" ht="12.75" customHeight="1" x14ac:dyDescent="0.2">
      <c r="A140" s="11" t="s">
        <v>117</v>
      </c>
      <c r="B140" s="35">
        <v>45916</v>
      </c>
      <c r="C140" s="12" t="s">
        <v>444</v>
      </c>
      <c r="D140" s="12" t="s">
        <v>445</v>
      </c>
      <c r="E140" s="15" t="s">
        <v>517</v>
      </c>
      <c r="F140" s="12" t="s">
        <v>654</v>
      </c>
      <c r="G140" s="36"/>
      <c r="H140" s="201">
        <v>-78.83</v>
      </c>
      <c r="I140" s="36">
        <v>491725.23</v>
      </c>
      <c r="J140" s="33" t="s">
        <v>229</v>
      </c>
      <c r="K140" s="164">
        <v>-2</v>
      </c>
      <c r="L140" s="192"/>
      <c r="M140" s="36"/>
    </row>
    <row r="141" spans="1:13" ht="12.75" customHeight="1" x14ac:dyDescent="0.2">
      <c r="A141" s="11" t="s">
        <v>117</v>
      </c>
      <c r="B141" s="35">
        <v>45916</v>
      </c>
      <c r="C141" s="12" t="s">
        <v>444</v>
      </c>
      <c r="D141" s="12" t="s">
        <v>445</v>
      </c>
      <c r="E141" s="15" t="s">
        <v>517</v>
      </c>
      <c r="F141" s="12" t="s">
        <v>655</v>
      </c>
      <c r="G141" s="36"/>
      <c r="H141" s="201">
        <v>-17.66</v>
      </c>
      <c r="I141" s="36">
        <v>491707.57</v>
      </c>
      <c r="J141" s="33" t="s">
        <v>229</v>
      </c>
      <c r="K141" s="164">
        <v>-2</v>
      </c>
      <c r="L141" s="192"/>
      <c r="M141" s="36"/>
    </row>
    <row r="142" spans="1:13" ht="12.75" customHeight="1" x14ac:dyDescent="0.2">
      <c r="A142" s="11" t="s">
        <v>117</v>
      </c>
      <c r="B142" s="35">
        <v>45916</v>
      </c>
      <c r="C142" s="12" t="s">
        <v>444</v>
      </c>
      <c r="D142" s="12" t="s">
        <v>445</v>
      </c>
      <c r="E142" s="15" t="s">
        <v>517</v>
      </c>
      <c r="F142" s="12" t="s">
        <v>656</v>
      </c>
      <c r="G142" s="36"/>
      <c r="H142" s="201">
        <v>-3.1</v>
      </c>
      <c r="I142" s="36">
        <v>491704.47</v>
      </c>
      <c r="J142" s="33" t="s">
        <v>229</v>
      </c>
      <c r="K142" s="164">
        <v>-2</v>
      </c>
      <c r="L142" s="192"/>
      <c r="M142" s="36"/>
    </row>
    <row r="143" spans="1:13" ht="12.75" customHeight="1" x14ac:dyDescent="0.2">
      <c r="A143" s="11" t="s">
        <v>117</v>
      </c>
      <c r="B143" s="35">
        <v>45916</v>
      </c>
      <c r="C143" s="12" t="s">
        <v>444</v>
      </c>
      <c r="D143" s="12" t="s">
        <v>445</v>
      </c>
      <c r="E143" s="15" t="s">
        <v>517</v>
      </c>
      <c r="F143" s="12" t="s">
        <v>657</v>
      </c>
      <c r="G143" s="36"/>
      <c r="H143" s="201">
        <v>-444.75</v>
      </c>
      <c r="I143" s="36">
        <v>491259.72</v>
      </c>
      <c r="J143" s="33" t="s">
        <v>229</v>
      </c>
      <c r="K143" s="164">
        <v>-2</v>
      </c>
      <c r="L143" s="192"/>
      <c r="M143" s="36"/>
    </row>
    <row r="144" spans="1:13" ht="12.75" customHeight="1" x14ac:dyDescent="0.2">
      <c r="A144" s="11" t="s">
        <v>117</v>
      </c>
      <c r="B144" s="35">
        <v>45916</v>
      </c>
      <c r="C144" s="12" t="s">
        <v>444</v>
      </c>
      <c r="D144" s="12" t="s">
        <v>445</v>
      </c>
      <c r="E144" s="15" t="s">
        <v>517</v>
      </c>
      <c r="F144" s="12" t="s">
        <v>658</v>
      </c>
      <c r="G144" s="36"/>
      <c r="H144" s="201">
        <v>-127.67</v>
      </c>
      <c r="I144" s="36">
        <v>491132.05</v>
      </c>
      <c r="J144" s="33" t="s">
        <v>229</v>
      </c>
      <c r="K144" s="164">
        <v>-2</v>
      </c>
      <c r="L144" s="192"/>
      <c r="M144" s="36"/>
    </row>
    <row r="145" spans="1:13" ht="12.75" customHeight="1" x14ac:dyDescent="0.2">
      <c r="A145" s="11" t="s">
        <v>117</v>
      </c>
      <c r="B145" s="35">
        <v>45916</v>
      </c>
      <c r="C145" s="12" t="s">
        <v>444</v>
      </c>
      <c r="D145" s="12" t="s">
        <v>445</v>
      </c>
      <c r="E145" s="15" t="s">
        <v>517</v>
      </c>
      <c r="F145" s="12" t="s">
        <v>659</v>
      </c>
      <c r="G145" s="36"/>
      <c r="H145" s="201">
        <v>-46.93</v>
      </c>
      <c r="I145" s="36">
        <v>491085.12</v>
      </c>
      <c r="J145" s="33" t="s">
        <v>229</v>
      </c>
      <c r="K145" s="164">
        <v>-2</v>
      </c>
      <c r="L145" s="192"/>
      <c r="M145" s="36"/>
    </row>
    <row r="146" spans="1:13" ht="12.75" customHeight="1" x14ac:dyDescent="0.2">
      <c r="A146" s="11" t="s">
        <v>117</v>
      </c>
      <c r="B146" s="35">
        <v>45916</v>
      </c>
      <c r="C146" s="12" t="s">
        <v>444</v>
      </c>
      <c r="D146" s="12" t="s">
        <v>445</v>
      </c>
      <c r="E146" s="15" t="s">
        <v>517</v>
      </c>
      <c r="F146" s="12" t="s">
        <v>660</v>
      </c>
      <c r="G146" s="36"/>
      <c r="H146" s="201">
        <v>-173.76</v>
      </c>
      <c r="I146" s="36">
        <v>490911.36</v>
      </c>
      <c r="J146" s="33" t="s">
        <v>229</v>
      </c>
      <c r="K146" s="164">
        <v>-2</v>
      </c>
      <c r="L146" s="192"/>
      <c r="M146" s="36"/>
    </row>
    <row r="147" spans="1:13" ht="12.75" customHeight="1" x14ac:dyDescent="0.2">
      <c r="A147" s="11" t="s">
        <v>117</v>
      </c>
      <c r="B147" s="35">
        <v>45916</v>
      </c>
      <c r="C147" s="12" t="s">
        <v>444</v>
      </c>
      <c r="D147" s="12" t="s">
        <v>445</v>
      </c>
      <c r="E147" s="15" t="s">
        <v>517</v>
      </c>
      <c r="F147" s="12" t="s">
        <v>661</v>
      </c>
      <c r="G147" s="36"/>
      <c r="H147" s="201">
        <v>-22.04</v>
      </c>
      <c r="I147" s="36">
        <v>490889.32</v>
      </c>
      <c r="J147" s="33" t="s">
        <v>229</v>
      </c>
      <c r="K147" s="164">
        <v>-2</v>
      </c>
      <c r="L147" s="192"/>
      <c r="M147" s="36"/>
    </row>
    <row r="148" spans="1:13" ht="12.75" customHeight="1" x14ac:dyDescent="0.2">
      <c r="A148" s="11" t="s">
        <v>117</v>
      </c>
      <c r="B148" s="35">
        <v>45916</v>
      </c>
      <c r="C148" s="12" t="s">
        <v>444</v>
      </c>
      <c r="D148" s="12" t="s">
        <v>445</v>
      </c>
      <c r="E148" s="15" t="s">
        <v>517</v>
      </c>
      <c r="F148" s="12" t="s">
        <v>662</v>
      </c>
      <c r="G148" s="36"/>
      <c r="H148" s="201">
        <v>-228.9</v>
      </c>
      <c r="I148" s="36">
        <v>490660.42</v>
      </c>
      <c r="J148" s="33" t="s">
        <v>229</v>
      </c>
      <c r="K148" s="164">
        <v>-2</v>
      </c>
      <c r="L148" s="192"/>
      <c r="M148" s="36"/>
    </row>
    <row r="149" spans="1:13" ht="12.75" customHeight="1" x14ac:dyDescent="0.2">
      <c r="A149" s="11" t="s">
        <v>117</v>
      </c>
      <c r="B149" s="35">
        <v>45916</v>
      </c>
      <c r="C149" s="12" t="s">
        <v>444</v>
      </c>
      <c r="D149" s="12" t="s">
        <v>445</v>
      </c>
      <c r="E149" s="15" t="s">
        <v>517</v>
      </c>
      <c r="F149" s="12" t="s">
        <v>663</v>
      </c>
      <c r="G149" s="36"/>
      <c r="H149" s="201">
        <v>-127.75</v>
      </c>
      <c r="I149" s="36">
        <v>490532.67</v>
      </c>
      <c r="J149" s="33" t="s">
        <v>229</v>
      </c>
      <c r="K149" s="164">
        <v>-2</v>
      </c>
      <c r="L149" s="192"/>
      <c r="M149" s="36"/>
    </row>
    <row r="150" spans="1:13" ht="12.75" customHeight="1" x14ac:dyDescent="0.2">
      <c r="A150" s="11" t="s">
        <v>117</v>
      </c>
      <c r="B150" s="35">
        <v>45916</v>
      </c>
      <c r="C150" s="12" t="s">
        <v>444</v>
      </c>
      <c r="D150" s="12" t="s">
        <v>445</v>
      </c>
      <c r="E150" s="15" t="s">
        <v>517</v>
      </c>
      <c r="F150" s="12" t="s">
        <v>664</v>
      </c>
      <c r="G150" s="36"/>
      <c r="H150" s="201">
        <v>-86.09</v>
      </c>
      <c r="I150" s="36">
        <v>490446.58</v>
      </c>
      <c r="J150" s="33" t="s">
        <v>229</v>
      </c>
      <c r="K150" s="164">
        <v>-2</v>
      </c>
      <c r="L150" s="192"/>
      <c r="M150" s="36"/>
    </row>
    <row r="151" spans="1:13" ht="12.75" customHeight="1" x14ac:dyDescent="0.2">
      <c r="A151" s="11" t="s">
        <v>117</v>
      </c>
      <c r="B151" s="35">
        <v>45916</v>
      </c>
      <c r="C151" s="12" t="s">
        <v>444</v>
      </c>
      <c r="D151" s="12" t="s">
        <v>445</v>
      </c>
      <c r="E151" s="15" t="s">
        <v>517</v>
      </c>
      <c r="F151" s="12" t="s">
        <v>178</v>
      </c>
      <c r="G151" s="36"/>
      <c r="H151" s="201">
        <v>-15.12</v>
      </c>
      <c r="I151" s="36">
        <v>490431.46</v>
      </c>
      <c r="J151" s="33" t="s">
        <v>229</v>
      </c>
      <c r="K151" s="164">
        <v>-2</v>
      </c>
      <c r="L151" s="192"/>
      <c r="M151" s="36"/>
    </row>
    <row r="152" spans="1:13" ht="12.75" customHeight="1" x14ac:dyDescent="0.2">
      <c r="A152" s="11" t="s">
        <v>117</v>
      </c>
      <c r="B152" s="35">
        <v>45916</v>
      </c>
      <c r="C152" s="12" t="s">
        <v>444</v>
      </c>
      <c r="D152" s="12" t="s">
        <v>445</v>
      </c>
      <c r="E152" s="15" t="s">
        <v>517</v>
      </c>
      <c r="F152" s="12" t="s">
        <v>665</v>
      </c>
      <c r="G152" s="36"/>
      <c r="H152" s="201">
        <v>-39.479999999999997</v>
      </c>
      <c r="I152" s="36">
        <v>490391.98</v>
      </c>
      <c r="J152" s="33" t="s">
        <v>229</v>
      </c>
      <c r="K152" s="164">
        <v>-2</v>
      </c>
      <c r="L152" s="192"/>
      <c r="M152" s="36"/>
    </row>
    <row r="153" spans="1:13" ht="12.75" customHeight="1" x14ac:dyDescent="0.2">
      <c r="A153" s="11" t="s">
        <v>117</v>
      </c>
      <c r="B153" s="35">
        <v>45916</v>
      </c>
      <c r="C153" s="12" t="s">
        <v>444</v>
      </c>
      <c r="D153" s="12" t="s">
        <v>445</v>
      </c>
      <c r="E153" s="15" t="s">
        <v>517</v>
      </c>
      <c r="F153" s="12" t="s">
        <v>666</v>
      </c>
      <c r="G153" s="36"/>
      <c r="H153" s="201">
        <v>-115.33</v>
      </c>
      <c r="I153" s="36">
        <v>490276.65</v>
      </c>
      <c r="J153" s="33" t="s">
        <v>229</v>
      </c>
      <c r="K153" s="164">
        <v>-2</v>
      </c>
      <c r="L153" s="192"/>
      <c r="M153" s="36"/>
    </row>
    <row r="154" spans="1:13" ht="12.75" customHeight="1" x14ac:dyDescent="0.2">
      <c r="A154" s="11" t="s">
        <v>117</v>
      </c>
      <c r="B154" s="35">
        <v>45916</v>
      </c>
      <c r="C154" s="12" t="s">
        <v>444</v>
      </c>
      <c r="D154" s="12" t="s">
        <v>445</v>
      </c>
      <c r="E154" s="15" t="s">
        <v>517</v>
      </c>
      <c r="F154" s="12" t="s">
        <v>667</v>
      </c>
      <c r="G154" s="36"/>
      <c r="H154" s="201">
        <v>-30.4</v>
      </c>
      <c r="I154" s="36">
        <v>490246.25</v>
      </c>
      <c r="J154" s="33" t="s">
        <v>229</v>
      </c>
      <c r="K154" s="164">
        <v>-2</v>
      </c>
      <c r="L154" s="192"/>
      <c r="M154" s="36"/>
    </row>
    <row r="155" spans="1:13" ht="12.75" customHeight="1" x14ac:dyDescent="0.2">
      <c r="A155" s="11" t="s">
        <v>117</v>
      </c>
      <c r="B155" s="35">
        <v>45916</v>
      </c>
      <c r="C155" s="12" t="s">
        <v>444</v>
      </c>
      <c r="D155" s="12" t="s">
        <v>445</v>
      </c>
      <c r="E155" s="15" t="s">
        <v>517</v>
      </c>
      <c r="F155" s="12" t="s">
        <v>668</v>
      </c>
      <c r="G155" s="36"/>
      <c r="H155" s="201">
        <v>-187.2</v>
      </c>
      <c r="I155" s="36">
        <v>490059.05</v>
      </c>
      <c r="J155" s="33" t="s">
        <v>229</v>
      </c>
      <c r="K155" s="164">
        <v>-2</v>
      </c>
      <c r="L155" s="192"/>
      <c r="M155" s="36"/>
    </row>
    <row r="156" spans="1:13" ht="12.75" customHeight="1" x14ac:dyDescent="0.2">
      <c r="A156" s="11" t="s">
        <v>117</v>
      </c>
      <c r="B156" s="35">
        <v>45916</v>
      </c>
      <c r="C156" s="12" t="s">
        <v>444</v>
      </c>
      <c r="D156" s="12" t="s">
        <v>445</v>
      </c>
      <c r="E156" s="15" t="s">
        <v>517</v>
      </c>
      <c r="F156" s="12" t="s">
        <v>669</v>
      </c>
      <c r="G156" s="36"/>
      <c r="H156" s="201">
        <v>-170.24</v>
      </c>
      <c r="I156" s="36">
        <v>489888.81</v>
      </c>
      <c r="J156" s="33" t="s">
        <v>229</v>
      </c>
      <c r="K156" s="164">
        <v>-2</v>
      </c>
      <c r="L156" s="192"/>
      <c r="M156" s="36"/>
    </row>
    <row r="157" spans="1:13" ht="12.75" customHeight="1" x14ac:dyDescent="0.2">
      <c r="A157" s="11" t="s">
        <v>117</v>
      </c>
      <c r="B157" s="35">
        <v>45916</v>
      </c>
      <c r="C157" s="12" t="s">
        <v>444</v>
      </c>
      <c r="D157" s="12" t="s">
        <v>445</v>
      </c>
      <c r="E157" s="15" t="s">
        <v>517</v>
      </c>
      <c r="F157" s="12" t="s">
        <v>670</v>
      </c>
      <c r="G157" s="36"/>
      <c r="H157" s="201">
        <v>-18.239999999999998</v>
      </c>
      <c r="I157" s="36">
        <v>489870.57</v>
      </c>
      <c r="J157" s="33" t="s">
        <v>229</v>
      </c>
      <c r="K157" s="164">
        <v>-2</v>
      </c>
      <c r="L157" s="192"/>
      <c r="M157" s="36"/>
    </row>
    <row r="158" spans="1:13" ht="12.75" customHeight="1" x14ac:dyDescent="0.2">
      <c r="A158" s="11" t="s">
        <v>117</v>
      </c>
      <c r="B158" s="35">
        <v>45916</v>
      </c>
      <c r="C158" s="12" t="s">
        <v>444</v>
      </c>
      <c r="D158" s="12" t="s">
        <v>445</v>
      </c>
      <c r="E158" s="15" t="s">
        <v>517</v>
      </c>
      <c r="F158" s="12" t="s">
        <v>671</v>
      </c>
      <c r="G158" s="36"/>
      <c r="H158" s="201">
        <v>-6.08</v>
      </c>
      <c r="I158" s="36">
        <v>489864.49</v>
      </c>
      <c r="J158" s="33" t="s">
        <v>229</v>
      </c>
      <c r="K158" s="164">
        <v>-2</v>
      </c>
      <c r="L158" s="192"/>
      <c r="M158" s="36"/>
    </row>
    <row r="159" spans="1:13" ht="12.75" customHeight="1" x14ac:dyDescent="0.2">
      <c r="A159" s="11" t="s">
        <v>117</v>
      </c>
      <c r="B159" s="35">
        <v>45916</v>
      </c>
      <c r="C159" s="12" t="s">
        <v>444</v>
      </c>
      <c r="D159" s="12" t="s">
        <v>445</v>
      </c>
      <c r="E159" s="15" t="s">
        <v>517</v>
      </c>
      <c r="F159" s="12" t="s">
        <v>672</v>
      </c>
      <c r="G159" s="36"/>
      <c r="H159" s="201">
        <v>-22.07</v>
      </c>
      <c r="I159" s="36">
        <v>489842.42</v>
      </c>
      <c r="J159" s="33" t="s">
        <v>229</v>
      </c>
      <c r="K159" s="164">
        <v>-2</v>
      </c>
      <c r="L159" s="192"/>
      <c r="M159" s="36"/>
    </row>
    <row r="160" spans="1:13" ht="12.75" customHeight="1" x14ac:dyDescent="0.2">
      <c r="A160" s="11" t="s">
        <v>117</v>
      </c>
      <c r="B160" s="35">
        <v>45916</v>
      </c>
      <c r="C160" s="12" t="s">
        <v>444</v>
      </c>
      <c r="D160" s="12" t="s">
        <v>445</v>
      </c>
      <c r="E160" s="15" t="s">
        <v>517</v>
      </c>
      <c r="F160" s="12" t="s">
        <v>673</v>
      </c>
      <c r="G160" s="36"/>
      <c r="H160" s="201">
        <v>-116.5</v>
      </c>
      <c r="I160" s="36">
        <v>489725.92</v>
      </c>
      <c r="J160" s="33" t="s">
        <v>229</v>
      </c>
      <c r="K160" s="164">
        <v>-2</v>
      </c>
      <c r="L160" s="192"/>
      <c r="M160" s="36"/>
    </row>
    <row r="161" spans="1:13" ht="12.75" customHeight="1" x14ac:dyDescent="0.2">
      <c r="A161" s="11" t="s">
        <v>117</v>
      </c>
      <c r="B161" s="35">
        <v>45916</v>
      </c>
      <c r="C161" s="12" t="s">
        <v>444</v>
      </c>
      <c r="D161" s="12" t="s">
        <v>445</v>
      </c>
      <c r="E161" s="15" t="s">
        <v>517</v>
      </c>
      <c r="F161" s="12" t="s">
        <v>674</v>
      </c>
      <c r="G161" s="36"/>
      <c r="H161" s="201">
        <v>-3.9</v>
      </c>
      <c r="I161" s="36">
        <v>489722.02</v>
      </c>
      <c r="J161" s="33" t="s">
        <v>229</v>
      </c>
      <c r="K161" s="164">
        <v>-2</v>
      </c>
      <c r="L161" s="192"/>
      <c r="M161" s="36"/>
    </row>
    <row r="162" spans="1:13" ht="12.75" customHeight="1" x14ac:dyDescent="0.2">
      <c r="A162" s="11" t="s">
        <v>117</v>
      </c>
      <c r="B162" s="35">
        <v>45916</v>
      </c>
      <c r="C162" s="12" t="s">
        <v>444</v>
      </c>
      <c r="D162" s="12" t="s">
        <v>445</v>
      </c>
      <c r="E162" s="15" t="s">
        <v>517</v>
      </c>
      <c r="F162" s="12" t="s">
        <v>675</v>
      </c>
      <c r="G162" s="36"/>
      <c r="H162" s="201">
        <v>-11.98</v>
      </c>
      <c r="I162" s="36">
        <v>489710.04</v>
      </c>
      <c r="J162" s="33" t="s">
        <v>229</v>
      </c>
      <c r="K162" s="164">
        <v>-2</v>
      </c>
      <c r="L162" s="192"/>
      <c r="M162" s="36"/>
    </row>
    <row r="163" spans="1:13" ht="12.75" customHeight="1" x14ac:dyDescent="0.2">
      <c r="A163" s="11" t="s">
        <v>117</v>
      </c>
      <c r="B163" s="35">
        <v>45916</v>
      </c>
      <c r="C163" s="12" t="s">
        <v>444</v>
      </c>
      <c r="D163" s="12" t="s">
        <v>445</v>
      </c>
      <c r="E163" s="15" t="s">
        <v>517</v>
      </c>
      <c r="F163" s="12" t="s">
        <v>676</v>
      </c>
      <c r="G163" s="36"/>
      <c r="H163" s="201">
        <v>-50</v>
      </c>
      <c r="I163" s="36">
        <v>489660.04</v>
      </c>
      <c r="J163" s="33" t="s">
        <v>229</v>
      </c>
      <c r="K163" s="164">
        <v>-2</v>
      </c>
      <c r="L163" s="192"/>
      <c r="M163" s="36"/>
    </row>
    <row r="164" spans="1:13" ht="12.75" customHeight="1" x14ac:dyDescent="0.2">
      <c r="A164" s="11" t="s">
        <v>117</v>
      </c>
      <c r="B164" s="35">
        <v>45916</v>
      </c>
      <c r="C164" s="12" t="s">
        <v>444</v>
      </c>
      <c r="D164" s="12" t="s">
        <v>445</v>
      </c>
      <c r="E164" s="15" t="s">
        <v>517</v>
      </c>
      <c r="F164" s="12" t="s">
        <v>677</v>
      </c>
      <c r="G164" s="36"/>
      <c r="H164" s="201">
        <v>-84.8</v>
      </c>
      <c r="I164" s="36">
        <v>489575.24</v>
      </c>
      <c r="J164" s="33" t="s">
        <v>229</v>
      </c>
      <c r="K164" s="164">
        <v>-2</v>
      </c>
      <c r="L164" s="192"/>
      <c r="M164" s="36"/>
    </row>
    <row r="165" spans="1:13" ht="12.75" customHeight="1" x14ac:dyDescent="0.2">
      <c r="A165" s="11" t="s">
        <v>117</v>
      </c>
      <c r="B165" s="35">
        <v>45916</v>
      </c>
      <c r="C165" s="12" t="s">
        <v>444</v>
      </c>
      <c r="D165" s="12" t="s">
        <v>445</v>
      </c>
      <c r="E165" s="15" t="s">
        <v>517</v>
      </c>
      <c r="F165" s="12" t="s">
        <v>678</v>
      </c>
      <c r="G165" s="36"/>
      <c r="H165" s="201">
        <v>-9.57</v>
      </c>
      <c r="I165" s="36">
        <v>489565.67</v>
      </c>
      <c r="J165" s="33" t="s">
        <v>229</v>
      </c>
      <c r="K165" s="164">
        <v>-2</v>
      </c>
      <c r="L165" s="192"/>
      <c r="M165" s="36"/>
    </row>
    <row r="166" spans="1:13" ht="12.75" customHeight="1" x14ac:dyDescent="0.2">
      <c r="A166" s="11" t="s">
        <v>117</v>
      </c>
      <c r="B166" s="35">
        <v>45916</v>
      </c>
      <c r="C166" s="12" t="s">
        <v>444</v>
      </c>
      <c r="D166" s="12" t="s">
        <v>445</v>
      </c>
      <c r="E166" s="15" t="s">
        <v>517</v>
      </c>
      <c r="F166" s="12" t="s">
        <v>679</v>
      </c>
      <c r="G166" s="36"/>
      <c r="H166" s="201">
        <v>-218.67</v>
      </c>
      <c r="I166" s="36">
        <v>489347</v>
      </c>
      <c r="J166" s="33" t="s">
        <v>229</v>
      </c>
      <c r="K166" s="164">
        <v>-2</v>
      </c>
      <c r="L166" s="192"/>
      <c r="M166" s="36"/>
    </row>
    <row r="167" spans="1:13" ht="12.75" customHeight="1" x14ac:dyDescent="0.2">
      <c r="A167" s="11" t="s">
        <v>117</v>
      </c>
      <c r="B167" s="35">
        <v>45916</v>
      </c>
      <c r="C167" s="12" t="s">
        <v>444</v>
      </c>
      <c r="D167" s="12" t="s">
        <v>445</v>
      </c>
      <c r="E167" s="15" t="s">
        <v>517</v>
      </c>
      <c r="F167" s="12" t="s">
        <v>680</v>
      </c>
      <c r="G167" s="36"/>
      <c r="H167" s="201">
        <v>-128.59</v>
      </c>
      <c r="I167" s="36">
        <v>489218.41</v>
      </c>
      <c r="J167" s="33" t="s">
        <v>229</v>
      </c>
      <c r="K167" s="164">
        <v>-2</v>
      </c>
      <c r="L167" s="192"/>
      <c r="M167" s="36"/>
    </row>
    <row r="168" spans="1:13" ht="12.75" customHeight="1" x14ac:dyDescent="0.2">
      <c r="A168" s="11" t="s">
        <v>117</v>
      </c>
      <c r="B168" s="35">
        <v>45916</v>
      </c>
      <c r="C168" s="12" t="s">
        <v>444</v>
      </c>
      <c r="D168" s="12" t="s">
        <v>445</v>
      </c>
      <c r="E168" s="15" t="s">
        <v>517</v>
      </c>
      <c r="F168" s="12" t="s">
        <v>681</v>
      </c>
      <c r="G168" s="36"/>
      <c r="H168" s="201">
        <v>-22.54</v>
      </c>
      <c r="I168" s="36">
        <v>489195.87</v>
      </c>
      <c r="J168" s="33" t="s">
        <v>229</v>
      </c>
      <c r="K168" s="164">
        <v>-2</v>
      </c>
      <c r="L168" s="192"/>
      <c r="M168" s="36"/>
    </row>
    <row r="169" spans="1:13" ht="12.75" customHeight="1" x14ac:dyDescent="0.2">
      <c r="A169" s="11" t="s">
        <v>117</v>
      </c>
      <c r="B169" s="35">
        <v>45916</v>
      </c>
      <c r="C169" s="12" t="s">
        <v>444</v>
      </c>
      <c r="D169" s="12" t="s">
        <v>445</v>
      </c>
      <c r="E169" s="15" t="s">
        <v>517</v>
      </c>
      <c r="F169" s="12" t="s">
        <v>682</v>
      </c>
      <c r="G169" s="36"/>
      <c r="H169" s="201">
        <v>-229.07</v>
      </c>
      <c r="I169" s="36">
        <v>488966.8</v>
      </c>
      <c r="J169" s="33" t="s">
        <v>229</v>
      </c>
      <c r="K169" s="164">
        <v>-2</v>
      </c>
      <c r="L169" s="192"/>
      <c r="M169" s="36"/>
    </row>
    <row r="170" spans="1:13" ht="12.75" customHeight="1" x14ac:dyDescent="0.2">
      <c r="A170" s="11" t="s">
        <v>117</v>
      </c>
      <c r="B170" s="35">
        <v>45916</v>
      </c>
      <c r="C170" s="12" t="s">
        <v>444</v>
      </c>
      <c r="D170" s="12" t="s">
        <v>445</v>
      </c>
      <c r="E170" s="15" t="s">
        <v>517</v>
      </c>
      <c r="F170" s="12" t="s">
        <v>683</v>
      </c>
      <c r="G170" s="36"/>
      <c r="H170" s="201">
        <v>-24.24</v>
      </c>
      <c r="I170" s="36">
        <v>488942.56</v>
      </c>
      <c r="J170" s="33" t="s">
        <v>229</v>
      </c>
      <c r="K170" s="164">
        <v>-2</v>
      </c>
      <c r="L170" s="192"/>
      <c r="M170" s="36"/>
    </row>
    <row r="171" spans="1:13" ht="12.75" customHeight="1" x14ac:dyDescent="0.2">
      <c r="A171" s="11" t="s">
        <v>117</v>
      </c>
      <c r="B171" s="35">
        <v>45916</v>
      </c>
      <c r="C171" s="12" t="s">
        <v>444</v>
      </c>
      <c r="D171" s="12" t="s">
        <v>445</v>
      </c>
      <c r="E171" s="15" t="s">
        <v>517</v>
      </c>
      <c r="F171" s="12" t="s">
        <v>684</v>
      </c>
      <c r="G171" s="36"/>
      <c r="H171" s="201">
        <v>-23.12</v>
      </c>
      <c r="I171" s="36">
        <v>488919.44</v>
      </c>
      <c r="J171" s="33" t="s">
        <v>229</v>
      </c>
      <c r="K171" s="164">
        <v>-2</v>
      </c>
      <c r="L171" s="192"/>
      <c r="M171" s="36"/>
    </row>
    <row r="172" spans="1:13" ht="12.75" customHeight="1" x14ac:dyDescent="0.2">
      <c r="A172" s="11" t="s">
        <v>117</v>
      </c>
      <c r="B172" s="35">
        <v>45916</v>
      </c>
      <c r="C172" s="12" t="s">
        <v>444</v>
      </c>
      <c r="D172" s="12" t="s">
        <v>445</v>
      </c>
      <c r="E172" s="15" t="s">
        <v>517</v>
      </c>
      <c r="F172" s="12" t="s">
        <v>685</v>
      </c>
      <c r="G172" s="36"/>
      <c r="H172" s="201">
        <v>-79.3</v>
      </c>
      <c r="I172" s="36">
        <v>488840.14</v>
      </c>
      <c r="J172" s="33" t="s">
        <v>229</v>
      </c>
      <c r="K172" s="164">
        <v>-2</v>
      </c>
      <c r="L172" s="192"/>
      <c r="M172" s="36"/>
    </row>
    <row r="173" spans="1:13" ht="12.75" customHeight="1" x14ac:dyDescent="0.2">
      <c r="A173" s="11" t="s">
        <v>117</v>
      </c>
      <c r="B173" s="35">
        <v>45916</v>
      </c>
      <c r="C173" s="12" t="s">
        <v>444</v>
      </c>
      <c r="D173" s="12" t="s">
        <v>445</v>
      </c>
      <c r="E173" s="15" t="s">
        <v>517</v>
      </c>
      <c r="F173" s="12" t="s">
        <v>686</v>
      </c>
      <c r="G173" s="36"/>
      <c r="H173" s="201">
        <v>-213</v>
      </c>
      <c r="I173" s="36">
        <v>488627.14</v>
      </c>
      <c r="J173" s="33" t="s">
        <v>229</v>
      </c>
      <c r="K173" s="164">
        <v>-2</v>
      </c>
      <c r="L173" s="192"/>
      <c r="M173" s="36"/>
    </row>
    <row r="174" spans="1:13" ht="12.75" customHeight="1" x14ac:dyDescent="0.2">
      <c r="A174" s="11" t="s">
        <v>117</v>
      </c>
      <c r="B174" s="35">
        <v>45916</v>
      </c>
      <c r="C174" s="12" t="s">
        <v>444</v>
      </c>
      <c r="D174" s="12" t="s">
        <v>445</v>
      </c>
      <c r="E174" s="15" t="s">
        <v>517</v>
      </c>
      <c r="F174" s="12" t="s">
        <v>687</v>
      </c>
      <c r="G174" s="36"/>
      <c r="H174" s="201">
        <v>-17.010000000000002</v>
      </c>
      <c r="I174" s="36">
        <v>488610.13</v>
      </c>
      <c r="J174" s="33" t="s">
        <v>229</v>
      </c>
      <c r="K174" s="164">
        <v>-2</v>
      </c>
      <c r="L174" s="192"/>
      <c r="M174" s="36"/>
    </row>
    <row r="175" spans="1:13" ht="12.75" customHeight="1" x14ac:dyDescent="0.2">
      <c r="A175" s="11" t="s">
        <v>117</v>
      </c>
      <c r="B175" s="35">
        <v>45916</v>
      </c>
      <c r="C175" s="12" t="s">
        <v>444</v>
      </c>
      <c r="D175" s="12" t="s">
        <v>445</v>
      </c>
      <c r="E175" s="15" t="s">
        <v>517</v>
      </c>
      <c r="F175" s="12" t="s">
        <v>688</v>
      </c>
      <c r="G175" s="36"/>
      <c r="H175" s="201">
        <v>-425.57</v>
      </c>
      <c r="I175" s="36">
        <v>488184.56</v>
      </c>
      <c r="J175" s="33" t="s">
        <v>229</v>
      </c>
      <c r="K175" s="164">
        <v>-2</v>
      </c>
      <c r="L175" s="192"/>
      <c r="M175" s="36"/>
    </row>
    <row r="176" spans="1:13" ht="12.75" customHeight="1" x14ac:dyDescent="0.2">
      <c r="A176" s="11" t="s">
        <v>117</v>
      </c>
      <c r="B176" s="35">
        <v>45916</v>
      </c>
      <c r="C176" s="12" t="s">
        <v>444</v>
      </c>
      <c r="D176" s="12" t="s">
        <v>445</v>
      </c>
      <c r="E176" s="15" t="s">
        <v>517</v>
      </c>
      <c r="F176" s="12" t="s">
        <v>689</v>
      </c>
      <c r="G176" s="36"/>
      <c r="H176" s="201">
        <v>-35.06</v>
      </c>
      <c r="I176" s="36">
        <v>488149.5</v>
      </c>
      <c r="J176" s="33" t="s">
        <v>229</v>
      </c>
      <c r="K176" s="164">
        <v>-2</v>
      </c>
      <c r="L176" s="192"/>
      <c r="M176" s="36"/>
    </row>
    <row r="177" spans="1:13" ht="12.75" customHeight="1" x14ac:dyDescent="0.2">
      <c r="A177" s="11" t="s">
        <v>117</v>
      </c>
      <c r="B177" s="35">
        <v>45916</v>
      </c>
      <c r="C177" s="12" t="s">
        <v>444</v>
      </c>
      <c r="D177" s="12" t="s">
        <v>445</v>
      </c>
      <c r="E177" s="15" t="s">
        <v>517</v>
      </c>
      <c r="F177" s="12" t="s">
        <v>690</v>
      </c>
      <c r="G177" s="36"/>
      <c r="H177" s="201">
        <v>-26.63</v>
      </c>
      <c r="I177" s="36">
        <v>488122.87</v>
      </c>
      <c r="J177" s="33" t="s">
        <v>229</v>
      </c>
      <c r="K177" s="164">
        <v>-2</v>
      </c>
      <c r="L177" s="192"/>
      <c r="M177" s="36"/>
    </row>
    <row r="178" spans="1:13" ht="12.75" customHeight="1" x14ac:dyDescent="0.2">
      <c r="A178" s="11" t="s">
        <v>117</v>
      </c>
      <c r="B178" s="35">
        <v>45916</v>
      </c>
      <c r="C178" s="12" t="s">
        <v>444</v>
      </c>
      <c r="D178" s="12" t="s">
        <v>445</v>
      </c>
      <c r="E178" s="15" t="s">
        <v>517</v>
      </c>
      <c r="F178" s="12" t="s">
        <v>691</v>
      </c>
      <c r="G178" s="36"/>
      <c r="H178" s="201">
        <v>-132.62</v>
      </c>
      <c r="I178" s="36">
        <v>487990.25</v>
      </c>
      <c r="J178" s="33" t="s">
        <v>229</v>
      </c>
      <c r="K178" s="164">
        <v>-2</v>
      </c>
      <c r="L178" s="192"/>
      <c r="M178" s="36"/>
    </row>
    <row r="179" spans="1:13" ht="12.75" customHeight="1" x14ac:dyDescent="0.2">
      <c r="A179" s="11" t="s">
        <v>117</v>
      </c>
      <c r="B179" s="35">
        <v>45916</v>
      </c>
      <c r="C179" s="12" t="s">
        <v>444</v>
      </c>
      <c r="D179" s="12" t="s">
        <v>445</v>
      </c>
      <c r="E179" s="15" t="s">
        <v>517</v>
      </c>
      <c r="F179" s="12" t="s">
        <v>692</v>
      </c>
      <c r="G179" s="36"/>
      <c r="H179" s="201">
        <v>-17.53</v>
      </c>
      <c r="I179" s="36">
        <v>487972.72</v>
      </c>
      <c r="J179" s="33" t="s">
        <v>229</v>
      </c>
      <c r="K179" s="164">
        <v>-2</v>
      </c>
      <c r="L179" s="192"/>
      <c r="M179" s="36"/>
    </row>
    <row r="180" spans="1:13" ht="12.75" customHeight="1" x14ac:dyDescent="0.2">
      <c r="A180" s="11" t="s">
        <v>117</v>
      </c>
      <c r="B180" s="35">
        <v>45916</v>
      </c>
      <c r="C180" s="12" t="s">
        <v>444</v>
      </c>
      <c r="D180" s="12" t="s">
        <v>445</v>
      </c>
      <c r="E180" s="15" t="s">
        <v>517</v>
      </c>
      <c r="F180" s="12" t="s">
        <v>693</v>
      </c>
      <c r="G180" s="36"/>
      <c r="H180" s="201">
        <v>-245.04</v>
      </c>
      <c r="I180" s="36">
        <v>487727.68</v>
      </c>
      <c r="J180" s="33" t="s">
        <v>229</v>
      </c>
      <c r="K180" s="164">
        <v>-2</v>
      </c>
      <c r="L180" s="192"/>
      <c r="M180" s="36"/>
    </row>
    <row r="181" spans="1:13" ht="12.75" customHeight="1" x14ac:dyDescent="0.2">
      <c r="A181" s="11" t="s">
        <v>117</v>
      </c>
      <c r="B181" s="35">
        <v>45916</v>
      </c>
      <c r="C181" s="12" t="s">
        <v>444</v>
      </c>
      <c r="D181" s="12" t="s">
        <v>445</v>
      </c>
      <c r="E181" s="15" t="s">
        <v>517</v>
      </c>
      <c r="F181" s="12" t="s">
        <v>694</v>
      </c>
      <c r="G181" s="36"/>
      <c r="H181" s="201">
        <v>-100.3</v>
      </c>
      <c r="I181" s="36">
        <v>487627.38</v>
      </c>
      <c r="J181" s="33" t="s">
        <v>229</v>
      </c>
      <c r="K181" s="164">
        <v>-2</v>
      </c>
      <c r="L181" s="192"/>
      <c r="M181" s="36"/>
    </row>
    <row r="182" spans="1:13" ht="12.75" customHeight="1" x14ac:dyDescent="0.2">
      <c r="A182" s="11" t="s">
        <v>117</v>
      </c>
      <c r="B182" s="35">
        <v>45916</v>
      </c>
      <c r="C182" s="12" t="s">
        <v>444</v>
      </c>
      <c r="D182" s="12" t="s">
        <v>445</v>
      </c>
      <c r="E182" s="15" t="s">
        <v>517</v>
      </c>
      <c r="F182" s="12" t="s">
        <v>695</v>
      </c>
      <c r="G182" s="36"/>
      <c r="H182" s="201">
        <v>-213.4</v>
      </c>
      <c r="I182" s="36">
        <v>487413.98</v>
      </c>
      <c r="J182" s="33" t="s">
        <v>229</v>
      </c>
      <c r="K182" s="164">
        <v>-2</v>
      </c>
      <c r="L182" s="192"/>
      <c r="M182" s="36"/>
    </row>
    <row r="183" spans="1:13" ht="12.75" customHeight="1" x14ac:dyDescent="0.2">
      <c r="A183" s="11" t="s">
        <v>117</v>
      </c>
      <c r="B183" s="35">
        <v>45916</v>
      </c>
      <c r="C183" s="12" t="s">
        <v>444</v>
      </c>
      <c r="D183" s="12" t="s">
        <v>445</v>
      </c>
      <c r="E183" s="15" t="s">
        <v>517</v>
      </c>
      <c r="F183" s="12" t="s">
        <v>696</v>
      </c>
      <c r="G183" s="36"/>
      <c r="H183" s="201">
        <v>-39.409999999999997</v>
      </c>
      <c r="I183" s="36">
        <v>487374.57</v>
      </c>
      <c r="J183" s="33" t="s">
        <v>229</v>
      </c>
      <c r="K183" s="164">
        <v>-2</v>
      </c>
      <c r="L183" s="192"/>
      <c r="M183" s="36"/>
    </row>
    <row r="184" spans="1:13" ht="12.75" customHeight="1" x14ac:dyDescent="0.2">
      <c r="A184" s="11" t="s">
        <v>117</v>
      </c>
      <c r="B184" s="35">
        <v>45916</v>
      </c>
      <c r="C184" s="12" t="s">
        <v>444</v>
      </c>
      <c r="D184" s="12" t="s">
        <v>445</v>
      </c>
      <c r="E184" s="15" t="s">
        <v>517</v>
      </c>
      <c r="F184" s="12" t="s">
        <v>697</v>
      </c>
      <c r="G184" s="36"/>
      <c r="H184" s="201">
        <v>-63.83</v>
      </c>
      <c r="I184" s="36">
        <v>487310.74</v>
      </c>
      <c r="J184" s="33" t="s">
        <v>229</v>
      </c>
      <c r="K184" s="164">
        <v>-2</v>
      </c>
      <c r="L184" s="192"/>
      <c r="M184" s="36"/>
    </row>
    <row r="185" spans="1:13" ht="12.75" customHeight="1" x14ac:dyDescent="0.2">
      <c r="A185" s="11" t="s">
        <v>117</v>
      </c>
      <c r="B185" s="35">
        <v>45916</v>
      </c>
      <c r="C185" s="12" t="s">
        <v>444</v>
      </c>
      <c r="D185" s="12" t="s">
        <v>445</v>
      </c>
      <c r="E185" s="15" t="s">
        <v>517</v>
      </c>
      <c r="F185" s="12" t="s">
        <v>698</v>
      </c>
      <c r="G185" s="36"/>
      <c r="H185" s="201">
        <v>-28.73</v>
      </c>
      <c r="I185" s="36">
        <v>487282.01</v>
      </c>
      <c r="J185" s="33" t="s">
        <v>229</v>
      </c>
      <c r="K185" s="164">
        <v>-2</v>
      </c>
      <c r="L185" s="192"/>
      <c r="M185" s="36"/>
    </row>
    <row r="186" spans="1:13" ht="12.75" customHeight="1" x14ac:dyDescent="0.2">
      <c r="A186" s="11" t="s">
        <v>117</v>
      </c>
      <c r="B186" s="35">
        <v>45916</v>
      </c>
      <c r="C186" s="12" t="s">
        <v>444</v>
      </c>
      <c r="D186" s="12" t="s">
        <v>445</v>
      </c>
      <c r="E186" s="15" t="s">
        <v>517</v>
      </c>
      <c r="F186" s="12" t="s">
        <v>699</v>
      </c>
      <c r="G186" s="36"/>
      <c r="H186" s="201">
        <v>-16.170000000000002</v>
      </c>
      <c r="I186" s="36">
        <v>487265.84</v>
      </c>
      <c r="J186" s="33" t="s">
        <v>229</v>
      </c>
      <c r="K186" s="164">
        <v>-2</v>
      </c>
      <c r="L186" s="192"/>
      <c r="M186" s="36"/>
    </row>
    <row r="187" spans="1:13" ht="12.75" customHeight="1" x14ac:dyDescent="0.2">
      <c r="A187" s="11" t="s">
        <v>117</v>
      </c>
      <c r="B187" s="35">
        <v>45916</v>
      </c>
      <c r="C187" s="12" t="s">
        <v>444</v>
      </c>
      <c r="D187" s="12" t="s">
        <v>445</v>
      </c>
      <c r="E187" s="15" t="s">
        <v>517</v>
      </c>
      <c r="F187" s="12" t="s">
        <v>700</v>
      </c>
      <c r="G187" s="36"/>
      <c r="H187" s="201">
        <v>-72.03</v>
      </c>
      <c r="I187" s="36">
        <v>487193.81</v>
      </c>
      <c r="J187" s="33" t="s">
        <v>229</v>
      </c>
      <c r="K187" s="164">
        <v>-2</v>
      </c>
      <c r="L187" s="192"/>
      <c r="M187" s="36"/>
    </row>
    <row r="188" spans="1:13" ht="12.75" customHeight="1" x14ac:dyDescent="0.2">
      <c r="A188" s="11" t="s">
        <v>117</v>
      </c>
      <c r="B188" s="35">
        <v>45916</v>
      </c>
      <c r="C188" s="12" t="s">
        <v>444</v>
      </c>
      <c r="D188" s="12" t="s">
        <v>445</v>
      </c>
      <c r="E188" s="15" t="s">
        <v>517</v>
      </c>
      <c r="F188" s="12" t="s">
        <v>139</v>
      </c>
      <c r="G188" s="36"/>
      <c r="H188" s="201">
        <v>-134.01</v>
      </c>
      <c r="I188" s="36">
        <v>487059.8</v>
      </c>
      <c r="J188" s="33" t="s">
        <v>229</v>
      </c>
      <c r="K188" s="164">
        <v>-2</v>
      </c>
      <c r="L188" s="192"/>
      <c r="M188" s="36"/>
    </row>
    <row r="189" spans="1:13" ht="12.75" customHeight="1" x14ac:dyDescent="0.2">
      <c r="A189" s="11" t="s">
        <v>117</v>
      </c>
      <c r="B189" s="35">
        <v>45916</v>
      </c>
      <c r="C189" s="12" t="s">
        <v>446</v>
      </c>
      <c r="D189" s="12" t="s">
        <v>447</v>
      </c>
      <c r="E189" s="15" t="s">
        <v>517</v>
      </c>
      <c r="F189" s="12" t="s">
        <v>701</v>
      </c>
      <c r="G189" s="36"/>
      <c r="H189" s="77">
        <v>-24</v>
      </c>
      <c r="I189" s="36">
        <v>487035.8</v>
      </c>
      <c r="J189" s="33" t="s">
        <v>229</v>
      </c>
      <c r="K189" s="164">
        <v>-2</v>
      </c>
      <c r="L189" s="192"/>
      <c r="M189" s="36"/>
    </row>
    <row r="190" spans="1:13" ht="12.75" customHeight="1" x14ac:dyDescent="0.2">
      <c r="A190" s="11" t="s">
        <v>117</v>
      </c>
      <c r="B190" s="35">
        <v>45916</v>
      </c>
      <c r="C190" s="12" t="s">
        <v>448</v>
      </c>
      <c r="D190" s="12" t="s">
        <v>119</v>
      </c>
      <c r="E190" s="15" t="s">
        <v>532</v>
      </c>
      <c r="F190" s="12" t="s">
        <v>702</v>
      </c>
      <c r="G190" s="36">
        <v>300</v>
      </c>
      <c r="H190" s="77"/>
      <c r="I190" s="36">
        <v>487335.8</v>
      </c>
      <c r="J190" s="33" t="s">
        <v>226</v>
      </c>
      <c r="K190" s="164">
        <v>2</v>
      </c>
      <c r="L190" s="192"/>
      <c r="M190" s="36"/>
    </row>
    <row r="191" spans="1:13" ht="12.75" customHeight="1" x14ac:dyDescent="0.2">
      <c r="A191" s="11" t="s">
        <v>117</v>
      </c>
      <c r="B191" s="35">
        <v>45916</v>
      </c>
      <c r="C191" s="12" t="s">
        <v>448</v>
      </c>
      <c r="D191" s="12" t="s">
        <v>119</v>
      </c>
      <c r="E191" s="15" t="s">
        <v>532</v>
      </c>
      <c r="F191" s="12" t="s">
        <v>703</v>
      </c>
      <c r="G191" s="36"/>
      <c r="H191" s="77">
        <v>-50</v>
      </c>
      <c r="I191" s="36">
        <v>487285.8</v>
      </c>
      <c r="J191" s="33" t="s">
        <v>223</v>
      </c>
      <c r="K191" s="164">
        <v>-2</v>
      </c>
      <c r="L191" s="192"/>
      <c r="M191" s="36"/>
    </row>
    <row r="192" spans="1:13" ht="12.75" customHeight="1" x14ac:dyDescent="0.2">
      <c r="A192" s="11" t="s">
        <v>117</v>
      </c>
      <c r="B192" s="35">
        <v>45916</v>
      </c>
      <c r="C192" s="12" t="s">
        <v>448</v>
      </c>
      <c r="D192" s="12" t="s">
        <v>119</v>
      </c>
      <c r="E192" s="15" t="s">
        <v>532</v>
      </c>
      <c r="F192" s="12" t="s">
        <v>704</v>
      </c>
      <c r="G192" s="216">
        <v>2186.61</v>
      </c>
      <c r="H192" s="77"/>
      <c r="I192" s="36">
        <v>489472.41</v>
      </c>
      <c r="J192" s="33" t="s">
        <v>223</v>
      </c>
      <c r="K192" s="164">
        <v>2</v>
      </c>
      <c r="L192" s="192"/>
      <c r="M192" s="36"/>
    </row>
    <row r="193" spans="1:13" ht="12.75" customHeight="1" x14ac:dyDescent="0.2">
      <c r="A193" s="11" t="s">
        <v>117</v>
      </c>
      <c r="B193" s="35">
        <v>45916</v>
      </c>
      <c r="C193" s="12" t="s">
        <v>448</v>
      </c>
      <c r="D193" s="12" t="s">
        <v>119</v>
      </c>
      <c r="E193" s="15" t="s">
        <v>532</v>
      </c>
      <c r="F193" s="12" t="s">
        <v>705</v>
      </c>
      <c r="G193" s="216">
        <v>1045.3800000000001</v>
      </c>
      <c r="H193" s="77"/>
      <c r="I193" s="36">
        <v>490517.79</v>
      </c>
      <c r="J193" s="33" t="s">
        <v>223</v>
      </c>
      <c r="K193" s="164">
        <v>2</v>
      </c>
      <c r="L193" s="192"/>
      <c r="M193" s="36"/>
    </row>
    <row r="194" spans="1:13" ht="12.75" customHeight="1" x14ac:dyDescent="0.2">
      <c r="A194" s="11" t="s">
        <v>117</v>
      </c>
      <c r="B194" s="35">
        <v>45917</v>
      </c>
      <c r="C194" s="12" t="s">
        <v>449</v>
      </c>
      <c r="D194" s="12" t="s">
        <v>450</v>
      </c>
      <c r="E194" s="15" t="s">
        <v>517</v>
      </c>
      <c r="F194" s="12" t="s">
        <v>706</v>
      </c>
      <c r="G194" s="36"/>
      <c r="H194" s="201">
        <v>-28.28</v>
      </c>
      <c r="I194" s="36">
        <v>490489.51</v>
      </c>
      <c r="J194" s="33" t="s">
        <v>229</v>
      </c>
      <c r="K194" s="164">
        <v>-2</v>
      </c>
      <c r="L194" s="192"/>
      <c r="M194" s="36"/>
    </row>
    <row r="195" spans="1:13" ht="12.75" customHeight="1" x14ac:dyDescent="0.2">
      <c r="A195" s="11" t="s">
        <v>117</v>
      </c>
      <c r="B195" s="35">
        <v>45917</v>
      </c>
      <c r="C195" s="12" t="s">
        <v>449</v>
      </c>
      <c r="D195" s="12" t="s">
        <v>450</v>
      </c>
      <c r="E195" s="15" t="s">
        <v>517</v>
      </c>
      <c r="F195" s="12" t="s">
        <v>706</v>
      </c>
      <c r="G195" s="36"/>
      <c r="H195" s="201">
        <v>-11.11</v>
      </c>
      <c r="I195" s="36">
        <v>490478.4</v>
      </c>
      <c r="J195" s="33" t="s">
        <v>229</v>
      </c>
      <c r="K195" s="164">
        <v>-2</v>
      </c>
      <c r="L195" s="192"/>
      <c r="M195" s="36"/>
    </row>
    <row r="196" spans="1:13" ht="12.75" customHeight="1" x14ac:dyDescent="0.2">
      <c r="A196" s="11" t="s">
        <v>117</v>
      </c>
      <c r="B196" s="35">
        <v>45917</v>
      </c>
      <c r="C196" s="12" t="s">
        <v>451</v>
      </c>
      <c r="D196" s="12" t="s">
        <v>227</v>
      </c>
      <c r="E196" s="15" t="s">
        <v>120</v>
      </c>
      <c r="F196" s="12" t="s">
        <v>707</v>
      </c>
      <c r="G196" s="36"/>
      <c r="H196" s="77">
        <v>-132.16</v>
      </c>
      <c r="I196" s="36">
        <v>490346.23999999999</v>
      </c>
      <c r="J196" s="33" t="s">
        <v>226</v>
      </c>
      <c r="K196" s="164">
        <v>-2</v>
      </c>
      <c r="L196" s="192"/>
      <c r="M196" s="36"/>
    </row>
    <row r="197" spans="1:13" ht="12.75" customHeight="1" x14ac:dyDescent="0.2">
      <c r="A197" s="11" t="s">
        <v>117</v>
      </c>
      <c r="B197" s="35">
        <v>45917</v>
      </c>
      <c r="C197" s="12" t="s">
        <v>451</v>
      </c>
      <c r="D197" s="12" t="s">
        <v>227</v>
      </c>
      <c r="E197" s="15" t="s">
        <v>120</v>
      </c>
      <c r="F197" s="12" t="s">
        <v>707</v>
      </c>
      <c r="G197" s="36"/>
      <c r="H197" s="77">
        <v>-3986.86</v>
      </c>
      <c r="I197" s="36">
        <v>486359.38</v>
      </c>
      <c r="J197" s="33" t="s">
        <v>226</v>
      </c>
      <c r="K197" s="164">
        <v>-2</v>
      </c>
      <c r="L197" s="192"/>
      <c r="M197" s="36"/>
    </row>
    <row r="198" spans="1:13" ht="12.75" customHeight="1" x14ac:dyDescent="0.2">
      <c r="A198" s="11" t="s">
        <v>117</v>
      </c>
      <c r="B198" s="35">
        <v>45917</v>
      </c>
      <c r="C198" s="12" t="s">
        <v>451</v>
      </c>
      <c r="D198" s="12" t="s">
        <v>227</v>
      </c>
      <c r="E198" s="15" t="s">
        <v>120</v>
      </c>
      <c r="F198" s="12" t="s">
        <v>707</v>
      </c>
      <c r="G198" s="36"/>
      <c r="H198" s="77">
        <v>-6493.42</v>
      </c>
      <c r="I198" s="36">
        <v>479865.96</v>
      </c>
      <c r="J198" s="33" t="s">
        <v>226</v>
      </c>
      <c r="K198" s="164">
        <v>-2</v>
      </c>
      <c r="L198" s="192"/>
      <c r="M198" s="36"/>
    </row>
    <row r="199" spans="1:13" ht="12.75" customHeight="1" x14ac:dyDescent="0.2">
      <c r="A199" s="11" t="s">
        <v>117</v>
      </c>
      <c r="B199" s="35">
        <v>45917</v>
      </c>
      <c r="C199" s="12" t="s">
        <v>451</v>
      </c>
      <c r="D199" s="12" t="s">
        <v>227</v>
      </c>
      <c r="E199" s="15" t="s">
        <v>120</v>
      </c>
      <c r="F199" s="12" t="s">
        <v>707</v>
      </c>
      <c r="G199" s="36"/>
      <c r="H199" s="77">
        <v>-756.42</v>
      </c>
      <c r="I199" s="36">
        <v>479109.54</v>
      </c>
      <c r="J199" s="33" t="s">
        <v>226</v>
      </c>
      <c r="K199" s="164">
        <v>-2</v>
      </c>
      <c r="L199" s="192"/>
      <c r="M199" s="36"/>
    </row>
    <row r="200" spans="1:13" ht="12.75" customHeight="1" x14ac:dyDescent="0.2">
      <c r="A200" s="11" t="s">
        <v>117</v>
      </c>
      <c r="B200" s="35">
        <v>45917</v>
      </c>
      <c r="C200" s="12" t="s">
        <v>451</v>
      </c>
      <c r="D200" s="12" t="s">
        <v>227</v>
      </c>
      <c r="E200" s="15" t="s">
        <v>120</v>
      </c>
      <c r="F200" s="12" t="s">
        <v>707</v>
      </c>
      <c r="G200" s="36"/>
      <c r="H200" s="77">
        <v>-95.04</v>
      </c>
      <c r="I200" s="36">
        <v>479014.5</v>
      </c>
      <c r="J200" s="33" t="s">
        <v>226</v>
      </c>
      <c r="K200" s="164">
        <v>-2</v>
      </c>
      <c r="L200" s="192"/>
      <c r="M200" s="36"/>
    </row>
    <row r="201" spans="1:13" ht="12.75" customHeight="1" x14ac:dyDescent="0.2">
      <c r="A201" s="11" t="s">
        <v>117</v>
      </c>
      <c r="B201" s="35">
        <v>45917</v>
      </c>
      <c r="C201" s="12" t="s">
        <v>451</v>
      </c>
      <c r="D201" s="12" t="s">
        <v>227</v>
      </c>
      <c r="E201" s="15" t="s">
        <v>120</v>
      </c>
      <c r="F201" s="12" t="s">
        <v>707</v>
      </c>
      <c r="G201" s="36">
        <v>496.78</v>
      </c>
      <c r="H201" s="77"/>
      <c r="I201" s="36">
        <v>479511.28</v>
      </c>
      <c r="J201" s="33" t="s">
        <v>226</v>
      </c>
      <c r="K201" s="164">
        <v>-2</v>
      </c>
      <c r="L201" s="192"/>
      <c r="M201" s="36"/>
    </row>
    <row r="202" spans="1:13" ht="12.75" customHeight="1" x14ac:dyDescent="0.2">
      <c r="A202" s="11" t="s">
        <v>117</v>
      </c>
      <c r="B202" s="35">
        <v>45917</v>
      </c>
      <c r="C202" s="12" t="s">
        <v>451</v>
      </c>
      <c r="D202" s="12" t="s">
        <v>227</v>
      </c>
      <c r="E202" s="15" t="s">
        <v>120</v>
      </c>
      <c r="F202" s="12" t="s">
        <v>707</v>
      </c>
      <c r="G202" s="36">
        <v>48.25</v>
      </c>
      <c r="H202" s="77"/>
      <c r="I202" s="36">
        <v>479559.53</v>
      </c>
      <c r="J202" s="33" t="s">
        <v>226</v>
      </c>
      <c r="K202" s="164">
        <v>-2</v>
      </c>
      <c r="L202" s="192"/>
      <c r="M202" s="36"/>
    </row>
    <row r="203" spans="1:13" ht="12.75" customHeight="1" x14ac:dyDescent="0.2">
      <c r="A203" s="11" t="s">
        <v>117</v>
      </c>
      <c r="B203" s="35">
        <v>45917</v>
      </c>
      <c r="C203" s="12" t="s">
        <v>451</v>
      </c>
      <c r="D203" s="12" t="s">
        <v>227</v>
      </c>
      <c r="E203" s="15" t="s">
        <v>120</v>
      </c>
      <c r="F203" s="12" t="s">
        <v>707</v>
      </c>
      <c r="G203" s="36">
        <v>80.44</v>
      </c>
      <c r="H203" s="77"/>
      <c r="I203" s="36">
        <v>479639.97</v>
      </c>
      <c r="J203" s="33" t="s">
        <v>226</v>
      </c>
      <c r="K203" s="164">
        <v>-2</v>
      </c>
      <c r="L203" s="192"/>
      <c r="M203" s="36"/>
    </row>
    <row r="204" spans="1:13" ht="12.75" customHeight="1" x14ac:dyDescent="0.2">
      <c r="A204" s="11" t="s">
        <v>117</v>
      </c>
      <c r="B204" s="35">
        <v>45917</v>
      </c>
      <c r="C204" s="12" t="s">
        <v>451</v>
      </c>
      <c r="D204" s="12" t="s">
        <v>227</v>
      </c>
      <c r="E204" s="15" t="s">
        <v>120</v>
      </c>
      <c r="F204" s="12" t="s">
        <v>707</v>
      </c>
      <c r="G204" s="36">
        <v>14.97</v>
      </c>
      <c r="H204" s="77"/>
      <c r="I204" s="36">
        <v>479654.94</v>
      </c>
      <c r="J204" s="33" t="s">
        <v>226</v>
      </c>
      <c r="K204" s="164">
        <v>-2</v>
      </c>
      <c r="L204" s="192"/>
      <c r="M204" s="36"/>
    </row>
    <row r="205" spans="1:13" ht="12.75" customHeight="1" x14ac:dyDescent="0.2">
      <c r="A205" s="11" t="s">
        <v>117</v>
      </c>
      <c r="B205" s="35">
        <v>45917</v>
      </c>
      <c r="C205" s="12" t="s">
        <v>451</v>
      </c>
      <c r="D205" s="12" t="s">
        <v>227</v>
      </c>
      <c r="E205" s="15" t="s">
        <v>120</v>
      </c>
      <c r="F205" s="12" t="s">
        <v>708</v>
      </c>
      <c r="G205" s="36"/>
      <c r="H205" s="77">
        <v>-148.08000000000001</v>
      </c>
      <c r="I205" s="36">
        <v>479506.86</v>
      </c>
      <c r="J205" s="33" t="s">
        <v>226</v>
      </c>
      <c r="K205" s="164">
        <v>-2</v>
      </c>
      <c r="L205" s="192"/>
      <c r="M205" s="36"/>
    </row>
    <row r="206" spans="1:13" ht="12.75" customHeight="1" x14ac:dyDescent="0.2">
      <c r="A206" s="11" t="s">
        <v>117</v>
      </c>
      <c r="B206" s="35">
        <v>45917</v>
      </c>
      <c r="C206" s="12" t="s">
        <v>451</v>
      </c>
      <c r="D206" s="12" t="s">
        <v>227</v>
      </c>
      <c r="E206" s="15" t="s">
        <v>120</v>
      </c>
      <c r="F206" s="12" t="s">
        <v>708</v>
      </c>
      <c r="G206" s="36"/>
      <c r="H206" s="77">
        <v>-11.18</v>
      </c>
      <c r="I206" s="36">
        <v>479495.67999999999</v>
      </c>
      <c r="J206" s="33" t="s">
        <v>226</v>
      </c>
      <c r="K206" s="164">
        <v>-2</v>
      </c>
      <c r="L206" s="192"/>
      <c r="M206" s="36"/>
    </row>
    <row r="207" spans="1:13" ht="12.75" customHeight="1" x14ac:dyDescent="0.2">
      <c r="A207" s="11" t="s">
        <v>117</v>
      </c>
      <c r="B207" s="35">
        <v>45917</v>
      </c>
      <c r="C207" s="12" t="s">
        <v>451</v>
      </c>
      <c r="D207" s="12" t="s">
        <v>227</v>
      </c>
      <c r="E207" s="15" t="s">
        <v>120</v>
      </c>
      <c r="F207" s="12" t="s">
        <v>708</v>
      </c>
      <c r="G207" s="36"/>
      <c r="H207" s="77">
        <v>-5.92</v>
      </c>
      <c r="I207" s="36">
        <v>479489.76</v>
      </c>
      <c r="J207" s="33" t="s">
        <v>226</v>
      </c>
      <c r="K207" s="164">
        <v>-2</v>
      </c>
      <c r="L207" s="192"/>
      <c r="M207" s="36"/>
    </row>
    <row r="208" spans="1:13" ht="12.75" customHeight="1" x14ac:dyDescent="0.2">
      <c r="A208" s="11" t="s">
        <v>117</v>
      </c>
      <c r="B208" s="35">
        <v>45917</v>
      </c>
      <c r="C208" s="12" t="s">
        <v>451</v>
      </c>
      <c r="D208" s="12" t="s">
        <v>227</v>
      </c>
      <c r="E208" s="15" t="s">
        <v>120</v>
      </c>
      <c r="F208" s="12" t="s">
        <v>708</v>
      </c>
      <c r="G208" s="36">
        <v>1.66</v>
      </c>
      <c r="H208" s="77"/>
      <c r="I208" s="36">
        <v>479491.42</v>
      </c>
      <c r="J208" s="33" t="s">
        <v>226</v>
      </c>
      <c r="K208" s="164">
        <v>-2</v>
      </c>
      <c r="L208" s="192"/>
      <c r="M208" s="36"/>
    </row>
    <row r="209" spans="1:13" ht="12.75" customHeight="1" x14ac:dyDescent="0.2">
      <c r="A209" s="11" t="s">
        <v>117</v>
      </c>
      <c r="B209" s="35">
        <v>45917</v>
      </c>
      <c r="C209" s="12" t="s">
        <v>451</v>
      </c>
      <c r="D209" s="12" t="s">
        <v>227</v>
      </c>
      <c r="E209" s="15" t="s">
        <v>120</v>
      </c>
      <c r="F209" s="12" t="s">
        <v>708</v>
      </c>
      <c r="G209" s="36">
        <v>0.27</v>
      </c>
      <c r="H209" s="77"/>
      <c r="I209" s="36">
        <v>479491.69</v>
      </c>
      <c r="J209" s="33" t="s">
        <v>226</v>
      </c>
      <c r="K209" s="164">
        <v>-2</v>
      </c>
      <c r="L209" s="192"/>
      <c r="M209" s="36"/>
    </row>
    <row r="210" spans="1:13" ht="12.75" customHeight="1" x14ac:dyDescent="0.2">
      <c r="A210" s="11" t="s">
        <v>117</v>
      </c>
      <c r="B210" s="35">
        <v>45917</v>
      </c>
      <c r="C210" s="12" t="s">
        <v>451</v>
      </c>
      <c r="D210" s="12" t="s">
        <v>227</v>
      </c>
      <c r="E210" s="15" t="s">
        <v>120</v>
      </c>
      <c r="F210" s="12" t="s">
        <v>709</v>
      </c>
      <c r="G210" s="36"/>
      <c r="H210" s="77">
        <v>-6.63</v>
      </c>
      <c r="I210" s="36">
        <v>479485.06</v>
      </c>
      <c r="J210" s="33" t="s">
        <v>226</v>
      </c>
      <c r="K210" s="164">
        <v>-2</v>
      </c>
      <c r="L210" s="192"/>
      <c r="M210" s="36"/>
    </row>
    <row r="211" spans="1:13" ht="12.75" customHeight="1" x14ac:dyDescent="0.2">
      <c r="A211" s="11" t="s">
        <v>117</v>
      </c>
      <c r="B211" s="35">
        <v>45917</v>
      </c>
      <c r="C211" s="12" t="s">
        <v>451</v>
      </c>
      <c r="D211" s="12" t="s">
        <v>227</v>
      </c>
      <c r="E211" s="15" t="s">
        <v>120</v>
      </c>
      <c r="F211" s="12" t="s">
        <v>709</v>
      </c>
      <c r="G211" s="36"/>
      <c r="H211" s="77">
        <v>-0.51</v>
      </c>
      <c r="I211" s="36">
        <v>479484.55</v>
      </c>
      <c r="J211" s="33" t="s">
        <v>226</v>
      </c>
      <c r="K211" s="164">
        <v>-2</v>
      </c>
      <c r="L211" s="192"/>
      <c r="M211" s="36"/>
    </row>
    <row r="212" spans="1:13" ht="12.75" customHeight="1" x14ac:dyDescent="0.2">
      <c r="A212" s="11" t="s">
        <v>117</v>
      </c>
      <c r="B212" s="35">
        <v>45917</v>
      </c>
      <c r="C212" s="12" t="s">
        <v>452</v>
      </c>
      <c r="D212" s="12" t="s">
        <v>119</v>
      </c>
      <c r="E212" s="15" t="s">
        <v>533</v>
      </c>
      <c r="F212" s="12" t="s">
        <v>710</v>
      </c>
      <c r="G212" s="36">
        <v>2079.9499999999998</v>
      </c>
      <c r="H212" s="77"/>
      <c r="I212" s="36">
        <v>481564.5</v>
      </c>
      <c r="J212" s="33" t="s">
        <v>226</v>
      </c>
      <c r="K212" s="164">
        <v>2</v>
      </c>
      <c r="L212" s="192"/>
      <c r="M212" s="36"/>
    </row>
    <row r="213" spans="1:13" ht="12.75" customHeight="1" x14ac:dyDescent="0.2">
      <c r="A213" s="11" t="s">
        <v>117</v>
      </c>
      <c r="B213" s="35">
        <v>45918</v>
      </c>
      <c r="C213" s="12" t="s">
        <v>453</v>
      </c>
      <c r="D213" s="12" t="s">
        <v>454</v>
      </c>
      <c r="E213" s="15" t="s">
        <v>534</v>
      </c>
      <c r="F213" s="12" t="s">
        <v>711</v>
      </c>
      <c r="G213" s="36"/>
      <c r="H213" s="77">
        <v>-3963.75</v>
      </c>
      <c r="I213" s="36">
        <v>477600.75</v>
      </c>
      <c r="J213" s="33" t="s">
        <v>232</v>
      </c>
      <c r="K213" s="164">
        <v>-2</v>
      </c>
      <c r="L213" s="192"/>
      <c r="M213" s="36"/>
    </row>
    <row r="214" spans="1:13" ht="12.75" customHeight="1" x14ac:dyDescent="0.2">
      <c r="A214" s="11" t="s">
        <v>117</v>
      </c>
      <c r="B214" s="35">
        <v>45918</v>
      </c>
      <c r="C214" s="12" t="s">
        <v>453</v>
      </c>
      <c r="D214" s="12" t="s">
        <v>454</v>
      </c>
      <c r="E214" s="15" t="s">
        <v>534</v>
      </c>
      <c r="F214" s="12" t="s">
        <v>711</v>
      </c>
      <c r="G214" s="36"/>
      <c r="H214" s="77">
        <v>-14.3</v>
      </c>
      <c r="I214" s="36">
        <v>477586.45</v>
      </c>
      <c r="J214" s="33" t="s">
        <v>232</v>
      </c>
      <c r="K214" s="164">
        <v>-2</v>
      </c>
      <c r="L214" s="192"/>
      <c r="M214" s="36"/>
    </row>
    <row r="215" spans="1:13" ht="12.75" customHeight="1" x14ac:dyDescent="0.2">
      <c r="A215" s="11" t="s">
        <v>117</v>
      </c>
      <c r="B215" s="35">
        <v>45918</v>
      </c>
      <c r="C215" s="12" t="s">
        <v>453</v>
      </c>
      <c r="D215" s="12" t="s">
        <v>454</v>
      </c>
      <c r="E215" s="15" t="s">
        <v>534</v>
      </c>
      <c r="F215" s="12" t="s">
        <v>711</v>
      </c>
      <c r="G215" s="36"/>
      <c r="H215" s="77">
        <v>-1581</v>
      </c>
      <c r="I215" s="36">
        <v>476005.45</v>
      </c>
      <c r="J215" s="33" t="s">
        <v>232</v>
      </c>
      <c r="K215" s="164">
        <v>-2</v>
      </c>
      <c r="L215" s="192"/>
      <c r="M215" s="36"/>
    </row>
    <row r="216" spans="1:13" ht="12.75" customHeight="1" x14ac:dyDescent="0.2">
      <c r="A216" s="11" t="s">
        <v>117</v>
      </c>
      <c r="B216" s="35">
        <v>45918</v>
      </c>
      <c r="C216" s="12" t="s">
        <v>453</v>
      </c>
      <c r="D216" s="12" t="s">
        <v>454</v>
      </c>
      <c r="E216" s="15" t="s">
        <v>534</v>
      </c>
      <c r="F216" s="12" t="s">
        <v>712</v>
      </c>
      <c r="G216" s="36"/>
      <c r="H216" s="77">
        <v>-1325</v>
      </c>
      <c r="I216" s="36">
        <v>474680.45</v>
      </c>
      <c r="J216" s="33" t="s">
        <v>232</v>
      </c>
      <c r="K216" s="164">
        <v>-2</v>
      </c>
      <c r="L216" s="192"/>
      <c r="M216" s="36"/>
    </row>
    <row r="217" spans="1:13" ht="12.75" customHeight="1" x14ac:dyDescent="0.2">
      <c r="A217" s="11" t="s">
        <v>117</v>
      </c>
      <c r="B217" s="35">
        <v>45918</v>
      </c>
      <c r="C217" s="12" t="s">
        <v>455</v>
      </c>
      <c r="D217" s="12" t="s">
        <v>456</v>
      </c>
      <c r="E217" s="15" t="s">
        <v>517</v>
      </c>
      <c r="F217" s="12" t="s">
        <v>713</v>
      </c>
      <c r="G217" s="36"/>
      <c r="H217" s="77">
        <v>-9.65</v>
      </c>
      <c r="I217" s="36">
        <v>474670.8</v>
      </c>
      <c r="J217" s="33" t="s">
        <v>230</v>
      </c>
      <c r="K217" s="164">
        <v>-2</v>
      </c>
      <c r="L217" s="192"/>
      <c r="M217" s="36"/>
    </row>
    <row r="218" spans="1:13" ht="12.75" customHeight="1" x14ac:dyDescent="0.2">
      <c r="A218" s="11" t="s">
        <v>117</v>
      </c>
      <c r="B218" s="35">
        <v>45918</v>
      </c>
      <c r="C218" s="12" t="s">
        <v>457</v>
      </c>
      <c r="D218" s="12" t="s">
        <v>119</v>
      </c>
      <c r="E218" s="15" t="s">
        <v>535</v>
      </c>
      <c r="F218" s="12" t="s">
        <v>714</v>
      </c>
      <c r="G218" s="36">
        <v>2050.25</v>
      </c>
      <c r="H218" s="77"/>
      <c r="I218" s="36">
        <v>476721.05</v>
      </c>
      <c r="J218" s="33" t="s">
        <v>232</v>
      </c>
      <c r="K218" s="164">
        <v>2</v>
      </c>
      <c r="L218" s="192"/>
      <c r="M218" s="36"/>
    </row>
    <row r="219" spans="1:13" ht="12.75" customHeight="1" x14ac:dyDescent="0.2">
      <c r="A219" s="11" t="s">
        <v>117</v>
      </c>
      <c r="B219" s="35">
        <v>45918</v>
      </c>
      <c r="C219" s="12" t="s">
        <v>457</v>
      </c>
      <c r="D219" s="12" t="s">
        <v>119</v>
      </c>
      <c r="E219" s="15" t="s">
        <v>535</v>
      </c>
      <c r="F219" s="12" t="s">
        <v>715</v>
      </c>
      <c r="G219" s="36">
        <v>40</v>
      </c>
      <c r="H219" s="77"/>
      <c r="I219" s="36">
        <v>476761.05</v>
      </c>
      <c r="J219" s="33" t="s">
        <v>229</v>
      </c>
      <c r="K219" s="164">
        <v>2</v>
      </c>
      <c r="L219" s="192"/>
      <c r="M219" s="36"/>
    </row>
    <row r="220" spans="1:13" ht="12.75" customHeight="1" x14ac:dyDescent="0.2">
      <c r="A220" s="11" t="s">
        <v>117</v>
      </c>
      <c r="B220" s="35">
        <v>45918</v>
      </c>
      <c r="C220" s="12" t="s">
        <v>457</v>
      </c>
      <c r="D220" s="12" t="s">
        <v>119</v>
      </c>
      <c r="E220" s="15" t="s">
        <v>535</v>
      </c>
      <c r="F220" s="12" t="s">
        <v>716</v>
      </c>
      <c r="G220" s="36">
        <v>1133.3800000000001</v>
      </c>
      <c r="H220" s="77"/>
      <c r="I220" s="36">
        <v>477894.43</v>
      </c>
      <c r="J220" s="33" t="s">
        <v>230</v>
      </c>
      <c r="K220" s="164">
        <v>2</v>
      </c>
      <c r="L220" s="192"/>
      <c r="M220" s="36"/>
    </row>
    <row r="221" spans="1:13" ht="12.75" customHeight="1" x14ac:dyDescent="0.2">
      <c r="A221" s="11" t="s">
        <v>117</v>
      </c>
      <c r="B221" s="35">
        <v>45918</v>
      </c>
      <c r="C221" s="12" t="s">
        <v>458</v>
      </c>
      <c r="D221" s="12" t="s">
        <v>137</v>
      </c>
      <c r="E221" s="15" t="s">
        <v>137</v>
      </c>
      <c r="F221" s="12" t="s">
        <v>175</v>
      </c>
      <c r="G221" s="36">
        <v>122.03</v>
      </c>
      <c r="H221" s="77"/>
      <c r="I221" s="36">
        <v>478016.46</v>
      </c>
      <c r="J221" s="33" t="s">
        <v>229</v>
      </c>
      <c r="K221" s="164">
        <v>2</v>
      </c>
      <c r="L221" s="192"/>
      <c r="M221" s="36"/>
    </row>
    <row r="222" spans="1:13" ht="12.75" customHeight="1" x14ac:dyDescent="0.2">
      <c r="A222" s="11" t="s">
        <v>117</v>
      </c>
      <c r="B222" s="35">
        <v>45919</v>
      </c>
      <c r="C222" s="12" t="s">
        <v>459</v>
      </c>
      <c r="D222" s="12" t="s">
        <v>119</v>
      </c>
      <c r="E222" s="15" t="s">
        <v>536</v>
      </c>
      <c r="F222" s="12" t="s">
        <v>717</v>
      </c>
      <c r="G222" s="36">
        <v>60</v>
      </c>
      <c r="H222" s="77"/>
      <c r="I222" s="36">
        <v>478076.46</v>
      </c>
      <c r="J222" s="33" t="s">
        <v>232</v>
      </c>
      <c r="K222" s="164">
        <v>2</v>
      </c>
      <c r="L222" s="192"/>
      <c r="M222" s="36"/>
    </row>
    <row r="223" spans="1:13" ht="12.75" customHeight="1" x14ac:dyDescent="0.2">
      <c r="A223" s="11" t="s">
        <v>117</v>
      </c>
      <c r="B223" s="35">
        <v>45919</v>
      </c>
      <c r="C223" s="12" t="s">
        <v>459</v>
      </c>
      <c r="D223" s="12" t="s">
        <v>119</v>
      </c>
      <c r="E223" s="15" t="s">
        <v>536</v>
      </c>
      <c r="F223" s="12" t="s">
        <v>718</v>
      </c>
      <c r="G223" s="36">
        <v>143</v>
      </c>
      <c r="H223" s="77"/>
      <c r="I223" s="36">
        <v>478219.46</v>
      </c>
      <c r="J223" s="33" t="s">
        <v>232</v>
      </c>
      <c r="K223" s="164">
        <v>2</v>
      </c>
      <c r="L223" s="192"/>
      <c r="M223" s="36"/>
    </row>
    <row r="224" spans="1:13" ht="12.75" customHeight="1" x14ac:dyDescent="0.2">
      <c r="A224" s="11" t="s">
        <v>117</v>
      </c>
      <c r="B224" s="35">
        <v>45919</v>
      </c>
      <c r="C224" s="12" t="s">
        <v>459</v>
      </c>
      <c r="D224" s="12" t="s">
        <v>119</v>
      </c>
      <c r="E224" s="15" t="s">
        <v>536</v>
      </c>
      <c r="F224" s="12" t="s">
        <v>719</v>
      </c>
      <c r="G224" s="36">
        <v>134.54</v>
      </c>
      <c r="H224" s="77"/>
      <c r="I224" s="36">
        <v>478354</v>
      </c>
      <c r="J224" s="33" t="s">
        <v>232</v>
      </c>
      <c r="K224" s="164">
        <v>2</v>
      </c>
      <c r="L224" s="192"/>
      <c r="M224" s="36"/>
    </row>
    <row r="225" spans="1:13" ht="12.75" customHeight="1" x14ac:dyDescent="0.2">
      <c r="A225" s="11" t="s">
        <v>117</v>
      </c>
      <c r="B225" s="35">
        <v>45919</v>
      </c>
      <c r="C225" s="12" t="s">
        <v>459</v>
      </c>
      <c r="D225" s="12" t="s">
        <v>119</v>
      </c>
      <c r="E225" s="15" t="s">
        <v>536</v>
      </c>
      <c r="F225" s="12" t="s">
        <v>720</v>
      </c>
      <c r="G225" s="36">
        <v>63</v>
      </c>
      <c r="H225" s="77"/>
      <c r="I225" s="36">
        <v>478417</v>
      </c>
      <c r="J225" s="33" t="s">
        <v>232</v>
      </c>
      <c r="K225" s="164">
        <v>2</v>
      </c>
      <c r="L225" s="192"/>
      <c r="M225" s="36"/>
    </row>
    <row r="226" spans="1:13" ht="12.75" customHeight="1" x14ac:dyDescent="0.2">
      <c r="A226" s="11" t="s">
        <v>117</v>
      </c>
      <c r="B226" s="35">
        <v>45919</v>
      </c>
      <c r="C226" s="12" t="s">
        <v>459</v>
      </c>
      <c r="D226" s="12" t="s">
        <v>119</v>
      </c>
      <c r="E226" s="15" t="s">
        <v>536</v>
      </c>
      <c r="F226" s="12" t="s">
        <v>721</v>
      </c>
      <c r="G226" s="36">
        <v>4171.57</v>
      </c>
      <c r="H226" s="77"/>
      <c r="I226" s="36">
        <v>482588.57</v>
      </c>
      <c r="J226" s="33" t="s">
        <v>232</v>
      </c>
      <c r="K226" s="164">
        <v>2</v>
      </c>
      <c r="L226" s="192"/>
      <c r="M226" s="36"/>
    </row>
    <row r="227" spans="1:13" ht="12.75" customHeight="1" x14ac:dyDescent="0.2">
      <c r="A227" s="11" t="s">
        <v>117</v>
      </c>
      <c r="B227" s="35">
        <v>45919</v>
      </c>
      <c r="C227" s="12" t="s">
        <v>459</v>
      </c>
      <c r="D227" s="12" t="s">
        <v>119</v>
      </c>
      <c r="E227" s="15" t="s">
        <v>536</v>
      </c>
      <c r="F227" s="12" t="s">
        <v>722</v>
      </c>
      <c r="G227" s="36">
        <v>205</v>
      </c>
      <c r="H227" s="77"/>
      <c r="I227" s="36">
        <v>482793.57</v>
      </c>
      <c r="J227" s="33" t="s">
        <v>232</v>
      </c>
      <c r="K227" s="164">
        <v>2</v>
      </c>
      <c r="L227" s="192"/>
      <c r="M227" s="36"/>
    </row>
    <row r="228" spans="1:13" ht="12.75" customHeight="1" x14ac:dyDescent="0.2">
      <c r="A228" s="11" t="s">
        <v>117</v>
      </c>
      <c r="B228" s="35">
        <v>45919</v>
      </c>
      <c r="C228" s="12" t="s">
        <v>459</v>
      </c>
      <c r="D228" s="12" t="s">
        <v>119</v>
      </c>
      <c r="E228" s="15" t="s">
        <v>536</v>
      </c>
      <c r="F228" s="12" t="s">
        <v>723</v>
      </c>
      <c r="G228" s="36">
        <v>1042.45</v>
      </c>
      <c r="H228" s="77"/>
      <c r="I228" s="36">
        <v>483836.02</v>
      </c>
      <c r="J228" s="33" t="s">
        <v>232</v>
      </c>
      <c r="K228" s="164">
        <v>2</v>
      </c>
      <c r="L228" s="192"/>
      <c r="M228" s="36"/>
    </row>
    <row r="229" spans="1:13" ht="12.75" customHeight="1" x14ac:dyDescent="0.2">
      <c r="A229" s="11" t="s">
        <v>117</v>
      </c>
      <c r="B229" s="35">
        <v>45919</v>
      </c>
      <c r="C229" s="12" t="s">
        <v>459</v>
      </c>
      <c r="D229" s="12" t="s">
        <v>119</v>
      </c>
      <c r="E229" s="15" t="s">
        <v>536</v>
      </c>
      <c r="F229" s="12" t="s">
        <v>724</v>
      </c>
      <c r="G229" s="36">
        <v>134.59</v>
      </c>
      <c r="H229" s="77"/>
      <c r="I229" s="36">
        <v>483970.61</v>
      </c>
      <c r="J229" s="33" t="s">
        <v>232</v>
      </c>
      <c r="K229" s="164">
        <v>2</v>
      </c>
      <c r="L229" s="192"/>
      <c r="M229" s="36"/>
    </row>
    <row r="230" spans="1:13" ht="12.75" customHeight="1" x14ac:dyDescent="0.2">
      <c r="A230" s="11" t="s">
        <v>117</v>
      </c>
      <c r="B230" s="35">
        <v>45919</v>
      </c>
      <c r="C230" s="12" t="s">
        <v>459</v>
      </c>
      <c r="D230" s="12" t="s">
        <v>119</v>
      </c>
      <c r="E230" s="15" t="s">
        <v>536</v>
      </c>
      <c r="F230" s="12" t="s">
        <v>725</v>
      </c>
      <c r="G230" s="36">
        <v>100</v>
      </c>
      <c r="H230" s="77"/>
      <c r="I230" s="36">
        <v>484070.61</v>
      </c>
      <c r="J230" s="33" t="s">
        <v>236</v>
      </c>
      <c r="K230" s="164">
        <v>2</v>
      </c>
      <c r="L230" s="192"/>
      <c r="M230" s="36"/>
    </row>
    <row r="231" spans="1:13" ht="12.75" customHeight="1" x14ac:dyDescent="0.2">
      <c r="A231" s="11" t="s">
        <v>117</v>
      </c>
      <c r="B231" s="35">
        <v>45919</v>
      </c>
      <c r="C231" s="12" t="s">
        <v>459</v>
      </c>
      <c r="D231" s="12" t="s">
        <v>119</v>
      </c>
      <c r="E231" s="15" t="s">
        <v>536</v>
      </c>
      <c r="F231" s="12" t="s">
        <v>726</v>
      </c>
      <c r="G231" s="36">
        <v>2123.0500000000002</v>
      </c>
      <c r="H231" s="77"/>
      <c r="I231" s="36">
        <v>486193.66</v>
      </c>
      <c r="J231" s="33" t="s">
        <v>230</v>
      </c>
      <c r="K231" s="164">
        <v>2</v>
      </c>
      <c r="L231" s="192"/>
      <c r="M231" s="36"/>
    </row>
    <row r="232" spans="1:13" ht="12.75" customHeight="1" x14ac:dyDescent="0.2">
      <c r="A232" s="11" t="s">
        <v>117</v>
      </c>
      <c r="B232" s="35">
        <v>45922</v>
      </c>
      <c r="C232" s="12" t="s">
        <v>460</v>
      </c>
      <c r="D232" s="12" t="s">
        <v>461</v>
      </c>
      <c r="E232" s="15" t="s">
        <v>19</v>
      </c>
      <c r="F232" s="12" t="s">
        <v>727</v>
      </c>
      <c r="G232" s="36"/>
      <c r="H232" s="77">
        <v>-109.98</v>
      </c>
      <c r="I232" s="36">
        <v>486083.68</v>
      </c>
      <c r="J232" s="33" t="s">
        <v>236</v>
      </c>
      <c r="K232" s="164">
        <v>-2</v>
      </c>
      <c r="L232" s="192"/>
      <c r="M232" s="36"/>
    </row>
    <row r="233" spans="1:13" ht="12.75" customHeight="1" x14ac:dyDescent="0.2">
      <c r="A233" s="11" t="s">
        <v>117</v>
      </c>
      <c r="B233" s="35">
        <v>45922</v>
      </c>
      <c r="C233" s="12" t="s">
        <v>462</v>
      </c>
      <c r="D233" s="15" t="s">
        <v>242</v>
      </c>
      <c r="E233" s="11" t="s">
        <v>74</v>
      </c>
      <c r="F233" s="12" t="s">
        <v>728</v>
      </c>
      <c r="G233" s="36"/>
      <c r="H233" s="77">
        <v>-452.18</v>
      </c>
      <c r="I233" s="36">
        <v>485631.5</v>
      </c>
      <c r="J233" s="33" t="s">
        <v>241</v>
      </c>
      <c r="K233" s="164">
        <v>-2</v>
      </c>
      <c r="L233" s="192"/>
      <c r="M233" s="36"/>
    </row>
    <row r="234" spans="1:13" ht="12.75" customHeight="1" x14ac:dyDescent="0.2">
      <c r="A234" s="11" t="s">
        <v>117</v>
      </c>
      <c r="B234" s="35">
        <v>45922</v>
      </c>
      <c r="C234" s="12" t="s">
        <v>462</v>
      </c>
      <c r="D234" s="12" t="s">
        <v>242</v>
      </c>
      <c r="E234" s="15" t="s">
        <v>74</v>
      </c>
      <c r="F234" s="12" t="s">
        <v>729</v>
      </c>
      <c r="G234" s="36"/>
      <c r="H234" s="77">
        <v>-8995</v>
      </c>
      <c r="I234" s="36">
        <v>476636.5</v>
      </c>
      <c r="J234" s="33" t="s">
        <v>241</v>
      </c>
      <c r="K234" s="164">
        <v>-2</v>
      </c>
      <c r="L234" s="192"/>
      <c r="M234" s="36"/>
    </row>
    <row r="235" spans="1:13" ht="12.75" customHeight="1" x14ac:dyDescent="0.2">
      <c r="A235" s="11" t="s">
        <v>117</v>
      </c>
      <c r="B235" s="35">
        <v>45922</v>
      </c>
      <c r="C235" s="12" t="s">
        <v>463</v>
      </c>
      <c r="D235" s="12" t="s">
        <v>464</v>
      </c>
      <c r="E235" s="15" t="s">
        <v>537</v>
      </c>
      <c r="F235" s="12" t="s">
        <v>730</v>
      </c>
      <c r="G235" s="36"/>
      <c r="H235" s="77">
        <v>-27350</v>
      </c>
      <c r="I235" s="36">
        <v>449286.5</v>
      </c>
      <c r="J235" s="33" t="s">
        <v>237</v>
      </c>
      <c r="K235" s="164">
        <v>-2</v>
      </c>
      <c r="L235" s="192"/>
      <c r="M235" s="36"/>
    </row>
    <row r="236" spans="1:13" ht="12.75" customHeight="1" x14ac:dyDescent="0.2">
      <c r="A236" s="11" t="s">
        <v>117</v>
      </c>
      <c r="B236" s="35">
        <v>45922</v>
      </c>
      <c r="C236" s="12" t="s">
        <v>463</v>
      </c>
      <c r="D236" s="12" t="s">
        <v>464</v>
      </c>
      <c r="E236" s="15" t="s">
        <v>537</v>
      </c>
      <c r="F236" s="12" t="s">
        <v>730</v>
      </c>
      <c r="G236" s="36"/>
      <c r="H236" s="77">
        <v>-17551.64</v>
      </c>
      <c r="I236" s="36">
        <v>431734.86</v>
      </c>
      <c r="J236" s="33" t="s">
        <v>237</v>
      </c>
      <c r="K236" s="164">
        <v>-2</v>
      </c>
      <c r="L236" s="192"/>
      <c r="M236" s="36"/>
    </row>
    <row r="237" spans="1:13" ht="12.75" customHeight="1" x14ac:dyDescent="0.2">
      <c r="A237" s="11" t="s">
        <v>117</v>
      </c>
      <c r="B237" s="35">
        <v>45922</v>
      </c>
      <c r="C237" s="12" t="s">
        <v>465</v>
      </c>
      <c r="D237" s="12" t="s">
        <v>119</v>
      </c>
      <c r="E237" s="15" t="s">
        <v>538</v>
      </c>
      <c r="F237" s="12" t="s">
        <v>731</v>
      </c>
      <c r="G237" s="36">
        <v>90</v>
      </c>
      <c r="H237" s="77"/>
      <c r="I237" s="36">
        <v>431824.86</v>
      </c>
      <c r="J237" s="33" t="s">
        <v>236</v>
      </c>
      <c r="K237" s="164">
        <v>2</v>
      </c>
      <c r="L237" s="192"/>
      <c r="M237" s="36"/>
    </row>
    <row r="238" spans="1:13" ht="12.75" customHeight="1" x14ac:dyDescent="0.2">
      <c r="A238" s="11" t="s">
        <v>117</v>
      </c>
      <c r="B238" s="35">
        <v>45922</v>
      </c>
      <c r="C238" s="12" t="s">
        <v>465</v>
      </c>
      <c r="D238" s="12" t="s">
        <v>119</v>
      </c>
      <c r="E238" s="15" t="s">
        <v>538</v>
      </c>
      <c r="F238" s="12" t="s">
        <v>732</v>
      </c>
      <c r="G238" s="36">
        <v>140.37</v>
      </c>
      <c r="H238" s="77"/>
      <c r="I238" s="36">
        <v>431965.23</v>
      </c>
      <c r="J238" s="33" t="s">
        <v>236</v>
      </c>
      <c r="K238" s="164">
        <v>2</v>
      </c>
      <c r="L238" s="192"/>
      <c r="M238" s="36"/>
    </row>
    <row r="239" spans="1:13" ht="12.75" customHeight="1" x14ac:dyDescent="0.2">
      <c r="A239" s="11" t="s">
        <v>117</v>
      </c>
      <c r="B239" s="35">
        <v>45922</v>
      </c>
      <c r="C239" s="12" t="s">
        <v>465</v>
      </c>
      <c r="D239" s="12" t="s">
        <v>119</v>
      </c>
      <c r="E239" s="15" t="s">
        <v>538</v>
      </c>
      <c r="F239" s="12" t="s">
        <v>733</v>
      </c>
      <c r="G239" s="36">
        <v>162</v>
      </c>
      <c r="H239" s="77"/>
      <c r="I239" s="36">
        <v>432127.23</v>
      </c>
      <c r="J239" s="33" t="s">
        <v>236</v>
      </c>
      <c r="K239" s="164">
        <v>2</v>
      </c>
      <c r="L239" s="192"/>
      <c r="M239" s="36"/>
    </row>
    <row r="240" spans="1:13" ht="12.75" customHeight="1" x14ac:dyDescent="0.2">
      <c r="A240" s="11" t="s">
        <v>117</v>
      </c>
      <c r="B240" s="35">
        <v>45922</v>
      </c>
      <c r="C240" s="12" t="s">
        <v>465</v>
      </c>
      <c r="D240" s="12" t="s">
        <v>119</v>
      </c>
      <c r="E240" s="15" t="s">
        <v>538</v>
      </c>
      <c r="F240" s="12" t="s">
        <v>734</v>
      </c>
      <c r="G240" s="36">
        <v>5874.97</v>
      </c>
      <c r="H240" s="77"/>
      <c r="I240" s="36">
        <v>438002.2</v>
      </c>
      <c r="J240" s="33" t="s">
        <v>236</v>
      </c>
      <c r="K240" s="164">
        <v>2</v>
      </c>
      <c r="L240" s="192"/>
      <c r="M240" s="36"/>
    </row>
    <row r="241" spans="1:13" ht="12.75" customHeight="1" x14ac:dyDescent="0.2">
      <c r="A241" s="11" t="s">
        <v>117</v>
      </c>
      <c r="B241" s="35">
        <v>45922</v>
      </c>
      <c r="C241" s="12" t="s">
        <v>465</v>
      </c>
      <c r="D241" s="12" t="s">
        <v>119</v>
      </c>
      <c r="E241" s="15" t="s">
        <v>538</v>
      </c>
      <c r="F241" s="12" t="s">
        <v>735</v>
      </c>
      <c r="G241" s="36">
        <v>410</v>
      </c>
      <c r="H241" s="77"/>
      <c r="I241" s="36">
        <v>438412.2</v>
      </c>
      <c r="J241" s="33" t="s">
        <v>236</v>
      </c>
      <c r="K241" s="164">
        <v>2</v>
      </c>
      <c r="L241" s="192"/>
      <c r="M241" s="36"/>
    </row>
    <row r="242" spans="1:13" ht="12.75" customHeight="1" x14ac:dyDescent="0.2">
      <c r="A242" s="11" t="s">
        <v>117</v>
      </c>
      <c r="B242" s="35">
        <v>45922</v>
      </c>
      <c r="C242" s="12" t="s">
        <v>465</v>
      </c>
      <c r="D242" s="12" t="s">
        <v>119</v>
      </c>
      <c r="E242" s="15" t="s">
        <v>538</v>
      </c>
      <c r="F242" s="12" t="s">
        <v>736</v>
      </c>
      <c r="G242" s="36">
        <v>138</v>
      </c>
      <c r="H242" s="77"/>
      <c r="I242" s="36">
        <v>438550.2</v>
      </c>
      <c r="J242" s="33" t="s">
        <v>236</v>
      </c>
      <c r="K242" s="164">
        <v>2</v>
      </c>
      <c r="L242" s="192"/>
      <c r="M242" s="36"/>
    </row>
    <row r="243" spans="1:13" ht="12.75" customHeight="1" x14ac:dyDescent="0.2">
      <c r="A243" s="11" t="s">
        <v>117</v>
      </c>
      <c r="B243" s="35">
        <v>45922</v>
      </c>
      <c r="C243" s="12" t="s">
        <v>465</v>
      </c>
      <c r="D243" s="12" t="s">
        <v>119</v>
      </c>
      <c r="E243" s="15" t="s">
        <v>538</v>
      </c>
      <c r="F243" s="12" t="s">
        <v>737</v>
      </c>
      <c r="G243" s="36">
        <v>248</v>
      </c>
      <c r="H243" s="77"/>
      <c r="I243" s="36">
        <v>438798.2</v>
      </c>
      <c r="J243" s="33" t="s">
        <v>236</v>
      </c>
      <c r="K243" s="164">
        <v>2</v>
      </c>
      <c r="L243" s="192"/>
      <c r="M243" s="36"/>
    </row>
    <row r="244" spans="1:13" ht="12.75" customHeight="1" x14ac:dyDescent="0.2">
      <c r="A244" s="11" t="s">
        <v>117</v>
      </c>
      <c r="B244" s="35">
        <v>45922</v>
      </c>
      <c r="C244" s="12" t="s">
        <v>465</v>
      </c>
      <c r="D244" s="12" t="s">
        <v>119</v>
      </c>
      <c r="E244" s="15" t="s">
        <v>538</v>
      </c>
      <c r="F244" s="12" t="s">
        <v>738</v>
      </c>
      <c r="G244" s="36">
        <v>2230.7199999999998</v>
      </c>
      <c r="H244" s="77"/>
      <c r="I244" s="36">
        <v>441028.92</v>
      </c>
      <c r="J244" s="33" t="s">
        <v>232</v>
      </c>
      <c r="K244" s="164">
        <v>2</v>
      </c>
      <c r="L244" s="192"/>
      <c r="M244" s="36"/>
    </row>
    <row r="245" spans="1:13" ht="12.75" customHeight="1" x14ac:dyDescent="0.2">
      <c r="A245" s="11" t="s">
        <v>117</v>
      </c>
      <c r="B245" s="35">
        <v>45922</v>
      </c>
      <c r="C245" s="12" t="s">
        <v>465</v>
      </c>
      <c r="D245" s="12" t="s">
        <v>119</v>
      </c>
      <c r="E245" s="15" t="s">
        <v>538</v>
      </c>
      <c r="F245" s="12" t="s">
        <v>739</v>
      </c>
      <c r="G245" s="36">
        <v>1073.5899999999999</v>
      </c>
      <c r="H245" s="77"/>
      <c r="I245" s="36">
        <v>442102.51</v>
      </c>
      <c r="J245" s="33" t="s">
        <v>237</v>
      </c>
      <c r="K245" s="164">
        <v>2</v>
      </c>
      <c r="L245" s="192"/>
      <c r="M245" s="36"/>
    </row>
    <row r="246" spans="1:13" ht="12.75" customHeight="1" x14ac:dyDescent="0.2">
      <c r="A246" s="11" t="s">
        <v>117</v>
      </c>
      <c r="B246" s="35">
        <v>45923</v>
      </c>
      <c r="C246" s="12" t="s">
        <v>466</v>
      </c>
      <c r="D246" s="12" t="s">
        <v>467</v>
      </c>
      <c r="E246" s="15" t="s">
        <v>121</v>
      </c>
      <c r="F246" s="12" t="s">
        <v>740</v>
      </c>
      <c r="G246" s="36"/>
      <c r="H246" s="77">
        <v>-63</v>
      </c>
      <c r="I246" s="36">
        <v>442039.51</v>
      </c>
      <c r="J246" s="33"/>
      <c r="K246" s="164">
        <v>-1</v>
      </c>
      <c r="L246" s="192"/>
      <c r="M246" s="36"/>
    </row>
    <row r="247" spans="1:13" ht="12.75" customHeight="1" x14ac:dyDescent="0.2">
      <c r="A247" s="11" t="s">
        <v>117</v>
      </c>
      <c r="B247" s="35">
        <v>45923</v>
      </c>
      <c r="C247" s="12" t="s">
        <v>468</v>
      </c>
      <c r="D247" s="12" t="s">
        <v>469</v>
      </c>
      <c r="E247" s="15" t="s">
        <v>517</v>
      </c>
      <c r="F247" s="12" t="s">
        <v>741</v>
      </c>
      <c r="G247" s="36"/>
      <c r="H247" s="77">
        <v>-69.06</v>
      </c>
      <c r="I247" s="36">
        <v>441970.45</v>
      </c>
      <c r="J247" s="33" t="s">
        <v>239</v>
      </c>
      <c r="K247" s="164">
        <v>-2</v>
      </c>
      <c r="L247" s="192"/>
      <c r="M247" s="36"/>
    </row>
    <row r="248" spans="1:13" ht="12.75" customHeight="1" x14ac:dyDescent="0.2">
      <c r="A248" s="11" t="s">
        <v>117</v>
      </c>
      <c r="B248" s="35">
        <v>45923</v>
      </c>
      <c r="C248" s="12" t="s">
        <v>470</v>
      </c>
      <c r="D248" s="12" t="s">
        <v>471</v>
      </c>
      <c r="E248" s="15" t="s">
        <v>517</v>
      </c>
      <c r="F248" s="12" t="s">
        <v>742</v>
      </c>
      <c r="G248" s="36"/>
      <c r="H248" s="77">
        <v>-113.75</v>
      </c>
      <c r="I248" s="36">
        <v>441856.7</v>
      </c>
      <c r="J248" s="33" t="s">
        <v>239</v>
      </c>
      <c r="K248" s="164">
        <v>-2</v>
      </c>
      <c r="L248" s="192"/>
      <c r="M248" s="36"/>
    </row>
    <row r="249" spans="1:13" ht="12.75" customHeight="1" x14ac:dyDescent="0.2">
      <c r="A249" s="11" t="s">
        <v>117</v>
      </c>
      <c r="B249" s="35">
        <v>45923</v>
      </c>
      <c r="C249" s="12" t="s">
        <v>472</v>
      </c>
      <c r="D249" s="12" t="s">
        <v>473</v>
      </c>
      <c r="E249" s="15" t="s">
        <v>537</v>
      </c>
      <c r="F249" s="12" t="s">
        <v>743</v>
      </c>
      <c r="G249" s="36"/>
      <c r="H249" s="77">
        <v>-29452.81</v>
      </c>
      <c r="I249" s="36">
        <v>412403.89</v>
      </c>
      <c r="J249" s="33" t="s">
        <v>239</v>
      </c>
      <c r="K249" s="164">
        <v>-2</v>
      </c>
      <c r="L249" s="192"/>
      <c r="M249" s="36"/>
    </row>
    <row r="250" spans="1:13" ht="12.75" customHeight="1" x14ac:dyDescent="0.2">
      <c r="A250" s="11" t="s">
        <v>117</v>
      </c>
      <c r="B250" s="35">
        <v>45923</v>
      </c>
      <c r="C250" s="12" t="s">
        <v>472</v>
      </c>
      <c r="D250" s="12" t="s">
        <v>473</v>
      </c>
      <c r="E250" s="15" t="s">
        <v>537</v>
      </c>
      <c r="F250" s="12" t="s">
        <v>744</v>
      </c>
      <c r="G250" s="36"/>
      <c r="H250" s="77">
        <v>-9620</v>
      </c>
      <c r="I250" s="36">
        <v>402783.89</v>
      </c>
      <c r="J250" s="33" t="s">
        <v>239</v>
      </c>
      <c r="K250" s="164">
        <v>-2</v>
      </c>
      <c r="L250" s="192"/>
      <c r="M250" s="36"/>
    </row>
    <row r="251" spans="1:13" ht="12.75" customHeight="1" x14ac:dyDescent="0.2">
      <c r="A251" s="11" t="s">
        <v>117</v>
      </c>
      <c r="B251" s="35">
        <v>45923</v>
      </c>
      <c r="C251" s="12" t="s">
        <v>474</v>
      </c>
      <c r="D251" s="12" t="s">
        <v>119</v>
      </c>
      <c r="E251" s="15" t="s">
        <v>539</v>
      </c>
      <c r="F251" s="12" t="s">
        <v>745</v>
      </c>
      <c r="G251" s="240">
        <v>1069.1600000000001</v>
      </c>
      <c r="H251" s="77"/>
      <c r="I251" s="36">
        <v>403853.05</v>
      </c>
      <c r="J251" s="33" t="s">
        <v>236</v>
      </c>
      <c r="K251" s="164">
        <v>2</v>
      </c>
      <c r="L251" s="192"/>
      <c r="M251" s="36"/>
    </row>
    <row r="252" spans="1:13" ht="12.75" customHeight="1" x14ac:dyDescent="0.2">
      <c r="A252" s="11" t="s">
        <v>117</v>
      </c>
      <c r="B252" s="35">
        <v>45923</v>
      </c>
      <c r="C252" s="12" t="s">
        <v>474</v>
      </c>
      <c r="D252" s="12" t="s">
        <v>119</v>
      </c>
      <c r="E252" s="15" t="s">
        <v>539</v>
      </c>
      <c r="F252" s="12" t="s">
        <v>746</v>
      </c>
      <c r="G252" s="240">
        <v>1081.17</v>
      </c>
      <c r="H252" s="77"/>
      <c r="I252" s="36">
        <v>404934.22</v>
      </c>
      <c r="J252" s="33" t="s">
        <v>236</v>
      </c>
      <c r="K252" s="164">
        <v>2</v>
      </c>
      <c r="L252" s="192"/>
      <c r="M252" s="36"/>
    </row>
    <row r="253" spans="1:13" ht="12.75" customHeight="1" x14ac:dyDescent="0.2">
      <c r="A253" s="11" t="s">
        <v>117</v>
      </c>
      <c r="B253" s="35">
        <v>45924</v>
      </c>
      <c r="C253" s="12" t="s">
        <v>475</v>
      </c>
      <c r="D253" s="12" t="s">
        <v>126</v>
      </c>
      <c r="E253" s="15" t="s">
        <v>540</v>
      </c>
      <c r="F253" s="12" t="s">
        <v>540</v>
      </c>
      <c r="G253" s="36"/>
      <c r="H253" s="77">
        <v>-323.25</v>
      </c>
      <c r="I253" s="36">
        <v>404610.97</v>
      </c>
      <c r="J253" s="33" t="s">
        <v>230</v>
      </c>
      <c r="K253" s="164">
        <v>-2</v>
      </c>
      <c r="L253" s="192"/>
      <c r="M253" s="36"/>
    </row>
    <row r="254" spans="1:13" ht="12.75" customHeight="1" x14ac:dyDescent="0.2">
      <c r="A254" s="11" t="s">
        <v>117</v>
      </c>
      <c r="B254" s="35">
        <v>45924</v>
      </c>
      <c r="C254" s="12" t="s">
        <v>476</v>
      </c>
      <c r="D254" s="12" t="s">
        <v>119</v>
      </c>
      <c r="E254" s="15" t="s">
        <v>541</v>
      </c>
      <c r="F254" s="12" t="s">
        <v>747</v>
      </c>
      <c r="G254" s="36">
        <v>1713.58</v>
      </c>
      <c r="H254" s="77"/>
      <c r="I254" s="36">
        <v>406324.55</v>
      </c>
      <c r="J254" s="33" t="s">
        <v>236</v>
      </c>
      <c r="K254" s="164">
        <v>2</v>
      </c>
      <c r="L254" s="192"/>
      <c r="M254" s="36"/>
    </row>
    <row r="255" spans="1:13" ht="12.75" customHeight="1" x14ac:dyDescent="0.2">
      <c r="A255" s="11" t="s">
        <v>117</v>
      </c>
      <c r="B255" s="35">
        <v>45924</v>
      </c>
      <c r="C255" s="12" t="s">
        <v>476</v>
      </c>
      <c r="D255" s="12" t="s">
        <v>119</v>
      </c>
      <c r="E255" s="15" t="s">
        <v>541</v>
      </c>
      <c r="F255" s="12" t="s">
        <v>748</v>
      </c>
      <c r="G255" s="36">
        <v>3573.94</v>
      </c>
      <c r="H255" s="77"/>
      <c r="I255" s="36">
        <v>409898.49</v>
      </c>
      <c r="J255" s="33" t="s">
        <v>239</v>
      </c>
      <c r="K255" s="164">
        <v>2</v>
      </c>
      <c r="L255" s="192"/>
      <c r="M255" s="36"/>
    </row>
    <row r="256" spans="1:13" ht="12.75" customHeight="1" x14ac:dyDescent="0.2">
      <c r="A256" s="11" t="s">
        <v>117</v>
      </c>
      <c r="B256" s="35">
        <v>45924</v>
      </c>
      <c r="C256" s="12" t="s">
        <v>476</v>
      </c>
      <c r="D256" s="12" t="s">
        <v>119</v>
      </c>
      <c r="E256" s="15" t="s">
        <v>541</v>
      </c>
      <c r="F256" s="12" t="s">
        <v>749</v>
      </c>
      <c r="G256" s="36">
        <v>2200</v>
      </c>
      <c r="H256" s="77"/>
      <c r="I256" s="36">
        <v>412098.49</v>
      </c>
      <c r="J256" s="33" t="s">
        <v>239</v>
      </c>
      <c r="K256" s="164">
        <v>2</v>
      </c>
      <c r="L256" s="192"/>
      <c r="M256" s="36"/>
    </row>
    <row r="257" spans="1:13" ht="12.75" customHeight="1" x14ac:dyDescent="0.2">
      <c r="A257" s="11" t="s">
        <v>117</v>
      </c>
      <c r="B257" s="35">
        <v>45925</v>
      </c>
      <c r="C257" s="12" t="s">
        <v>477</v>
      </c>
      <c r="D257" s="12"/>
      <c r="E257" s="15" t="s">
        <v>542</v>
      </c>
      <c r="F257" s="12" t="s">
        <v>750</v>
      </c>
      <c r="G257" s="36">
        <v>6884</v>
      </c>
      <c r="H257" s="77"/>
      <c r="I257" s="36">
        <v>418982.49</v>
      </c>
      <c r="J257" s="33" t="s">
        <v>239</v>
      </c>
      <c r="K257" s="164">
        <v>2</v>
      </c>
      <c r="L257" s="192"/>
      <c r="M257" s="36"/>
    </row>
    <row r="258" spans="1:13" ht="12.75" customHeight="1" x14ac:dyDescent="0.2">
      <c r="A258" s="11" t="s">
        <v>117</v>
      </c>
      <c r="B258" s="35">
        <v>45925</v>
      </c>
      <c r="C258" s="12" t="s">
        <v>478</v>
      </c>
      <c r="D258" s="12" t="s">
        <v>119</v>
      </c>
      <c r="E258" s="15" t="s">
        <v>543</v>
      </c>
      <c r="F258" s="12" t="s">
        <v>751</v>
      </c>
      <c r="G258" s="36">
        <v>1700</v>
      </c>
      <c r="H258" s="77"/>
      <c r="I258" s="36">
        <v>420682.49</v>
      </c>
      <c r="J258" s="33" t="s">
        <v>240</v>
      </c>
      <c r="K258" s="164">
        <v>2</v>
      </c>
      <c r="L258" s="192"/>
      <c r="M258" s="36"/>
    </row>
    <row r="259" spans="1:13" ht="12.75" customHeight="1" x14ac:dyDescent="0.2">
      <c r="A259" s="11" t="s">
        <v>117</v>
      </c>
      <c r="B259" s="35">
        <v>45925</v>
      </c>
      <c r="C259" s="12" t="s">
        <v>478</v>
      </c>
      <c r="D259" s="12" t="s">
        <v>119</v>
      </c>
      <c r="E259" s="15" t="s">
        <v>543</v>
      </c>
      <c r="F259" s="12" t="s">
        <v>752</v>
      </c>
      <c r="G259" s="36">
        <v>2170</v>
      </c>
      <c r="H259" s="77"/>
      <c r="I259" s="36">
        <v>422852.49</v>
      </c>
      <c r="J259" s="33" t="s">
        <v>240</v>
      </c>
      <c r="K259" s="164">
        <v>2</v>
      </c>
      <c r="L259" s="192"/>
      <c r="M259" s="36"/>
    </row>
    <row r="260" spans="1:13" ht="12.75" customHeight="1" x14ac:dyDescent="0.2">
      <c r="A260" s="11" t="s">
        <v>117</v>
      </c>
      <c r="B260" s="35">
        <v>45925</v>
      </c>
      <c r="C260" s="12" t="s">
        <v>478</v>
      </c>
      <c r="D260" s="12" t="s">
        <v>119</v>
      </c>
      <c r="E260" s="15" t="s">
        <v>543</v>
      </c>
      <c r="F260" s="12" t="s">
        <v>753</v>
      </c>
      <c r="G260" s="36">
        <v>8585.33</v>
      </c>
      <c r="H260" s="77"/>
      <c r="I260" s="36">
        <v>431437.82</v>
      </c>
      <c r="J260" s="33" t="s">
        <v>239</v>
      </c>
      <c r="K260" s="164">
        <v>2</v>
      </c>
      <c r="L260" s="192"/>
      <c r="M260" s="36"/>
    </row>
    <row r="261" spans="1:13" ht="12.75" customHeight="1" x14ac:dyDescent="0.2">
      <c r="A261" s="11" t="s">
        <v>117</v>
      </c>
      <c r="B261" s="35">
        <v>45926</v>
      </c>
      <c r="C261" s="12" t="s">
        <v>479</v>
      </c>
      <c r="D261" s="12" t="s">
        <v>480</v>
      </c>
      <c r="E261" s="15" t="s">
        <v>125</v>
      </c>
      <c r="F261" s="12" t="s">
        <v>754</v>
      </c>
      <c r="G261" s="36"/>
      <c r="H261" s="77">
        <v>-105.71</v>
      </c>
      <c r="I261" s="36">
        <v>431332.11</v>
      </c>
      <c r="J261" s="33" t="s">
        <v>241</v>
      </c>
      <c r="K261" s="164">
        <v>-2</v>
      </c>
      <c r="L261" s="192"/>
      <c r="M261" s="36"/>
    </row>
    <row r="262" spans="1:13" ht="12.75" customHeight="1" x14ac:dyDescent="0.2">
      <c r="A262" s="11" t="s">
        <v>117</v>
      </c>
      <c r="B262" s="35">
        <v>45926</v>
      </c>
      <c r="C262" s="12" t="s">
        <v>479</v>
      </c>
      <c r="D262" s="12" t="s">
        <v>480</v>
      </c>
      <c r="E262" s="15" t="s">
        <v>125</v>
      </c>
      <c r="F262" s="12" t="s">
        <v>755</v>
      </c>
      <c r="G262" s="36"/>
      <c r="H262" s="77">
        <v>-4.7300000000000004</v>
      </c>
      <c r="I262" s="36">
        <v>431327.38</v>
      </c>
      <c r="J262" s="33" t="s">
        <v>241</v>
      </c>
      <c r="K262" s="164">
        <v>-2</v>
      </c>
      <c r="L262" s="192"/>
      <c r="M262" s="36"/>
    </row>
    <row r="263" spans="1:13" ht="12.75" customHeight="1" x14ac:dyDescent="0.2">
      <c r="A263" s="11" t="s">
        <v>117</v>
      </c>
      <c r="B263" s="35">
        <v>45926</v>
      </c>
      <c r="C263" s="12" t="s">
        <v>479</v>
      </c>
      <c r="D263" s="12" t="s">
        <v>480</v>
      </c>
      <c r="E263" s="12" t="s">
        <v>125</v>
      </c>
      <c r="F263" s="15" t="s">
        <v>756</v>
      </c>
      <c r="G263" s="36"/>
      <c r="H263" s="77">
        <v>-14.63</v>
      </c>
      <c r="I263" s="36">
        <v>431312.75</v>
      </c>
      <c r="J263" s="33" t="s">
        <v>241</v>
      </c>
      <c r="K263" s="164">
        <v>-2</v>
      </c>
      <c r="L263" s="192"/>
      <c r="M263" s="36"/>
    </row>
    <row r="264" spans="1:13" ht="12.75" customHeight="1" x14ac:dyDescent="0.2">
      <c r="A264" s="11" t="s">
        <v>117</v>
      </c>
      <c r="B264" s="35">
        <v>45926</v>
      </c>
      <c r="C264" s="12" t="s">
        <v>479</v>
      </c>
      <c r="D264" s="12" t="s">
        <v>480</v>
      </c>
      <c r="E264" s="12" t="s">
        <v>125</v>
      </c>
      <c r="F264" s="15" t="s">
        <v>757</v>
      </c>
      <c r="G264" s="36"/>
      <c r="H264" s="77">
        <v>-23.32</v>
      </c>
      <c r="I264" s="36">
        <v>431289.43</v>
      </c>
      <c r="J264" s="33" t="s">
        <v>241</v>
      </c>
      <c r="K264" s="164">
        <v>-2</v>
      </c>
      <c r="L264" s="192"/>
      <c r="M264" s="36"/>
    </row>
    <row r="265" spans="1:13" ht="12.75" customHeight="1" x14ac:dyDescent="0.2">
      <c r="A265" s="11" t="s">
        <v>117</v>
      </c>
      <c r="B265" s="35">
        <v>45926</v>
      </c>
      <c r="C265" s="12" t="s">
        <v>479</v>
      </c>
      <c r="D265" s="12" t="s">
        <v>480</v>
      </c>
      <c r="E265" s="12" t="s">
        <v>125</v>
      </c>
      <c r="F265" s="15" t="s">
        <v>758</v>
      </c>
      <c r="G265" s="36"/>
      <c r="H265" s="77">
        <v>-78.760000000000005</v>
      </c>
      <c r="I265" s="36">
        <v>431210.67</v>
      </c>
      <c r="J265" s="33" t="s">
        <v>241</v>
      </c>
      <c r="K265" s="164">
        <v>-2</v>
      </c>
      <c r="L265" s="192"/>
      <c r="M265" s="36"/>
    </row>
    <row r="266" spans="1:13" ht="12.75" customHeight="1" x14ac:dyDescent="0.2">
      <c r="A266" s="11" t="s">
        <v>117</v>
      </c>
      <c r="B266" s="35">
        <v>45926</v>
      </c>
      <c r="C266" s="12" t="s">
        <v>479</v>
      </c>
      <c r="D266" s="12" t="s">
        <v>480</v>
      </c>
      <c r="E266" s="12" t="s">
        <v>125</v>
      </c>
      <c r="F266" s="15" t="s">
        <v>759</v>
      </c>
      <c r="G266" s="36"/>
      <c r="H266" s="77">
        <v>-26.84</v>
      </c>
      <c r="I266" s="36">
        <v>431183.83</v>
      </c>
      <c r="J266" s="33" t="s">
        <v>241</v>
      </c>
      <c r="K266" s="164">
        <v>-2</v>
      </c>
      <c r="L266" s="192"/>
      <c r="M266" s="36"/>
    </row>
    <row r="267" spans="1:13" ht="12.75" customHeight="1" x14ac:dyDescent="0.2">
      <c r="A267" s="11" t="s">
        <v>117</v>
      </c>
      <c r="B267" s="35">
        <v>45926</v>
      </c>
      <c r="C267" s="12" t="s">
        <v>479</v>
      </c>
      <c r="D267" s="12" t="s">
        <v>480</v>
      </c>
      <c r="E267" s="12" t="s">
        <v>125</v>
      </c>
      <c r="F267" s="15" t="s">
        <v>760</v>
      </c>
      <c r="G267" s="36"/>
      <c r="H267" s="77">
        <v>-6.33</v>
      </c>
      <c r="I267" s="36">
        <v>431177.5</v>
      </c>
      <c r="J267" s="33" t="s">
        <v>241</v>
      </c>
      <c r="K267" s="164">
        <v>-2</v>
      </c>
      <c r="L267" s="192"/>
      <c r="M267" s="36"/>
    </row>
    <row r="268" spans="1:13" ht="12.75" customHeight="1" x14ac:dyDescent="0.2">
      <c r="A268" s="11" t="s">
        <v>117</v>
      </c>
      <c r="B268" s="35">
        <v>45926</v>
      </c>
      <c r="C268" s="12" t="s">
        <v>481</v>
      </c>
      <c r="D268" s="12" t="s">
        <v>482</v>
      </c>
      <c r="E268" s="12" t="s">
        <v>140</v>
      </c>
      <c r="F268" s="15" t="s">
        <v>761</v>
      </c>
      <c r="G268" s="36"/>
      <c r="H268" s="77">
        <v>-1473.99</v>
      </c>
      <c r="I268" s="36">
        <v>429703.51</v>
      </c>
      <c r="J268" s="33"/>
      <c r="K268" s="164">
        <v>-1</v>
      </c>
      <c r="L268" s="192"/>
      <c r="M268" s="36"/>
    </row>
    <row r="269" spans="1:13" ht="12.75" customHeight="1" x14ac:dyDescent="0.2">
      <c r="A269" s="11" t="s">
        <v>117</v>
      </c>
      <c r="B269" s="35">
        <v>45926</v>
      </c>
      <c r="C269" s="12" t="s">
        <v>481</v>
      </c>
      <c r="D269" s="12" t="s">
        <v>482</v>
      </c>
      <c r="E269" s="12" t="s">
        <v>140</v>
      </c>
      <c r="F269" s="15" t="s">
        <v>762</v>
      </c>
      <c r="G269" s="36"/>
      <c r="H269" s="77">
        <v>-1325.02</v>
      </c>
      <c r="I269" s="36">
        <v>428378.49</v>
      </c>
      <c r="J269" s="33"/>
      <c r="K269" s="164">
        <v>-1</v>
      </c>
      <c r="L269" s="192"/>
      <c r="M269" s="36"/>
    </row>
    <row r="270" spans="1:13" ht="12.75" customHeight="1" x14ac:dyDescent="0.2">
      <c r="A270" s="11" t="s">
        <v>117</v>
      </c>
      <c r="B270" s="35">
        <v>45926</v>
      </c>
      <c r="C270" s="12" t="s">
        <v>481</v>
      </c>
      <c r="D270" s="12" t="s">
        <v>482</v>
      </c>
      <c r="E270" s="12" t="s">
        <v>140</v>
      </c>
      <c r="F270" s="15" t="s">
        <v>144</v>
      </c>
      <c r="G270" s="36"/>
      <c r="H270" s="77">
        <v>-532.84</v>
      </c>
      <c r="I270" s="36">
        <v>427845.65</v>
      </c>
      <c r="J270" s="33"/>
      <c r="K270" s="164">
        <v>-1</v>
      </c>
      <c r="L270" s="192"/>
      <c r="M270" s="36"/>
    </row>
    <row r="271" spans="1:13" ht="12.75" customHeight="1" x14ac:dyDescent="0.2">
      <c r="A271" s="11" t="s">
        <v>117</v>
      </c>
      <c r="B271" s="35">
        <v>45926</v>
      </c>
      <c r="C271" s="12" t="s">
        <v>481</v>
      </c>
      <c r="D271" s="12" t="s">
        <v>482</v>
      </c>
      <c r="E271" s="12" t="s">
        <v>140</v>
      </c>
      <c r="F271" s="15" t="s">
        <v>145</v>
      </c>
      <c r="G271" s="36"/>
      <c r="H271" s="77">
        <v>-75.739999999999995</v>
      </c>
      <c r="I271" s="36">
        <v>427769.91</v>
      </c>
      <c r="J271" s="33"/>
      <c r="K271" s="164">
        <v>-1</v>
      </c>
      <c r="L271" s="192"/>
      <c r="M271" s="36"/>
    </row>
    <row r="272" spans="1:13" ht="12.75" customHeight="1" x14ac:dyDescent="0.2">
      <c r="A272" s="11" t="s">
        <v>117</v>
      </c>
      <c r="B272" s="35">
        <v>45926</v>
      </c>
      <c r="C272" s="12" t="s">
        <v>481</v>
      </c>
      <c r="D272" s="12" t="s">
        <v>482</v>
      </c>
      <c r="E272" s="12" t="s">
        <v>140</v>
      </c>
      <c r="F272" s="15" t="s">
        <v>149</v>
      </c>
      <c r="G272" s="36"/>
      <c r="H272" s="77">
        <v>-150</v>
      </c>
      <c r="I272" s="36">
        <v>427619.91</v>
      </c>
      <c r="J272" s="33"/>
      <c r="K272" s="164">
        <v>-1</v>
      </c>
      <c r="L272" s="192"/>
      <c r="M272" s="36"/>
    </row>
    <row r="273" spans="1:13" ht="12.75" customHeight="1" x14ac:dyDescent="0.2">
      <c r="A273" s="11" t="s">
        <v>117</v>
      </c>
      <c r="B273" s="35">
        <v>45926</v>
      </c>
      <c r="C273" s="12" t="s">
        <v>481</v>
      </c>
      <c r="D273" s="12" t="s">
        <v>482</v>
      </c>
      <c r="E273" s="12" t="s">
        <v>140</v>
      </c>
      <c r="F273" s="15" t="s">
        <v>143</v>
      </c>
      <c r="G273" s="36"/>
      <c r="H273" s="77">
        <v>-45</v>
      </c>
      <c r="I273" s="36">
        <v>427574.91</v>
      </c>
      <c r="J273" s="33"/>
      <c r="K273" s="164">
        <v>-1</v>
      </c>
      <c r="L273" s="192"/>
      <c r="M273" s="36"/>
    </row>
    <row r="274" spans="1:13" ht="12.75" customHeight="1" x14ac:dyDescent="0.2">
      <c r="A274" s="11" t="s">
        <v>117</v>
      </c>
      <c r="B274" s="35">
        <v>45926</v>
      </c>
      <c r="C274" s="12" t="s">
        <v>481</v>
      </c>
      <c r="D274" s="12" t="s">
        <v>482</v>
      </c>
      <c r="E274" s="12" t="s">
        <v>140</v>
      </c>
      <c r="F274" s="15" t="s">
        <v>148</v>
      </c>
      <c r="G274" s="36"/>
      <c r="H274" s="77">
        <v>-5.36</v>
      </c>
      <c r="I274" s="36">
        <v>427569.55</v>
      </c>
      <c r="J274" s="33"/>
      <c r="K274" s="164">
        <v>-1</v>
      </c>
      <c r="L274" s="192"/>
      <c r="M274" s="36"/>
    </row>
    <row r="275" spans="1:13" ht="12.75" customHeight="1" x14ac:dyDescent="0.2">
      <c r="A275" s="11" t="s">
        <v>117</v>
      </c>
      <c r="B275" s="35">
        <v>45926</v>
      </c>
      <c r="C275" s="12" t="s">
        <v>481</v>
      </c>
      <c r="D275" s="12" t="s">
        <v>482</v>
      </c>
      <c r="E275" s="12" t="s">
        <v>140</v>
      </c>
      <c r="F275" s="15" t="s">
        <v>148</v>
      </c>
      <c r="G275" s="36"/>
      <c r="H275" s="77">
        <v>-13.04</v>
      </c>
      <c r="I275" s="36">
        <v>427556.51</v>
      </c>
      <c r="J275" s="33"/>
      <c r="K275" s="164">
        <v>-1</v>
      </c>
      <c r="L275" s="192"/>
      <c r="M275" s="36"/>
    </row>
    <row r="276" spans="1:13" ht="12.75" customHeight="1" x14ac:dyDescent="0.2">
      <c r="A276" s="11" t="s">
        <v>117</v>
      </c>
      <c r="B276" s="35">
        <v>45926</v>
      </c>
      <c r="C276" s="12" t="s">
        <v>481</v>
      </c>
      <c r="D276" s="12" t="s">
        <v>482</v>
      </c>
      <c r="E276" s="12" t="s">
        <v>140</v>
      </c>
      <c r="F276" s="15" t="s">
        <v>180</v>
      </c>
      <c r="G276" s="36"/>
      <c r="H276" s="77">
        <v>-100</v>
      </c>
      <c r="I276" s="36">
        <v>427456.51</v>
      </c>
      <c r="J276" s="33"/>
      <c r="K276" s="164">
        <v>-1</v>
      </c>
      <c r="L276" s="192"/>
      <c r="M276" s="36"/>
    </row>
    <row r="277" spans="1:13" ht="12.75" customHeight="1" x14ac:dyDescent="0.2">
      <c r="A277" s="11" t="s">
        <v>117</v>
      </c>
      <c r="B277" s="35">
        <v>45926</v>
      </c>
      <c r="C277" s="12" t="s">
        <v>481</v>
      </c>
      <c r="D277" s="12" t="s">
        <v>482</v>
      </c>
      <c r="E277" s="12" t="s">
        <v>140</v>
      </c>
      <c r="F277" s="15" t="s">
        <v>763</v>
      </c>
      <c r="G277" s="36"/>
      <c r="H277" s="77">
        <v>-949.59</v>
      </c>
      <c r="I277" s="36">
        <v>426506.92</v>
      </c>
      <c r="J277" s="33"/>
      <c r="K277" s="164">
        <v>-1</v>
      </c>
      <c r="L277" s="192"/>
      <c r="M277" s="36"/>
    </row>
    <row r="278" spans="1:13" ht="12.75" customHeight="1" x14ac:dyDescent="0.2">
      <c r="A278" s="11" t="s">
        <v>117</v>
      </c>
      <c r="B278" s="35">
        <v>45926</v>
      </c>
      <c r="C278" s="12" t="s">
        <v>481</v>
      </c>
      <c r="D278" s="12" t="s">
        <v>482</v>
      </c>
      <c r="E278" s="12" t="s">
        <v>140</v>
      </c>
      <c r="F278" s="15" t="s">
        <v>764</v>
      </c>
      <c r="G278" s="36"/>
      <c r="H278" s="77">
        <v>-1231.53</v>
      </c>
      <c r="I278" s="36">
        <v>425275.39</v>
      </c>
      <c r="J278" s="33"/>
      <c r="K278" s="164">
        <v>-1</v>
      </c>
      <c r="L278" s="192"/>
      <c r="M278" s="36"/>
    </row>
    <row r="279" spans="1:13" ht="12.75" customHeight="1" x14ac:dyDescent="0.2">
      <c r="A279" s="11" t="s">
        <v>117</v>
      </c>
      <c r="B279" s="35">
        <v>45926</v>
      </c>
      <c r="C279" s="12" t="s">
        <v>481</v>
      </c>
      <c r="D279" s="12" t="s">
        <v>482</v>
      </c>
      <c r="E279" s="12" t="s">
        <v>140</v>
      </c>
      <c r="F279" s="15" t="s">
        <v>765</v>
      </c>
      <c r="G279" s="36"/>
      <c r="H279" s="77">
        <v>-981.37</v>
      </c>
      <c r="I279" s="36">
        <v>424294.02</v>
      </c>
      <c r="J279" s="33"/>
      <c r="K279" s="164">
        <v>-1</v>
      </c>
      <c r="L279" s="192"/>
      <c r="M279" s="36"/>
    </row>
    <row r="280" spans="1:13" ht="12.75" customHeight="1" x14ac:dyDescent="0.2">
      <c r="A280" s="11" t="s">
        <v>117</v>
      </c>
      <c r="B280" s="35">
        <v>45926</v>
      </c>
      <c r="C280" s="12" t="s">
        <v>481</v>
      </c>
      <c r="D280" s="12" t="s">
        <v>482</v>
      </c>
      <c r="E280" s="12" t="s">
        <v>140</v>
      </c>
      <c r="F280" s="15" t="s">
        <v>766</v>
      </c>
      <c r="G280" s="36"/>
      <c r="H280" s="77">
        <v>-150</v>
      </c>
      <c r="I280" s="36">
        <v>424144.02</v>
      </c>
      <c r="J280" s="33"/>
      <c r="K280" s="164">
        <v>-1</v>
      </c>
      <c r="L280" s="192"/>
      <c r="M280" s="36"/>
    </row>
    <row r="281" spans="1:13" ht="12.75" customHeight="1" x14ac:dyDescent="0.2">
      <c r="A281" s="11" t="s">
        <v>117</v>
      </c>
      <c r="B281" s="35">
        <v>45926</v>
      </c>
      <c r="C281" s="12" t="s">
        <v>481</v>
      </c>
      <c r="D281" s="12" t="s">
        <v>482</v>
      </c>
      <c r="E281" s="12" t="s">
        <v>140</v>
      </c>
      <c r="F281" s="15" t="s">
        <v>767</v>
      </c>
      <c r="G281" s="36"/>
      <c r="H281" s="77">
        <v>-1325.02</v>
      </c>
      <c r="I281" s="36">
        <v>422819</v>
      </c>
      <c r="J281" s="33"/>
      <c r="K281" s="164">
        <v>-1</v>
      </c>
      <c r="L281" s="192"/>
      <c r="M281" s="36"/>
    </row>
    <row r="282" spans="1:13" ht="12.75" customHeight="1" x14ac:dyDescent="0.2">
      <c r="A282" s="11" t="s">
        <v>117</v>
      </c>
      <c r="B282" s="35">
        <v>45926</v>
      </c>
      <c r="C282" s="12" t="s">
        <v>483</v>
      </c>
      <c r="D282" s="12" t="s">
        <v>119</v>
      </c>
      <c r="E282" s="12" t="s">
        <v>544</v>
      </c>
      <c r="F282" s="15" t="s">
        <v>753</v>
      </c>
      <c r="G282" s="218">
        <v>895.76</v>
      </c>
      <c r="H282" s="77"/>
      <c r="I282" s="36">
        <v>423714.76</v>
      </c>
      <c r="J282" s="195" t="s">
        <v>240</v>
      </c>
      <c r="K282" s="164">
        <v>2</v>
      </c>
      <c r="L282" s="192"/>
      <c r="M282" s="36"/>
    </row>
    <row r="283" spans="1:13" ht="12.75" customHeight="1" x14ac:dyDescent="0.2">
      <c r="A283" s="11" t="s">
        <v>117</v>
      </c>
      <c r="B283" s="35">
        <v>45926</v>
      </c>
      <c r="C283" s="12" t="s">
        <v>483</v>
      </c>
      <c r="D283" s="12" t="s">
        <v>119</v>
      </c>
      <c r="E283" s="12" t="s">
        <v>544</v>
      </c>
      <c r="F283" s="15" t="s">
        <v>768</v>
      </c>
      <c r="G283" s="218">
        <v>4860.43</v>
      </c>
      <c r="H283" s="77"/>
      <c r="I283" s="36">
        <v>428575.19</v>
      </c>
      <c r="J283" s="195" t="s">
        <v>240</v>
      </c>
      <c r="K283" s="164">
        <v>2</v>
      </c>
      <c r="L283" s="192"/>
      <c r="M283" s="36"/>
    </row>
    <row r="284" spans="1:13" ht="12.75" customHeight="1" x14ac:dyDescent="0.2">
      <c r="A284" s="11" t="s">
        <v>117</v>
      </c>
      <c r="B284" s="35">
        <v>45929</v>
      </c>
      <c r="C284" s="12" t="s">
        <v>484</v>
      </c>
      <c r="D284" s="12" t="s">
        <v>485</v>
      </c>
      <c r="E284" s="12" t="s">
        <v>19</v>
      </c>
      <c r="F284" s="15" t="s">
        <v>769</v>
      </c>
      <c r="G284" s="36"/>
      <c r="H284" s="77">
        <v>-438.57</v>
      </c>
      <c r="I284" s="36">
        <v>428136.62</v>
      </c>
      <c r="J284" s="33" t="s">
        <v>243</v>
      </c>
      <c r="K284" s="164">
        <v>-2</v>
      </c>
      <c r="L284" s="192"/>
      <c r="M284" s="36"/>
    </row>
    <row r="285" spans="1:13" ht="12.75" customHeight="1" x14ac:dyDescent="0.2">
      <c r="A285" s="11" t="s">
        <v>117</v>
      </c>
      <c r="B285" s="35">
        <v>45929</v>
      </c>
      <c r="C285" s="12" t="s">
        <v>486</v>
      </c>
      <c r="D285" s="12" t="s">
        <v>487</v>
      </c>
      <c r="E285" s="12" t="s">
        <v>19</v>
      </c>
      <c r="F285" s="15" t="s">
        <v>770</v>
      </c>
      <c r="G285" s="36"/>
      <c r="H285" s="77">
        <v>-727.12</v>
      </c>
      <c r="I285" s="36">
        <v>427409.5</v>
      </c>
      <c r="J285" s="33" t="s">
        <v>243</v>
      </c>
      <c r="K285" s="164">
        <v>-2</v>
      </c>
      <c r="L285" s="192"/>
      <c r="M285" s="36"/>
    </row>
    <row r="286" spans="1:13" ht="12.75" customHeight="1" x14ac:dyDescent="0.2">
      <c r="A286" s="11" t="s">
        <v>117</v>
      </c>
      <c r="B286" s="35">
        <v>45929</v>
      </c>
      <c r="C286" s="12" t="s">
        <v>488</v>
      </c>
      <c r="D286" s="12" t="s">
        <v>489</v>
      </c>
      <c r="E286" s="12" t="s">
        <v>19</v>
      </c>
      <c r="F286" s="15" t="s">
        <v>771</v>
      </c>
      <c r="G286" s="36"/>
      <c r="H286" s="77">
        <v>-856.87</v>
      </c>
      <c r="I286" s="36">
        <v>426552.63</v>
      </c>
      <c r="J286" s="33" t="s">
        <v>243</v>
      </c>
      <c r="K286" s="164">
        <v>-2</v>
      </c>
      <c r="L286" s="192"/>
      <c r="M286" s="36"/>
    </row>
    <row r="287" spans="1:13" ht="12.75" customHeight="1" x14ac:dyDescent="0.2">
      <c r="A287" s="11" t="s">
        <v>117</v>
      </c>
      <c r="B287" s="35">
        <v>45929</v>
      </c>
      <c r="C287" s="12" t="s">
        <v>490</v>
      </c>
      <c r="D287" s="12" t="s">
        <v>491</v>
      </c>
      <c r="E287" s="12" t="s">
        <v>19</v>
      </c>
      <c r="F287" s="15" t="s">
        <v>772</v>
      </c>
      <c r="G287" s="36"/>
      <c r="H287" s="77">
        <v>-165.53</v>
      </c>
      <c r="I287" s="36">
        <v>426387.1</v>
      </c>
      <c r="J287" s="33" t="s">
        <v>243</v>
      </c>
      <c r="K287" s="164">
        <v>-2</v>
      </c>
      <c r="L287" s="192"/>
      <c r="M287" s="36"/>
    </row>
    <row r="288" spans="1:13" ht="12.75" customHeight="1" x14ac:dyDescent="0.2">
      <c r="A288" s="11" t="s">
        <v>117</v>
      </c>
      <c r="B288" s="35">
        <v>45929</v>
      </c>
      <c r="C288" s="12" t="s">
        <v>492</v>
      </c>
      <c r="D288" s="12" t="s">
        <v>493</v>
      </c>
      <c r="E288" s="12" t="s">
        <v>19</v>
      </c>
      <c r="F288" s="15" t="s">
        <v>773</v>
      </c>
      <c r="G288" s="36"/>
      <c r="H288" s="77">
        <v>-116.36</v>
      </c>
      <c r="I288" s="36">
        <v>426270.74</v>
      </c>
      <c r="J288" s="33" t="s">
        <v>243</v>
      </c>
      <c r="K288" s="164">
        <v>-2</v>
      </c>
      <c r="L288" s="192"/>
      <c r="M288" s="36"/>
    </row>
    <row r="289" spans="1:13" ht="12.75" customHeight="1" x14ac:dyDescent="0.2">
      <c r="A289" s="11" t="s">
        <v>117</v>
      </c>
      <c r="B289" s="35">
        <v>45929</v>
      </c>
      <c r="C289" s="12" t="s">
        <v>494</v>
      </c>
      <c r="D289" s="12" t="s">
        <v>495</v>
      </c>
      <c r="E289" s="12" t="s">
        <v>21</v>
      </c>
      <c r="F289" s="15" t="s">
        <v>774</v>
      </c>
      <c r="G289" s="36"/>
      <c r="H289" s="77">
        <v>-123.95</v>
      </c>
      <c r="I289" s="36">
        <v>426146.79</v>
      </c>
      <c r="J289" s="33"/>
      <c r="K289" s="164">
        <v>-1</v>
      </c>
      <c r="L289" s="192"/>
      <c r="M289" s="36"/>
    </row>
    <row r="290" spans="1:13" ht="12.75" customHeight="1" x14ac:dyDescent="0.2">
      <c r="A290" s="11" t="s">
        <v>117</v>
      </c>
      <c r="B290" s="35">
        <v>45929</v>
      </c>
      <c r="C290" s="12" t="s">
        <v>496</v>
      </c>
      <c r="D290" s="12" t="s">
        <v>497</v>
      </c>
      <c r="E290" s="12" t="s">
        <v>497</v>
      </c>
      <c r="F290" s="15" t="s">
        <v>497</v>
      </c>
      <c r="G290" s="36">
        <v>2187.7800000000002</v>
      </c>
      <c r="H290" s="77"/>
      <c r="I290" s="36">
        <v>428334.57</v>
      </c>
      <c r="J290" s="33"/>
      <c r="K290" s="164">
        <v>1</v>
      </c>
      <c r="L290" s="192"/>
      <c r="M290" s="36"/>
    </row>
    <row r="291" spans="1:13" ht="12.75" customHeight="1" x14ac:dyDescent="0.2">
      <c r="A291" s="11" t="s">
        <v>117</v>
      </c>
      <c r="B291" s="35">
        <v>45929</v>
      </c>
      <c r="C291" s="12" t="s">
        <v>498</v>
      </c>
      <c r="D291" s="12" t="s">
        <v>119</v>
      </c>
      <c r="E291" s="12" t="s">
        <v>545</v>
      </c>
      <c r="F291" s="15" t="s">
        <v>775</v>
      </c>
      <c r="G291" s="36">
        <v>800</v>
      </c>
      <c r="H291" s="77"/>
      <c r="I291" s="36">
        <v>429134.57</v>
      </c>
      <c r="J291" s="33" t="s">
        <v>243</v>
      </c>
      <c r="K291" s="164">
        <v>2</v>
      </c>
      <c r="L291" s="192"/>
      <c r="M291" s="36"/>
    </row>
    <row r="292" spans="1:13" ht="12.75" customHeight="1" x14ac:dyDescent="0.2">
      <c r="A292" s="11" t="s">
        <v>117</v>
      </c>
      <c r="B292" s="35">
        <v>45929</v>
      </c>
      <c r="C292" s="12" t="s">
        <v>498</v>
      </c>
      <c r="D292" s="12" t="s">
        <v>119</v>
      </c>
      <c r="E292" s="12" t="s">
        <v>545</v>
      </c>
      <c r="F292" s="15" t="s">
        <v>776</v>
      </c>
      <c r="G292" s="36">
        <v>899.73</v>
      </c>
      <c r="H292" s="77"/>
      <c r="I292" s="36">
        <v>430034.3</v>
      </c>
      <c r="J292" s="33"/>
      <c r="K292" s="164">
        <v>1</v>
      </c>
      <c r="L292" s="192"/>
      <c r="M292" s="36"/>
    </row>
    <row r="293" spans="1:13" ht="12.75" customHeight="1" x14ac:dyDescent="0.2">
      <c r="A293" s="11" t="s">
        <v>117</v>
      </c>
      <c r="B293" s="35">
        <v>45929</v>
      </c>
      <c r="C293" s="12" t="s">
        <v>498</v>
      </c>
      <c r="D293" s="12" t="s">
        <v>119</v>
      </c>
      <c r="E293" s="12" t="s">
        <v>545</v>
      </c>
      <c r="F293" s="15" t="s">
        <v>777</v>
      </c>
      <c r="G293" s="36">
        <v>8264.68</v>
      </c>
      <c r="H293" s="77"/>
      <c r="I293" s="36">
        <v>438298.98</v>
      </c>
      <c r="J293" s="33" t="s">
        <v>241</v>
      </c>
      <c r="K293" s="164">
        <v>2</v>
      </c>
      <c r="L293" s="192"/>
      <c r="M293" s="36"/>
    </row>
    <row r="294" spans="1:13" ht="12.75" customHeight="1" x14ac:dyDescent="0.2">
      <c r="A294" s="11" t="s">
        <v>117</v>
      </c>
      <c r="B294" s="35">
        <v>45929</v>
      </c>
      <c r="C294" s="12" t="s">
        <v>498</v>
      </c>
      <c r="D294" s="12" t="s">
        <v>119</v>
      </c>
      <c r="E294" s="12" t="s">
        <v>545</v>
      </c>
      <c r="F294" s="15" t="s">
        <v>778</v>
      </c>
      <c r="G294" s="36">
        <v>500</v>
      </c>
      <c r="H294" s="77"/>
      <c r="I294" s="36">
        <v>438798.98</v>
      </c>
      <c r="J294" s="33" t="s">
        <v>243</v>
      </c>
      <c r="K294" s="164">
        <v>2</v>
      </c>
      <c r="L294" s="192"/>
      <c r="M294" s="36"/>
    </row>
    <row r="295" spans="1:13" ht="12.75" customHeight="1" x14ac:dyDescent="0.2">
      <c r="A295" s="11" t="s">
        <v>117</v>
      </c>
      <c r="B295" s="35">
        <v>45929</v>
      </c>
      <c r="C295" s="12" t="s">
        <v>499</v>
      </c>
      <c r="D295" s="12" t="s">
        <v>137</v>
      </c>
      <c r="E295" s="12" t="s">
        <v>137</v>
      </c>
      <c r="F295" s="15" t="s">
        <v>779</v>
      </c>
      <c r="G295" s="36">
        <v>55.6</v>
      </c>
      <c r="H295" s="77"/>
      <c r="I295" s="36">
        <v>438854.58</v>
      </c>
      <c r="J295" s="33" t="s">
        <v>241</v>
      </c>
      <c r="K295" s="164">
        <v>2</v>
      </c>
      <c r="L295" s="192"/>
      <c r="M295" s="36"/>
    </row>
    <row r="296" spans="1:13" ht="12.75" customHeight="1" x14ac:dyDescent="0.2">
      <c r="A296" s="11" t="s">
        <v>117</v>
      </c>
      <c r="B296" s="35">
        <v>45930</v>
      </c>
      <c r="C296" s="12" t="s">
        <v>500</v>
      </c>
      <c r="D296" s="12" t="s">
        <v>501</v>
      </c>
      <c r="E296" s="12" t="s">
        <v>19</v>
      </c>
      <c r="F296" s="15" t="s">
        <v>780</v>
      </c>
      <c r="G296" s="36"/>
      <c r="H296" s="223">
        <v>-494.33</v>
      </c>
      <c r="I296" s="36">
        <v>438360.25</v>
      </c>
      <c r="J296" s="33" t="s">
        <v>241</v>
      </c>
      <c r="K296" s="164">
        <v>-2</v>
      </c>
      <c r="L296" s="192"/>
      <c r="M296" s="36"/>
    </row>
    <row r="297" spans="1:13" ht="12.75" customHeight="1" x14ac:dyDescent="0.2">
      <c r="A297" s="11" t="s">
        <v>117</v>
      </c>
      <c r="B297" s="35">
        <v>45930</v>
      </c>
      <c r="C297" s="12" t="s">
        <v>502</v>
      </c>
      <c r="D297" s="12" t="s">
        <v>503</v>
      </c>
      <c r="E297" s="12" t="s">
        <v>546</v>
      </c>
      <c r="F297" s="15" t="s">
        <v>781</v>
      </c>
      <c r="G297" s="36"/>
      <c r="H297" s="77">
        <v>-5.95</v>
      </c>
      <c r="I297" s="36">
        <v>438354.3</v>
      </c>
      <c r="J297" s="33"/>
      <c r="K297" s="164">
        <v>-1</v>
      </c>
      <c r="L297" s="192"/>
      <c r="M297" s="36"/>
    </row>
    <row r="298" spans="1:13" ht="12.75" customHeight="1" x14ac:dyDescent="0.2">
      <c r="A298" s="11" t="s">
        <v>117</v>
      </c>
      <c r="B298" s="35">
        <v>45930</v>
      </c>
      <c r="C298" s="12" t="s">
        <v>502</v>
      </c>
      <c r="D298" s="12" t="s">
        <v>503</v>
      </c>
      <c r="E298" s="12" t="s">
        <v>546</v>
      </c>
      <c r="F298" s="15" t="s">
        <v>781</v>
      </c>
      <c r="G298" s="36"/>
      <c r="H298" s="77">
        <v>-10</v>
      </c>
      <c r="I298" s="36">
        <v>438344.3</v>
      </c>
      <c r="J298" s="33"/>
      <c r="K298" s="164">
        <v>-1</v>
      </c>
      <c r="L298" s="192"/>
      <c r="M298" s="36"/>
    </row>
    <row r="299" spans="1:13" ht="12.75" customHeight="1" x14ac:dyDescent="0.2">
      <c r="A299" s="11" t="s">
        <v>117</v>
      </c>
      <c r="B299" s="35">
        <v>45930</v>
      </c>
      <c r="C299" s="12" t="s">
        <v>502</v>
      </c>
      <c r="D299" s="12" t="s">
        <v>503</v>
      </c>
      <c r="E299" s="12" t="s">
        <v>546</v>
      </c>
      <c r="F299" s="15" t="s">
        <v>781</v>
      </c>
      <c r="G299" s="36"/>
      <c r="H299" s="77">
        <v>-3</v>
      </c>
      <c r="I299" s="36">
        <v>438341.3</v>
      </c>
      <c r="J299" s="33"/>
      <c r="K299" s="164">
        <v>-1</v>
      </c>
      <c r="L299" s="192"/>
      <c r="M299" s="36"/>
    </row>
    <row r="300" spans="1:13" ht="12.75" customHeight="1" x14ac:dyDescent="0.2">
      <c r="A300" s="11" t="s">
        <v>117</v>
      </c>
      <c r="B300" s="35">
        <v>45930</v>
      </c>
      <c r="C300" s="12" t="s">
        <v>502</v>
      </c>
      <c r="D300" s="12" t="s">
        <v>503</v>
      </c>
      <c r="E300" s="12" t="s">
        <v>546</v>
      </c>
      <c r="F300" s="15" t="s">
        <v>782</v>
      </c>
      <c r="G300" s="36"/>
      <c r="H300" s="77">
        <v>-184.85</v>
      </c>
      <c r="I300" s="36">
        <v>438156.45</v>
      </c>
      <c r="J300" s="33"/>
      <c r="K300" s="164">
        <v>-1</v>
      </c>
      <c r="L300" s="192"/>
      <c r="M300" s="36"/>
    </row>
    <row r="301" spans="1:13" ht="12.75" customHeight="1" x14ac:dyDescent="0.2">
      <c r="A301" s="11" t="s">
        <v>117</v>
      </c>
      <c r="B301" s="35">
        <v>45930</v>
      </c>
      <c r="C301" s="12" t="s">
        <v>502</v>
      </c>
      <c r="D301" s="12" t="s">
        <v>503</v>
      </c>
      <c r="E301" s="12" t="s">
        <v>546</v>
      </c>
      <c r="F301" s="15" t="s">
        <v>783</v>
      </c>
      <c r="G301" s="36"/>
      <c r="H301" s="77">
        <v>-74.95</v>
      </c>
      <c r="I301" s="36">
        <v>438081.5</v>
      </c>
      <c r="J301" s="33"/>
      <c r="K301" s="164">
        <v>-1</v>
      </c>
      <c r="L301" s="192"/>
      <c r="M301" s="36"/>
    </row>
    <row r="302" spans="1:13" ht="12.75" customHeight="1" x14ac:dyDescent="0.2">
      <c r="A302" s="11" t="s">
        <v>117</v>
      </c>
      <c r="B302" s="35">
        <v>45930</v>
      </c>
      <c r="C302" s="12" t="s">
        <v>502</v>
      </c>
      <c r="D302" s="12" t="s">
        <v>503</v>
      </c>
      <c r="E302" s="12" t="s">
        <v>546</v>
      </c>
      <c r="F302" s="15" t="s">
        <v>783</v>
      </c>
      <c r="G302" s="36"/>
      <c r="H302" s="77">
        <v>-167</v>
      </c>
      <c r="I302" s="36">
        <v>437914.5</v>
      </c>
      <c r="J302" s="33"/>
      <c r="K302" s="164">
        <v>-1</v>
      </c>
      <c r="L302" s="192"/>
      <c r="M302" s="36"/>
    </row>
    <row r="303" spans="1:13" ht="12.75" customHeight="1" x14ac:dyDescent="0.2">
      <c r="A303" s="11" t="s">
        <v>117</v>
      </c>
      <c r="B303" s="35">
        <v>45930</v>
      </c>
      <c r="C303" s="12" t="s">
        <v>504</v>
      </c>
      <c r="D303" s="12" t="s">
        <v>505</v>
      </c>
      <c r="E303" s="12" t="s">
        <v>534</v>
      </c>
      <c r="F303" s="15" t="s">
        <v>711</v>
      </c>
      <c r="G303" s="36"/>
      <c r="H303" s="77">
        <v>-1027.5</v>
      </c>
      <c r="I303" s="36">
        <v>436887</v>
      </c>
      <c r="J303" s="33"/>
      <c r="K303" s="164">
        <v>-1</v>
      </c>
      <c r="L303" s="192"/>
      <c r="M303" s="36"/>
    </row>
    <row r="304" spans="1:13" ht="12.75" customHeight="1" x14ac:dyDescent="0.2">
      <c r="A304" s="11" t="s">
        <v>117</v>
      </c>
      <c r="B304" s="35">
        <v>45930</v>
      </c>
      <c r="C304" s="12" t="s">
        <v>506</v>
      </c>
      <c r="D304" s="12" t="s">
        <v>507</v>
      </c>
      <c r="E304" s="12" t="s">
        <v>517</v>
      </c>
      <c r="F304" s="15" t="s">
        <v>784</v>
      </c>
      <c r="G304" s="36"/>
      <c r="H304" s="77">
        <v>-29.82</v>
      </c>
      <c r="I304" s="36">
        <v>436857.18</v>
      </c>
      <c r="J304" s="33"/>
      <c r="K304" s="164">
        <v>-1</v>
      </c>
      <c r="L304" s="192"/>
      <c r="M304" s="36"/>
    </row>
    <row r="305" spans="1:13" ht="12.75" customHeight="1" x14ac:dyDescent="0.2">
      <c r="A305" s="11" t="s">
        <v>117</v>
      </c>
      <c r="B305" s="35">
        <v>45930</v>
      </c>
      <c r="C305" s="12" t="s">
        <v>508</v>
      </c>
      <c r="D305" s="12" t="s">
        <v>509</v>
      </c>
      <c r="E305" s="12" t="s">
        <v>509</v>
      </c>
      <c r="F305" s="15" t="s">
        <v>127</v>
      </c>
      <c r="G305" s="36"/>
      <c r="H305" s="77">
        <v>-193875.17</v>
      </c>
      <c r="I305" s="36">
        <v>242982.01</v>
      </c>
      <c r="J305" s="33"/>
      <c r="K305" s="164">
        <v>-1</v>
      </c>
      <c r="L305" s="192"/>
      <c r="M305" s="36"/>
    </row>
    <row r="306" spans="1:13" ht="12.75" customHeight="1" x14ac:dyDescent="0.2">
      <c r="A306" s="11" t="s">
        <v>117</v>
      </c>
      <c r="B306" s="35">
        <v>45930</v>
      </c>
      <c r="C306" s="12" t="s">
        <v>510</v>
      </c>
      <c r="D306" s="12" t="s">
        <v>119</v>
      </c>
      <c r="E306" s="12" t="s">
        <v>547</v>
      </c>
      <c r="F306" s="15" t="s">
        <v>785</v>
      </c>
      <c r="G306" s="36">
        <v>1735.36</v>
      </c>
      <c r="H306" s="77"/>
      <c r="I306" s="36">
        <v>244717.37</v>
      </c>
      <c r="J306" s="33"/>
      <c r="K306" s="164">
        <v>1</v>
      </c>
      <c r="L306" s="192"/>
      <c r="M306" s="36"/>
    </row>
    <row r="307" spans="1:13" ht="12.75" customHeight="1" x14ac:dyDescent="0.2">
      <c r="A307" s="11" t="s">
        <v>117</v>
      </c>
      <c r="B307" s="35">
        <v>45930</v>
      </c>
      <c r="C307" s="12" t="s">
        <v>510</v>
      </c>
      <c r="D307" s="12" t="s">
        <v>119</v>
      </c>
      <c r="E307" s="12" t="s">
        <v>547</v>
      </c>
      <c r="F307" s="15" t="s">
        <v>786</v>
      </c>
      <c r="G307" s="36">
        <v>3495</v>
      </c>
      <c r="H307" s="77"/>
      <c r="I307" s="36">
        <v>248212.37</v>
      </c>
      <c r="J307" s="33"/>
      <c r="K307" s="164">
        <v>1</v>
      </c>
      <c r="L307" s="192"/>
      <c r="M307" s="36"/>
    </row>
    <row r="308" spans="1:13" ht="12.75" customHeight="1" x14ac:dyDescent="0.2">
      <c r="A308" s="11" t="s">
        <v>117</v>
      </c>
      <c r="B308" s="35">
        <v>45930</v>
      </c>
      <c r="C308" s="12" t="s">
        <v>510</v>
      </c>
      <c r="D308" s="12" t="s">
        <v>119</v>
      </c>
      <c r="E308" s="12" t="s">
        <v>547</v>
      </c>
      <c r="F308" s="15" t="s">
        <v>787</v>
      </c>
      <c r="G308" s="36">
        <v>977</v>
      </c>
      <c r="H308" s="77"/>
      <c r="I308" s="36">
        <v>249189.37</v>
      </c>
      <c r="J308" s="33"/>
      <c r="K308" s="164">
        <v>1</v>
      </c>
      <c r="L308" s="192"/>
      <c r="M308" s="36"/>
    </row>
    <row r="309" spans="1:13" ht="12.75" customHeight="1" x14ac:dyDescent="0.2">
      <c r="A309" s="11" t="s">
        <v>117</v>
      </c>
      <c r="B309" s="35">
        <v>45930</v>
      </c>
      <c r="C309" s="12" t="s">
        <v>510</v>
      </c>
      <c r="D309" s="12" t="s">
        <v>119</v>
      </c>
      <c r="E309" s="12" t="s">
        <v>547</v>
      </c>
      <c r="F309" s="15" t="s">
        <v>788</v>
      </c>
      <c r="G309" s="36">
        <v>914.98</v>
      </c>
      <c r="H309" s="77"/>
      <c r="I309" s="36">
        <v>250104.35</v>
      </c>
      <c r="J309" s="33"/>
      <c r="K309" s="164">
        <v>1</v>
      </c>
      <c r="L309" s="192"/>
      <c r="M309" s="36"/>
    </row>
    <row r="310" spans="1:13" ht="12.75" customHeight="1" x14ac:dyDescent="0.2">
      <c r="A310" s="11" t="s">
        <v>117</v>
      </c>
      <c r="B310" s="35">
        <v>45930</v>
      </c>
      <c r="C310" s="12" t="s">
        <v>510</v>
      </c>
      <c r="D310" s="12" t="s">
        <v>119</v>
      </c>
      <c r="E310" s="12" t="s">
        <v>547</v>
      </c>
      <c r="F310" s="15" t="s">
        <v>777</v>
      </c>
      <c r="G310" s="212">
        <v>909.5</v>
      </c>
      <c r="H310" s="77"/>
      <c r="I310" s="36">
        <v>251013.85</v>
      </c>
      <c r="J310" s="33" t="s">
        <v>243</v>
      </c>
      <c r="K310" s="164">
        <v>2</v>
      </c>
      <c r="L310" s="192"/>
      <c r="M310" s="36"/>
    </row>
    <row r="311" spans="1:13" ht="12.75" customHeight="1" x14ac:dyDescent="0.2">
      <c r="A311" s="11" t="s">
        <v>117</v>
      </c>
      <c r="B311" s="35">
        <v>45930</v>
      </c>
      <c r="C311" s="12" t="s">
        <v>510</v>
      </c>
      <c r="D311" s="12" t="s">
        <v>119</v>
      </c>
      <c r="E311" s="12" t="s">
        <v>547</v>
      </c>
      <c r="F311" s="15" t="s">
        <v>789</v>
      </c>
      <c r="G311" s="212">
        <v>1823.04</v>
      </c>
      <c r="H311" s="77"/>
      <c r="I311" s="36">
        <v>252836.89</v>
      </c>
      <c r="J311" s="33" t="s">
        <v>243</v>
      </c>
      <c r="K311" s="164">
        <v>2</v>
      </c>
      <c r="L311" s="192"/>
      <c r="M311" s="36"/>
    </row>
    <row r="312" spans="1:13" ht="12.75" customHeight="1" x14ac:dyDescent="0.2">
      <c r="A312" s="11" t="s">
        <v>117</v>
      </c>
      <c r="B312" s="35">
        <v>45930</v>
      </c>
      <c r="C312" s="12" t="s">
        <v>510</v>
      </c>
      <c r="D312" s="12" t="s">
        <v>119</v>
      </c>
      <c r="E312" s="12" t="s">
        <v>547</v>
      </c>
      <c r="F312" s="15" t="s">
        <v>790</v>
      </c>
      <c r="G312" s="212">
        <v>3735.89</v>
      </c>
      <c r="H312" s="77"/>
      <c r="I312" s="36">
        <v>256572.78</v>
      </c>
      <c r="J312" s="33" t="s">
        <v>243</v>
      </c>
      <c r="K312" s="164">
        <v>2</v>
      </c>
      <c r="L312" s="192"/>
      <c r="M312" s="36"/>
    </row>
    <row r="313" spans="1:13" ht="12.75" customHeight="1" x14ac:dyDescent="0.2">
      <c r="A313" s="11" t="s">
        <v>117</v>
      </c>
      <c r="B313" s="35">
        <v>45930</v>
      </c>
      <c r="C313" s="12" t="s">
        <v>510</v>
      </c>
      <c r="D313" s="12" t="s">
        <v>119</v>
      </c>
      <c r="E313" s="12" t="s">
        <v>547</v>
      </c>
      <c r="F313" s="15" t="s">
        <v>791</v>
      </c>
      <c r="G313" s="212">
        <v>5427.32</v>
      </c>
      <c r="H313" s="77"/>
      <c r="I313" s="36">
        <v>262000.1</v>
      </c>
      <c r="J313" s="33" t="s">
        <v>243</v>
      </c>
      <c r="K313" s="164">
        <v>2</v>
      </c>
      <c r="L313" s="192"/>
      <c r="M313" s="36"/>
    </row>
    <row r="314" spans="1:13" ht="12.75" customHeight="1" x14ac:dyDescent="0.2">
      <c r="A314" s="11" t="s">
        <v>117</v>
      </c>
      <c r="B314" s="35">
        <v>45930</v>
      </c>
      <c r="C314" s="12" t="s">
        <v>510</v>
      </c>
      <c r="D314" s="12" t="s">
        <v>119</v>
      </c>
      <c r="E314" s="12" t="s">
        <v>547</v>
      </c>
      <c r="F314" s="15" t="s">
        <v>792</v>
      </c>
      <c r="G314" s="36">
        <v>918.72</v>
      </c>
      <c r="H314" s="77"/>
      <c r="I314" s="36">
        <v>262918.82</v>
      </c>
      <c r="J314" s="33"/>
      <c r="K314" s="164">
        <v>1</v>
      </c>
      <c r="L314" s="192"/>
      <c r="M314" s="36"/>
    </row>
    <row r="315" spans="1:13" ht="12.75" customHeight="1" x14ac:dyDescent="0.2">
      <c r="A315" s="11" t="s">
        <v>117</v>
      </c>
      <c r="B315" s="35">
        <v>45930</v>
      </c>
      <c r="C315" s="12" t="s">
        <v>511</v>
      </c>
      <c r="D315" s="12" t="s">
        <v>512</v>
      </c>
      <c r="E315" s="12" t="s">
        <v>548</v>
      </c>
      <c r="F315" s="15" t="s">
        <v>548</v>
      </c>
      <c r="G315" s="36"/>
      <c r="H315" s="77">
        <v>-22690.01</v>
      </c>
      <c r="I315" s="36">
        <v>240228.81</v>
      </c>
      <c r="J315" s="33"/>
      <c r="K315" s="164">
        <v>-1</v>
      </c>
      <c r="L315" s="192"/>
      <c r="M315" s="36"/>
    </row>
    <row r="316" spans="1:13" ht="12.75" customHeight="1" x14ac:dyDescent="0.2">
      <c r="A316" s="11" t="s">
        <v>117</v>
      </c>
      <c r="B316" s="35">
        <v>45930</v>
      </c>
      <c r="C316" s="12" t="s">
        <v>513</v>
      </c>
      <c r="D316" s="12" t="s">
        <v>514</v>
      </c>
      <c r="E316" s="12" t="s">
        <v>514</v>
      </c>
      <c r="F316" s="15" t="s">
        <v>793</v>
      </c>
      <c r="G316" s="36">
        <v>270</v>
      </c>
      <c r="H316" s="77"/>
      <c r="I316" s="36">
        <v>240498.81</v>
      </c>
      <c r="J316" s="33"/>
      <c r="K316" s="164">
        <v>1</v>
      </c>
      <c r="L316" s="77"/>
      <c r="M316" s="36"/>
    </row>
    <row r="317" spans="1:13" ht="12.75" customHeight="1" x14ac:dyDescent="0.2">
      <c r="A317" s="11" t="s">
        <v>117</v>
      </c>
      <c r="B317" s="35">
        <v>45930</v>
      </c>
      <c r="C317" s="12" t="s">
        <v>515</v>
      </c>
      <c r="D317" s="12"/>
      <c r="E317" s="12" t="s">
        <v>549</v>
      </c>
      <c r="F317" s="15" t="s">
        <v>794</v>
      </c>
      <c r="G317" s="36"/>
      <c r="H317" s="77">
        <v>-17770.599999999999</v>
      </c>
      <c r="I317" s="36">
        <v>222728.21</v>
      </c>
      <c r="J317" s="33"/>
      <c r="K317" s="164">
        <v>-1</v>
      </c>
      <c r="L317" s="77"/>
      <c r="M317" s="36"/>
    </row>
    <row r="318" spans="1:13" ht="12.75" customHeight="1" x14ac:dyDescent="0.2">
      <c r="B318" s="14"/>
      <c r="C318" s="14"/>
      <c r="D318" s="14"/>
      <c r="E318" s="14"/>
      <c r="F318" s="20" t="s">
        <v>128</v>
      </c>
      <c r="G318" s="188">
        <v>544500.16</v>
      </c>
      <c r="H318" s="188">
        <v>467930.45</v>
      </c>
      <c r="I318" s="189">
        <v>222728.21</v>
      </c>
      <c r="J318" s="37"/>
      <c r="L318" s="192"/>
      <c r="M318" s="36"/>
    </row>
    <row r="319" spans="1:13" x14ac:dyDescent="0.2">
      <c r="G319" s="32"/>
      <c r="H319" s="37"/>
      <c r="I319" s="38"/>
      <c r="J319" s="28"/>
      <c r="L319" s="192"/>
      <c r="M319" s="36"/>
    </row>
    <row r="320" spans="1:13" x14ac:dyDescent="0.2">
      <c r="G320" s="39"/>
      <c r="H320" s="39"/>
      <c r="I320" s="36"/>
      <c r="J320" s="77"/>
      <c r="L320" s="192"/>
      <c r="M320" s="36"/>
    </row>
    <row r="321" spans="6:13" ht="13.5" thickBot="1" x14ac:dyDescent="0.25">
      <c r="F321" s="63">
        <v>1</v>
      </c>
      <c r="G321" s="40">
        <f>+SUMIF(K6:K317,1,G6:G317)+SUMIF(K6:K317,1,H6:H317)</f>
        <v>11398.569999999998</v>
      </c>
      <c r="H321" s="64" t="s">
        <v>104</v>
      </c>
      <c r="I321" s="36"/>
      <c r="J321" s="77"/>
      <c r="L321" s="192"/>
      <c r="M321" s="36"/>
    </row>
    <row r="322" spans="6:13" ht="13.5" thickTop="1" x14ac:dyDescent="0.2">
      <c r="G322" s="39"/>
      <c r="H322" s="26"/>
      <c r="I322" s="36"/>
      <c r="J322" s="77"/>
    </row>
    <row r="323" spans="6:13" ht="13.5" thickBot="1" x14ac:dyDescent="0.25">
      <c r="F323" s="63">
        <v>-1</v>
      </c>
      <c r="G323" s="40">
        <f>+SUMIF(K6:K317,-1,G6:G317)+SUMIF(K6:K317,-1,H6:H317)</f>
        <v>-244384.30000000002</v>
      </c>
      <c r="H323" s="64" t="s">
        <v>105</v>
      </c>
      <c r="I323" s="36"/>
      <c r="J323" s="77"/>
    </row>
    <row r="324" spans="6:13" ht="13.5" thickTop="1" x14ac:dyDescent="0.2">
      <c r="G324" s="39"/>
      <c r="H324" s="39"/>
      <c r="I324" s="36"/>
    </row>
    <row r="325" spans="6:13" x14ac:dyDescent="0.2">
      <c r="G325" s="36"/>
      <c r="H325" s="36"/>
      <c r="I325" s="36"/>
    </row>
  </sheetData>
  <sortState xmlns:xlrd2="http://schemas.microsoft.com/office/spreadsheetml/2017/richdata2" ref="A6:K463">
    <sortCondition ref="B6:B463"/>
  </sortState>
  <mergeCells count="3">
    <mergeCell ref="A1:I1"/>
    <mergeCell ref="A2:I2"/>
    <mergeCell ref="A3:I3"/>
  </mergeCells>
  <pageMargins left="0.5" right="0.5" top="0" bottom="0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46"/>
  <sheetViews>
    <sheetView zoomScale="85" zoomScaleNormal="85" workbookViewId="0"/>
  </sheetViews>
  <sheetFormatPr defaultColWidth="9.33203125" defaultRowHeight="12.75" x14ac:dyDescent="0.2"/>
  <cols>
    <col min="1" max="1" width="18.6640625" style="23" bestFit="1" customWidth="1"/>
    <col min="2" max="2" width="12" style="4" bestFit="1" customWidth="1"/>
    <col min="3" max="3" width="10.83203125" style="23" bestFit="1" customWidth="1"/>
    <col min="4" max="4" width="12.33203125" style="23" bestFit="1" customWidth="1"/>
    <col min="5" max="5" width="35.33203125" style="23" customWidth="1"/>
    <col min="6" max="6" width="46.1640625" style="23" customWidth="1"/>
    <col min="7" max="7" width="16.6640625" style="26" customWidth="1"/>
    <col min="8" max="8" width="12.6640625" style="23" bestFit="1" customWidth="1"/>
    <col min="9" max="9" width="49.33203125" style="23" hidden="1" customWidth="1"/>
    <col min="10" max="10" width="12" style="23" bestFit="1" customWidth="1"/>
    <col min="11" max="11" width="9.33203125" style="163"/>
    <col min="12" max="13" width="9.33203125" style="23"/>
    <col min="14" max="15" width="11.33203125" style="23" bestFit="1" customWidth="1"/>
    <col min="16" max="16384" width="9.33203125" style="23"/>
  </cols>
  <sheetData>
    <row r="1" spans="1:13" x14ac:dyDescent="0.2">
      <c r="A1" s="22" t="s">
        <v>129</v>
      </c>
      <c r="I1" s="23" t="s">
        <v>130</v>
      </c>
    </row>
    <row r="2" spans="1:13" s="25" customFormat="1" x14ac:dyDescent="0.2">
      <c r="A2" s="50" t="s">
        <v>109</v>
      </c>
      <c r="B2" s="51" t="s">
        <v>95</v>
      </c>
      <c r="C2" s="52" t="s">
        <v>110</v>
      </c>
      <c r="D2" s="52" t="s">
        <v>111</v>
      </c>
      <c r="E2" s="52" t="s">
        <v>99</v>
      </c>
      <c r="F2" s="52" t="s">
        <v>112</v>
      </c>
      <c r="G2" s="53" t="s">
        <v>96</v>
      </c>
      <c r="H2" s="53" t="s">
        <v>131</v>
      </c>
      <c r="K2" s="163"/>
    </row>
    <row r="3" spans="1:13" x14ac:dyDescent="0.2">
      <c r="A3" s="23" t="s">
        <v>117</v>
      </c>
      <c r="B3" s="33" t="s">
        <v>243</v>
      </c>
      <c r="C3" s="24"/>
      <c r="D3" s="24"/>
      <c r="E3" s="24"/>
      <c r="F3" s="24" t="s">
        <v>8</v>
      </c>
      <c r="G3" s="32">
        <v>-455713.94</v>
      </c>
      <c r="H3" s="25" t="s">
        <v>5</v>
      </c>
      <c r="I3" s="24" t="s">
        <v>797</v>
      </c>
      <c r="K3" s="187"/>
    </row>
    <row r="4" spans="1:13" ht="13.5" thickBot="1" x14ac:dyDescent="0.25">
      <c r="C4" s="24"/>
      <c r="D4" s="24"/>
      <c r="E4" s="24"/>
      <c r="G4" s="186">
        <f>SUM(G3:G3)</f>
        <v>-455713.94</v>
      </c>
      <c r="I4" s="24"/>
      <c r="K4" s="187"/>
    </row>
    <row r="5" spans="1:13" ht="13.5" thickTop="1" x14ac:dyDescent="0.2">
      <c r="A5" s="70"/>
      <c r="C5" s="24"/>
      <c r="D5" s="24"/>
      <c r="E5" s="24"/>
      <c r="G5" s="165"/>
      <c r="I5" s="24"/>
      <c r="K5" s="187"/>
    </row>
    <row r="6" spans="1:13" x14ac:dyDescent="0.2">
      <c r="A6" s="70" t="s">
        <v>132</v>
      </c>
      <c r="C6" s="24"/>
      <c r="D6" s="24"/>
      <c r="E6" s="24"/>
      <c r="G6" s="185"/>
      <c r="I6" s="24"/>
      <c r="K6" s="187"/>
    </row>
    <row r="7" spans="1:13" x14ac:dyDescent="0.2">
      <c r="A7" s="50" t="s">
        <v>109</v>
      </c>
      <c r="B7" s="51" t="s">
        <v>95</v>
      </c>
      <c r="C7" s="52" t="s">
        <v>110</v>
      </c>
      <c r="D7" s="52" t="s">
        <v>111</v>
      </c>
      <c r="E7" s="52" t="s">
        <v>99</v>
      </c>
      <c r="F7" s="52" t="s">
        <v>112</v>
      </c>
      <c r="G7" s="53" t="s">
        <v>96</v>
      </c>
      <c r="H7" s="53" t="s">
        <v>131</v>
      </c>
      <c r="I7" s="54"/>
    </row>
    <row r="8" spans="1:13" s="11" customFormat="1" ht="12.75" customHeight="1" x14ac:dyDescent="0.2">
      <c r="A8" s="11" t="s">
        <v>117</v>
      </c>
      <c r="B8" s="35">
        <v>45929</v>
      </c>
      <c r="C8" s="12" t="s">
        <v>496</v>
      </c>
      <c r="D8" s="12" t="s">
        <v>497</v>
      </c>
      <c r="E8" s="12" t="s">
        <v>497</v>
      </c>
      <c r="F8" s="15" t="s">
        <v>497</v>
      </c>
      <c r="G8" s="36">
        <v>2187.7800000000002</v>
      </c>
      <c r="H8" s="224" t="s">
        <v>7</v>
      </c>
      <c r="I8" s="36" t="s">
        <v>798</v>
      </c>
      <c r="J8" s="33"/>
      <c r="K8" s="164"/>
      <c r="L8" s="192"/>
      <c r="M8" s="36"/>
    </row>
    <row r="9" spans="1:13" s="11" customFormat="1" ht="12.75" customHeight="1" x14ac:dyDescent="0.2">
      <c r="A9" s="11" t="s">
        <v>117</v>
      </c>
      <c r="B9" s="35">
        <v>45929</v>
      </c>
      <c r="C9" s="12" t="s">
        <v>498</v>
      </c>
      <c r="D9" s="12" t="s">
        <v>119</v>
      </c>
      <c r="E9" s="12" t="s">
        <v>545</v>
      </c>
      <c r="F9" s="15" t="s">
        <v>776</v>
      </c>
      <c r="G9" s="36">
        <v>899.73</v>
      </c>
      <c r="H9" s="224" t="s">
        <v>7</v>
      </c>
      <c r="I9" s="36" t="s">
        <v>799</v>
      </c>
      <c r="J9" s="33"/>
      <c r="K9" s="164"/>
      <c r="L9" s="192"/>
      <c r="M9" s="36"/>
    </row>
    <row r="10" spans="1:13" s="11" customFormat="1" ht="12.75" customHeight="1" x14ac:dyDescent="0.2">
      <c r="A10" s="11" t="s">
        <v>117</v>
      </c>
      <c r="B10" s="35">
        <v>45930</v>
      </c>
      <c r="C10" s="12" t="s">
        <v>510</v>
      </c>
      <c r="D10" s="12" t="s">
        <v>119</v>
      </c>
      <c r="E10" s="12" t="s">
        <v>547</v>
      </c>
      <c r="F10" s="15" t="s">
        <v>785</v>
      </c>
      <c r="G10" s="36">
        <v>1735.36</v>
      </c>
      <c r="H10" s="224" t="s">
        <v>7</v>
      </c>
      <c r="I10" s="36" t="s">
        <v>799</v>
      </c>
      <c r="J10" s="33"/>
      <c r="K10" s="164"/>
      <c r="L10" s="192"/>
      <c r="M10" s="36"/>
    </row>
    <row r="11" spans="1:13" s="11" customFormat="1" ht="12.75" customHeight="1" x14ac:dyDescent="0.2">
      <c r="A11" s="11" t="s">
        <v>117</v>
      </c>
      <c r="B11" s="35">
        <v>45930</v>
      </c>
      <c r="C11" s="12" t="s">
        <v>510</v>
      </c>
      <c r="D11" s="12" t="s">
        <v>119</v>
      </c>
      <c r="E11" s="12" t="s">
        <v>547</v>
      </c>
      <c r="F11" s="15" t="s">
        <v>786</v>
      </c>
      <c r="G11" s="36">
        <v>3495</v>
      </c>
      <c r="H11" s="224" t="s">
        <v>7</v>
      </c>
      <c r="I11" s="36" t="s">
        <v>799</v>
      </c>
      <c r="J11" s="33"/>
      <c r="K11" s="164"/>
      <c r="L11" s="192"/>
      <c r="M11" s="36"/>
    </row>
    <row r="12" spans="1:13" s="11" customFormat="1" ht="12.75" customHeight="1" x14ac:dyDescent="0.2">
      <c r="A12" s="11" t="s">
        <v>117</v>
      </c>
      <c r="B12" s="35">
        <v>45930</v>
      </c>
      <c r="C12" s="12" t="s">
        <v>510</v>
      </c>
      <c r="D12" s="12" t="s">
        <v>119</v>
      </c>
      <c r="E12" s="12" t="s">
        <v>547</v>
      </c>
      <c r="F12" s="15" t="s">
        <v>787</v>
      </c>
      <c r="G12" s="36">
        <v>977</v>
      </c>
      <c r="H12" s="224" t="s">
        <v>7</v>
      </c>
      <c r="I12" s="36" t="s">
        <v>799</v>
      </c>
      <c r="J12" s="33"/>
      <c r="K12" s="164"/>
      <c r="L12" s="192"/>
      <c r="M12" s="36"/>
    </row>
    <row r="13" spans="1:13" s="11" customFormat="1" ht="12.75" customHeight="1" x14ac:dyDescent="0.2">
      <c r="A13" s="11" t="s">
        <v>117</v>
      </c>
      <c r="B13" s="35">
        <v>45930</v>
      </c>
      <c r="C13" s="12" t="s">
        <v>510</v>
      </c>
      <c r="D13" s="12" t="s">
        <v>119</v>
      </c>
      <c r="E13" s="12" t="s">
        <v>547</v>
      </c>
      <c r="F13" s="15" t="s">
        <v>788</v>
      </c>
      <c r="G13" s="36">
        <v>914.98</v>
      </c>
      <c r="H13" s="224" t="s">
        <v>7</v>
      </c>
      <c r="I13" s="36" t="s">
        <v>800</v>
      </c>
      <c r="J13" s="33"/>
      <c r="K13" s="164"/>
      <c r="L13" s="192"/>
      <c r="M13" s="36"/>
    </row>
    <row r="14" spans="1:13" s="11" customFormat="1" ht="12.75" customHeight="1" x14ac:dyDescent="0.2">
      <c r="A14" s="11" t="s">
        <v>117</v>
      </c>
      <c r="B14" s="35">
        <v>45930</v>
      </c>
      <c r="C14" s="12" t="s">
        <v>510</v>
      </c>
      <c r="D14" s="12" t="s">
        <v>119</v>
      </c>
      <c r="E14" s="12" t="s">
        <v>547</v>
      </c>
      <c r="F14" s="15" t="s">
        <v>792</v>
      </c>
      <c r="G14" s="36">
        <v>918.72</v>
      </c>
      <c r="H14" s="224" t="s">
        <v>7</v>
      </c>
      <c r="I14" s="36" t="s">
        <v>799</v>
      </c>
      <c r="J14" s="33"/>
      <c r="K14" s="164"/>
      <c r="L14" s="192"/>
      <c r="M14" s="36"/>
    </row>
    <row r="15" spans="1:13" s="11" customFormat="1" ht="12.75" customHeight="1" x14ac:dyDescent="0.2">
      <c r="A15" s="11" t="s">
        <v>117</v>
      </c>
      <c r="B15" s="35">
        <v>45930</v>
      </c>
      <c r="C15" s="12" t="s">
        <v>513</v>
      </c>
      <c r="D15" s="12" t="s">
        <v>514</v>
      </c>
      <c r="E15" s="12" t="s">
        <v>514</v>
      </c>
      <c r="F15" s="15" t="s">
        <v>793</v>
      </c>
      <c r="G15" s="36">
        <v>270</v>
      </c>
      <c r="H15" s="224" t="s">
        <v>7</v>
      </c>
      <c r="I15" s="36" t="s">
        <v>798</v>
      </c>
      <c r="J15" s="33"/>
      <c r="K15" s="164"/>
      <c r="L15" s="77"/>
      <c r="M15" s="36"/>
    </row>
    <row r="16" spans="1:13" s="11" customFormat="1" ht="12.75" customHeight="1" thickBot="1" x14ac:dyDescent="0.25">
      <c r="B16" s="35"/>
      <c r="C16" s="12"/>
      <c r="D16" s="12"/>
      <c r="E16" s="12"/>
      <c r="F16" s="15"/>
      <c r="G16" s="194">
        <f>SUM(G8:G15)</f>
        <v>11398.569999999998</v>
      </c>
      <c r="H16" s="193"/>
      <c r="I16" s="36"/>
      <c r="J16" s="33"/>
      <c r="K16" s="164"/>
      <c r="L16" s="192"/>
      <c r="M16" s="36"/>
    </row>
    <row r="17" spans="1:13" s="11" customFormat="1" ht="12.75" customHeight="1" thickTop="1" x14ac:dyDescent="0.2">
      <c r="B17" s="35"/>
      <c r="C17" s="12"/>
      <c r="D17" s="12"/>
      <c r="E17" s="12"/>
      <c r="F17" s="15"/>
      <c r="G17" s="77"/>
      <c r="H17" s="193"/>
      <c r="I17" s="36"/>
      <c r="J17" s="33"/>
      <c r="K17" s="164"/>
      <c r="L17" s="192"/>
      <c r="M17" s="36"/>
    </row>
    <row r="18" spans="1:13" s="11" customFormat="1" ht="12.75" customHeight="1" x14ac:dyDescent="0.2">
      <c r="A18" s="11" t="s">
        <v>117</v>
      </c>
      <c r="B18" s="35">
        <v>45923</v>
      </c>
      <c r="C18" s="12" t="s">
        <v>466</v>
      </c>
      <c r="D18" s="12" t="s">
        <v>467</v>
      </c>
      <c r="E18" s="15" t="s">
        <v>121</v>
      </c>
      <c r="F18" s="12" t="s">
        <v>740</v>
      </c>
      <c r="G18" s="77">
        <v>-63</v>
      </c>
      <c r="H18" s="193" t="s">
        <v>5</v>
      </c>
      <c r="I18" s="36" t="s">
        <v>800</v>
      </c>
      <c r="J18" s="33"/>
      <c r="K18" s="164"/>
      <c r="L18" s="192"/>
      <c r="M18" s="36"/>
    </row>
    <row r="19" spans="1:13" s="11" customFormat="1" ht="12.75" customHeight="1" x14ac:dyDescent="0.2">
      <c r="A19" s="11" t="s">
        <v>117</v>
      </c>
      <c r="B19" s="35">
        <v>45926</v>
      </c>
      <c r="C19" s="12" t="s">
        <v>481</v>
      </c>
      <c r="D19" s="12" t="s">
        <v>482</v>
      </c>
      <c r="E19" s="12" t="s">
        <v>140</v>
      </c>
      <c r="F19" s="15" t="s">
        <v>761</v>
      </c>
      <c r="G19" s="77">
        <v>-1473.99</v>
      </c>
      <c r="H19" s="193" t="s">
        <v>5</v>
      </c>
      <c r="I19" s="235" t="s">
        <v>801</v>
      </c>
      <c r="J19" s="33"/>
      <c r="K19" s="164"/>
      <c r="L19" s="192"/>
      <c r="M19" s="36"/>
    </row>
    <row r="20" spans="1:13" s="11" customFormat="1" ht="12.75" customHeight="1" x14ac:dyDescent="0.2">
      <c r="A20" s="11" t="s">
        <v>117</v>
      </c>
      <c r="B20" s="35">
        <v>45926</v>
      </c>
      <c r="C20" s="12" t="s">
        <v>481</v>
      </c>
      <c r="D20" s="12" t="s">
        <v>482</v>
      </c>
      <c r="E20" s="12" t="s">
        <v>140</v>
      </c>
      <c r="F20" s="15" t="s">
        <v>762</v>
      </c>
      <c r="G20" s="77">
        <v>-1325.02</v>
      </c>
      <c r="H20" s="193" t="s">
        <v>5</v>
      </c>
      <c r="I20" s="235"/>
      <c r="J20" s="33"/>
      <c r="K20" s="164"/>
      <c r="L20" s="192"/>
      <c r="M20" s="36"/>
    </row>
    <row r="21" spans="1:13" s="11" customFormat="1" ht="12.75" customHeight="1" x14ac:dyDescent="0.2">
      <c r="A21" s="11" t="s">
        <v>117</v>
      </c>
      <c r="B21" s="35">
        <v>45926</v>
      </c>
      <c r="C21" s="12" t="s">
        <v>481</v>
      </c>
      <c r="D21" s="12" t="s">
        <v>482</v>
      </c>
      <c r="E21" s="12" t="s">
        <v>140</v>
      </c>
      <c r="F21" s="15" t="s">
        <v>144</v>
      </c>
      <c r="G21" s="77">
        <v>-532.84</v>
      </c>
      <c r="H21" s="193" t="s">
        <v>5</v>
      </c>
      <c r="I21" s="235"/>
      <c r="J21" s="33"/>
      <c r="K21" s="164"/>
      <c r="L21" s="192"/>
      <c r="M21" s="36"/>
    </row>
    <row r="22" spans="1:13" s="11" customFormat="1" ht="12.75" customHeight="1" x14ac:dyDescent="0.2">
      <c r="A22" s="11" t="s">
        <v>117</v>
      </c>
      <c r="B22" s="35">
        <v>45926</v>
      </c>
      <c r="C22" s="12" t="s">
        <v>481</v>
      </c>
      <c r="D22" s="12" t="s">
        <v>482</v>
      </c>
      <c r="E22" s="12" t="s">
        <v>140</v>
      </c>
      <c r="F22" s="15" t="s">
        <v>145</v>
      </c>
      <c r="G22" s="77">
        <v>-75.739999999999995</v>
      </c>
      <c r="H22" s="193" t="s">
        <v>5</v>
      </c>
      <c r="I22" s="235"/>
      <c r="J22" s="33"/>
      <c r="K22" s="164"/>
      <c r="L22" s="192"/>
      <c r="M22" s="36"/>
    </row>
    <row r="23" spans="1:13" s="11" customFormat="1" ht="12.75" customHeight="1" x14ac:dyDescent="0.2">
      <c r="A23" s="11" t="s">
        <v>117</v>
      </c>
      <c r="B23" s="35">
        <v>45926</v>
      </c>
      <c r="C23" s="12" t="s">
        <v>481</v>
      </c>
      <c r="D23" s="12" t="s">
        <v>482</v>
      </c>
      <c r="E23" s="12" t="s">
        <v>140</v>
      </c>
      <c r="F23" s="15" t="s">
        <v>149</v>
      </c>
      <c r="G23" s="77">
        <v>-150</v>
      </c>
      <c r="H23" s="193" t="s">
        <v>5</v>
      </c>
      <c r="I23" s="235"/>
      <c r="J23" s="33"/>
      <c r="K23" s="164"/>
      <c r="L23" s="192"/>
      <c r="M23" s="36"/>
    </row>
    <row r="24" spans="1:13" s="11" customFormat="1" ht="12.75" customHeight="1" x14ac:dyDescent="0.2">
      <c r="A24" s="11" t="s">
        <v>117</v>
      </c>
      <c r="B24" s="35">
        <v>45926</v>
      </c>
      <c r="C24" s="12" t="s">
        <v>481</v>
      </c>
      <c r="D24" s="12" t="s">
        <v>482</v>
      </c>
      <c r="E24" s="12" t="s">
        <v>140</v>
      </c>
      <c r="F24" s="15" t="s">
        <v>143</v>
      </c>
      <c r="G24" s="77">
        <v>-45</v>
      </c>
      <c r="H24" s="193" t="s">
        <v>5</v>
      </c>
      <c r="I24" s="235"/>
      <c r="J24" s="33"/>
      <c r="K24" s="164"/>
      <c r="L24" s="192"/>
      <c r="M24" s="36"/>
    </row>
    <row r="25" spans="1:13" s="11" customFormat="1" ht="12.75" customHeight="1" x14ac:dyDescent="0.2">
      <c r="A25" s="11" t="s">
        <v>117</v>
      </c>
      <c r="B25" s="35">
        <v>45926</v>
      </c>
      <c r="C25" s="12" t="s">
        <v>481</v>
      </c>
      <c r="D25" s="12" t="s">
        <v>482</v>
      </c>
      <c r="E25" s="12" t="s">
        <v>140</v>
      </c>
      <c r="F25" s="15" t="s">
        <v>148</v>
      </c>
      <c r="G25" s="77">
        <v>-5.36</v>
      </c>
      <c r="H25" s="193" t="s">
        <v>5</v>
      </c>
      <c r="I25" s="235"/>
      <c r="J25" s="33"/>
      <c r="K25" s="164"/>
      <c r="L25" s="192"/>
      <c r="M25" s="36"/>
    </row>
    <row r="26" spans="1:13" s="11" customFormat="1" ht="12.75" customHeight="1" x14ac:dyDescent="0.2">
      <c r="A26" s="11" t="s">
        <v>117</v>
      </c>
      <c r="B26" s="35">
        <v>45926</v>
      </c>
      <c r="C26" s="12" t="s">
        <v>481</v>
      </c>
      <c r="D26" s="12" t="s">
        <v>482</v>
      </c>
      <c r="E26" s="12" t="s">
        <v>140</v>
      </c>
      <c r="F26" s="15" t="s">
        <v>148</v>
      </c>
      <c r="G26" s="77">
        <v>-13.04</v>
      </c>
      <c r="H26" s="193" t="s">
        <v>5</v>
      </c>
      <c r="I26" s="235"/>
      <c r="J26" s="33"/>
      <c r="K26" s="164"/>
      <c r="L26" s="192"/>
      <c r="M26" s="36"/>
    </row>
    <row r="27" spans="1:13" s="11" customFormat="1" ht="12.75" customHeight="1" x14ac:dyDescent="0.2">
      <c r="A27" s="11" t="s">
        <v>117</v>
      </c>
      <c r="B27" s="35">
        <v>45926</v>
      </c>
      <c r="C27" s="12" t="s">
        <v>481</v>
      </c>
      <c r="D27" s="12" t="s">
        <v>482</v>
      </c>
      <c r="E27" s="12" t="s">
        <v>140</v>
      </c>
      <c r="F27" s="15" t="s">
        <v>180</v>
      </c>
      <c r="G27" s="77">
        <v>-100</v>
      </c>
      <c r="H27" s="193" t="s">
        <v>5</v>
      </c>
      <c r="I27" s="235"/>
      <c r="J27" s="33"/>
      <c r="K27" s="164"/>
      <c r="L27" s="192"/>
      <c r="M27" s="36"/>
    </row>
    <row r="28" spans="1:13" s="11" customFormat="1" ht="12.75" customHeight="1" x14ac:dyDescent="0.2">
      <c r="A28" s="11" t="s">
        <v>117</v>
      </c>
      <c r="B28" s="35">
        <v>45926</v>
      </c>
      <c r="C28" s="12" t="s">
        <v>481</v>
      </c>
      <c r="D28" s="12" t="s">
        <v>482</v>
      </c>
      <c r="E28" s="12" t="s">
        <v>140</v>
      </c>
      <c r="F28" s="15" t="s">
        <v>763</v>
      </c>
      <c r="G28" s="77">
        <v>-949.59</v>
      </c>
      <c r="H28" s="193" t="s">
        <v>5</v>
      </c>
      <c r="I28" s="235"/>
      <c r="J28" s="33"/>
      <c r="K28" s="164"/>
      <c r="L28" s="192"/>
      <c r="M28" s="36"/>
    </row>
    <row r="29" spans="1:13" s="11" customFormat="1" ht="12.75" customHeight="1" x14ac:dyDescent="0.2">
      <c r="A29" s="11" t="s">
        <v>117</v>
      </c>
      <c r="B29" s="35">
        <v>45926</v>
      </c>
      <c r="C29" s="12" t="s">
        <v>481</v>
      </c>
      <c r="D29" s="12" t="s">
        <v>482</v>
      </c>
      <c r="E29" s="12" t="s">
        <v>140</v>
      </c>
      <c r="F29" s="15" t="s">
        <v>764</v>
      </c>
      <c r="G29" s="77">
        <v>-1231.53</v>
      </c>
      <c r="H29" s="193" t="s">
        <v>5</v>
      </c>
      <c r="I29" s="235"/>
      <c r="J29" s="33"/>
      <c r="K29" s="164"/>
      <c r="L29" s="192"/>
      <c r="M29" s="36"/>
    </row>
    <row r="30" spans="1:13" s="11" customFormat="1" ht="12.75" customHeight="1" x14ac:dyDescent="0.2">
      <c r="A30" s="11" t="s">
        <v>117</v>
      </c>
      <c r="B30" s="35">
        <v>45926</v>
      </c>
      <c r="C30" s="12" t="s">
        <v>481</v>
      </c>
      <c r="D30" s="12" t="s">
        <v>482</v>
      </c>
      <c r="E30" s="12" t="s">
        <v>140</v>
      </c>
      <c r="F30" s="15" t="s">
        <v>765</v>
      </c>
      <c r="G30" s="77">
        <v>-981.37</v>
      </c>
      <c r="H30" s="193" t="s">
        <v>5</v>
      </c>
      <c r="I30" s="235"/>
      <c r="J30" s="33"/>
      <c r="K30" s="164"/>
      <c r="L30" s="192"/>
      <c r="M30" s="36"/>
    </row>
    <row r="31" spans="1:13" s="11" customFormat="1" ht="12.75" customHeight="1" x14ac:dyDescent="0.2">
      <c r="A31" s="11" t="s">
        <v>117</v>
      </c>
      <c r="B31" s="35">
        <v>45926</v>
      </c>
      <c r="C31" s="12" t="s">
        <v>481</v>
      </c>
      <c r="D31" s="12" t="s">
        <v>482</v>
      </c>
      <c r="E31" s="12" t="s">
        <v>140</v>
      </c>
      <c r="F31" s="15" t="s">
        <v>766</v>
      </c>
      <c r="G31" s="77">
        <v>-150</v>
      </c>
      <c r="H31" s="193" t="s">
        <v>5</v>
      </c>
      <c r="I31" s="235"/>
      <c r="J31" s="33"/>
      <c r="K31" s="164"/>
      <c r="L31" s="192"/>
      <c r="M31" s="36"/>
    </row>
    <row r="32" spans="1:13" s="11" customFormat="1" ht="12.75" customHeight="1" x14ac:dyDescent="0.2">
      <c r="A32" s="11" t="s">
        <v>117</v>
      </c>
      <c r="B32" s="35">
        <v>45926</v>
      </c>
      <c r="C32" s="12" t="s">
        <v>481</v>
      </c>
      <c r="D32" s="12" t="s">
        <v>482</v>
      </c>
      <c r="E32" s="12" t="s">
        <v>140</v>
      </c>
      <c r="F32" s="15" t="s">
        <v>767</v>
      </c>
      <c r="G32" s="77">
        <v>-1325.02</v>
      </c>
      <c r="H32" s="193" t="s">
        <v>5</v>
      </c>
      <c r="I32" s="235"/>
      <c r="J32" s="33"/>
      <c r="K32" s="164"/>
      <c r="L32" s="192"/>
      <c r="M32" s="36"/>
    </row>
    <row r="33" spans="1:13" s="11" customFormat="1" ht="12.75" customHeight="1" x14ac:dyDescent="0.2">
      <c r="A33" s="11" t="s">
        <v>117</v>
      </c>
      <c r="B33" s="35">
        <v>45929</v>
      </c>
      <c r="C33" s="12" t="s">
        <v>494</v>
      </c>
      <c r="D33" s="12" t="s">
        <v>495</v>
      </c>
      <c r="E33" s="12" t="s">
        <v>21</v>
      </c>
      <c r="F33" s="15" t="s">
        <v>774</v>
      </c>
      <c r="G33" s="77">
        <v>-123.95</v>
      </c>
      <c r="H33" s="193" t="s">
        <v>5</v>
      </c>
      <c r="I33" s="36" t="s">
        <v>805</v>
      </c>
      <c r="J33" s="33"/>
      <c r="K33" s="164"/>
      <c r="L33" s="192"/>
      <c r="M33" s="36"/>
    </row>
    <row r="34" spans="1:13" s="11" customFormat="1" ht="12.75" customHeight="1" x14ac:dyDescent="0.2">
      <c r="A34" s="11" t="s">
        <v>117</v>
      </c>
      <c r="B34" s="35">
        <v>45930</v>
      </c>
      <c r="C34" s="12" t="s">
        <v>502</v>
      </c>
      <c r="D34" s="12" t="s">
        <v>503</v>
      </c>
      <c r="E34" s="12" t="s">
        <v>546</v>
      </c>
      <c r="F34" s="15" t="s">
        <v>781</v>
      </c>
      <c r="G34" s="77">
        <v>-5.95</v>
      </c>
      <c r="H34" s="193" t="s">
        <v>5</v>
      </c>
      <c r="I34" s="235" t="s">
        <v>802</v>
      </c>
      <c r="J34" s="33"/>
      <c r="K34" s="164"/>
      <c r="L34" s="192"/>
      <c r="M34" s="36"/>
    </row>
    <row r="35" spans="1:13" s="11" customFormat="1" ht="12.75" customHeight="1" x14ac:dyDescent="0.2">
      <c r="A35" s="11" t="s">
        <v>117</v>
      </c>
      <c r="B35" s="35">
        <v>45930</v>
      </c>
      <c r="C35" s="12" t="s">
        <v>502</v>
      </c>
      <c r="D35" s="12" t="s">
        <v>503</v>
      </c>
      <c r="E35" s="12" t="s">
        <v>546</v>
      </c>
      <c r="F35" s="15" t="s">
        <v>781</v>
      </c>
      <c r="G35" s="77">
        <v>-10</v>
      </c>
      <c r="H35" s="193" t="s">
        <v>5</v>
      </c>
      <c r="I35" s="235"/>
      <c r="J35" s="33"/>
      <c r="K35" s="164"/>
      <c r="L35" s="192"/>
      <c r="M35" s="36"/>
    </row>
    <row r="36" spans="1:13" s="11" customFormat="1" ht="12.75" customHeight="1" x14ac:dyDescent="0.2">
      <c r="A36" s="11" t="s">
        <v>117</v>
      </c>
      <c r="B36" s="35">
        <v>45930</v>
      </c>
      <c r="C36" s="12" t="s">
        <v>502</v>
      </c>
      <c r="D36" s="12" t="s">
        <v>503</v>
      </c>
      <c r="E36" s="12" t="s">
        <v>546</v>
      </c>
      <c r="F36" s="15" t="s">
        <v>781</v>
      </c>
      <c r="G36" s="77">
        <v>-3</v>
      </c>
      <c r="H36" s="193" t="s">
        <v>5</v>
      </c>
      <c r="I36" s="235"/>
      <c r="J36" s="33"/>
      <c r="K36" s="164"/>
      <c r="L36" s="192"/>
      <c r="M36" s="36"/>
    </row>
    <row r="37" spans="1:13" s="11" customFormat="1" ht="12.75" customHeight="1" x14ac:dyDescent="0.2">
      <c r="A37" s="11" t="s">
        <v>117</v>
      </c>
      <c r="B37" s="35">
        <v>45930</v>
      </c>
      <c r="C37" s="12" t="s">
        <v>502</v>
      </c>
      <c r="D37" s="12" t="s">
        <v>503</v>
      </c>
      <c r="E37" s="12" t="s">
        <v>546</v>
      </c>
      <c r="F37" s="15" t="s">
        <v>782</v>
      </c>
      <c r="G37" s="77">
        <v>-184.85</v>
      </c>
      <c r="H37" s="193" t="s">
        <v>5</v>
      </c>
      <c r="I37" s="235"/>
      <c r="J37" s="33"/>
      <c r="K37" s="164"/>
      <c r="L37" s="192"/>
      <c r="M37" s="36"/>
    </row>
    <row r="38" spans="1:13" s="11" customFormat="1" ht="12.75" customHeight="1" x14ac:dyDescent="0.2">
      <c r="A38" s="11" t="s">
        <v>117</v>
      </c>
      <c r="B38" s="35">
        <v>45930</v>
      </c>
      <c r="C38" s="12" t="s">
        <v>502</v>
      </c>
      <c r="D38" s="12" t="s">
        <v>503</v>
      </c>
      <c r="E38" s="12" t="s">
        <v>546</v>
      </c>
      <c r="F38" s="15" t="s">
        <v>783</v>
      </c>
      <c r="G38" s="77">
        <v>-74.95</v>
      </c>
      <c r="H38" s="193" t="s">
        <v>5</v>
      </c>
      <c r="I38" s="235"/>
      <c r="J38" s="33"/>
      <c r="K38" s="164"/>
      <c r="L38" s="192"/>
      <c r="M38" s="36"/>
    </row>
    <row r="39" spans="1:13" s="11" customFormat="1" ht="12.75" customHeight="1" x14ac:dyDescent="0.2">
      <c r="A39" s="11" t="s">
        <v>117</v>
      </c>
      <c r="B39" s="35">
        <v>45930</v>
      </c>
      <c r="C39" s="12" t="s">
        <v>502</v>
      </c>
      <c r="D39" s="12" t="s">
        <v>503</v>
      </c>
      <c r="E39" s="12" t="s">
        <v>546</v>
      </c>
      <c r="F39" s="15" t="s">
        <v>783</v>
      </c>
      <c r="G39" s="77">
        <v>-167</v>
      </c>
      <c r="H39" s="193" t="s">
        <v>5</v>
      </c>
      <c r="I39" s="235"/>
      <c r="J39" s="33"/>
      <c r="K39" s="164"/>
      <c r="L39" s="192"/>
      <c r="M39" s="36"/>
    </row>
    <row r="40" spans="1:13" s="11" customFormat="1" ht="12.75" customHeight="1" x14ac:dyDescent="0.2">
      <c r="A40" s="11" t="s">
        <v>117</v>
      </c>
      <c r="B40" s="35">
        <v>45930</v>
      </c>
      <c r="C40" s="12" t="s">
        <v>504</v>
      </c>
      <c r="D40" s="12" t="s">
        <v>505</v>
      </c>
      <c r="E40" s="12" t="s">
        <v>534</v>
      </c>
      <c r="F40" s="15" t="s">
        <v>711</v>
      </c>
      <c r="G40" s="77">
        <v>-1027.5</v>
      </c>
      <c r="H40" s="193" t="s">
        <v>5</v>
      </c>
      <c r="I40" s="36" t="s">
        <v>800</v>
      </c>
      <c r="J40" s="33"/>
      <c r="K40" s="164"/>
      <c r="L40" s="192"/>
      <c r="M40" s="36"/>
    </row>
    <row r="41" spans="1:13" s="11" customFormat="1" ht="12.75" customHeight="1" x14ac:dyDescent="0.2">
      <c r="A41" s="11" t="s">
        <v>117</v>
      </c>
      <c r="B41" s="35">
        <v>45930</v>
      </c>
      <c r="C41" s="12" t="s">
        <v>506</v>
      </c>
      <c r="D41" s="12" t="s">
        <v>507</v>
      </c>
      <c r="E41" s="12" t="s">
        <v>517</v>
      </c>
      <c r="F41" s="15" t="s">
        <v>784</v>
      </c>
      <c r="G41" s="77">
        <v>-29.82</v>
      </c>
      <c r="H41" s="193" t="s">
        <v>5</v>
      </c>
      <c r="I41" s="36" t="s">
        <v>799</v>
      </c>
      <c r="J41" s="33"/>
      <c r="K41" s="164"/>
      <c r="L41" s="192"/>
      <c r="M41" s="36"/>
    </row>
    <row r="42" spans="1:13" s="11" customFormat="1" ht="12.75" customHeight="1" x14ac:dyDescent="0.2">
      <c r="A42" s="11" t="s">
        <v>117</v>
      </c>
      <c r="B42" s="35">
        <v>45930</v>
      </c>
      <c r="C42" s="12" t="s">
        <v>508</v>
      </c>
      <c r="D42" s="12" t="s">
        <v>509</v>
      </c>
      <c r="E42" s="12" t="s">
        <v>509</v>
      </c>
      <c r="F42" s="15" t="s">
        <v>127</v>
      </c>
      <c r="G42" s="77">
        <v>-193875.17</v>
      </c>
      <c r="H42" s="193" t="s">
        <v>5</v>
      </c>
      <c r="I42" s="36" t="s">
        <v>801</v>
      </c>
      <c r="J42" s="33"/>
      <c r="K42" s="164"/>
      <c r="L42" s="192"/>
      <c r="M42" s="36"/>
    </row>
    <row r="43" spans="1:13" s="11" customFormat="1" ht="12.75" customHeight="1" x14ac:dyDescent="0.2">
      <c r="A43" s="11" t="s">
        <v>117</v>
      </c>
      <c r="B43" s="35">
        <v>45930</v>
      </c>
      <c r="C43" s="12" t="s">
        <v>511</v>
      </c>
      <c r="D43" s="12" t="s">
        <v>512</v>
      </c>
      <c r="E43" s="12" t="s">
        <v>548</v>
      </c>
      <c r="F43" s="15" t="s">
        <v>548</v>
      </c>
      <c r="G43" s="77">
        <v>-22690.01</v>
      </c>
      <c r="H43" s="193" t="s">
        <v>5</v>
      </c>
      <c r="I43" s="36" t="s">
        <v>803</v>
      </c>
      <c r="J43" s="33"/>
      <c r="K43" s="164"/>
      <c r="L43" s="192"/>
      <c r="M43" s="36"/>
    </row>
    <row r="44" spans="1:13" s="11" customFormat="1" ht="12.75" customHeight="1" x14ac:dyDescent="0.2">
      <c r="A44" s="11" t="s">
        <v>117</v>
      </c>
      <c r="B44" s="35">
        <v>45930</v>
      </c>
      <c r="C44" s="12" t="s">
        <v>515</v>
      </c>
      <c r="D44" s="12"/>
      <c r="E44" s="12" t="s">
        <v>549</v>
      </c>
      <c r="F44" s="15" t="s">
        <v>794</v>
      </c>
      <c r="G44" s="77">
        <v>-17770.599999999999</v>
      </c>
      <c r="H44" s="193" t="s">
        <v>5</v>
      </c>
      <c r="I44" s="36" t="s">
        <v>804</v>
      </c>
      <c r="J44" s="33"/>
      <c r="K44" s="164"/>
      <c r="L44" s="77"/>
      <c r="M44" s="36"/>
    </row>
    <row r="45" spans="1:13" ht="13.5" thickBot="1" x14ac:dyDescent="0.25">
      <c r="G45" s="27">
        <f>SUM(G18:G44)</f>
        <v>-244384.30000000002</v>
      </c>
    </row>
    <row r="46" spans="1:13" ht="13.5" thickTop="1" x14ac:dyDescent="0.2"/>
  </sheetData>
  <sortState xmlns:xlrd2="http://schemas.microsoft.com/office/spreadsheetml/2017/richdata2" ref="B115:H119">
    <sortCondition ref="B115:B119"/>
    <sortCondition ref="D115:D119"/>
  </sortState>
  <mergeCells count="2">
    <mergeCell ref="I19:I32"/>
    <mergeCell ref="I34:I39"/>
  </mergeCells>
  <pageMargins left="0" right="0" top="0.75" bottom="0.75" header="0.3" footer="0.3"/>
  <pageSetup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zoomScale="85" zoomScaleNormal="85" workbookViewId="0"/>
  </sheetViews>
  <sheetFormatPr defaultRowHeight="12.75" x14ac:dyDescent="0.2"/>
  <cols>
    <col min="1" max="1" width="15.33203125" bestFit="1" customWidth="1"/>
    <col min="2" max="2" width="12.6640625" customWidth="1"/>
    <col min="3" max="3" width="14.6640625" bestFit="1" customWidth="1"/>
    <col min="4" max="4" width="14.33203125" customWidth="1"/>
    <col min="5" max="5" width="45" customWidth="1"/>
    <col min="6" max="6" width="59.6640625" customWidth="1"/>
    <col min="7" max="7" width="14.6640625" customWidth="1"/>
    <col min="8" max="8" width="16.6640625" customWidth="1"/>
    <col min="9" max="9" width="15" customWidth="1"/>
    <col min="10" max="10" width="16" style="79" customWidth="1"/>
    <col min="11" max="11" width="12" style="79" bestFit="1" customWidth="1"/>
  </cols>
  <sheetData>
    <row r="1" spans="1:13" x14ac:dyDescent="0.2">
      <c r="A1" s="55" t="s">
        <v>129</v>
      </c>
    </row>
    <row r="2" spans="1:13" s="8" customFormat="1" x14ac:dyDescent="0.2">
      <c r="A2" s="3" t="s">
        <v>133</v>
      </c>
      <c r="B2" s="3" t="s">
        <v>95</v>
      </c>
      <c r="C2" s="5" t="s">
        <v>96</v>
      </c>
      <c r="D2" s="2" t="s">
        <v>97</v>
      </c>
      <c r="E2" s="16" t="s">
        <v>99</v>
      </c>
      <c r="F2" s="16" t="s">
        <v>112</v>
      </c>
      <c r="G2" s="16" t="s">
        <v>98</v>
      </c>
      <c r="J2" s="60"/>
      <c r="K2" s="60"/>
    </row>
    <row r="3" spans="1:13" s="23" customFormat="1" x14ac:dyDescent="0.2">
      <c r="A3" s="23" t="s">
        <v>117</v>
      </c>
      <c r="B3" s="33" t="s">
        <v>151</v>
      </c>
      <c r="C3" s="32">
        <v>-387642.13</v>
      </c>
      <c r="D3" s="24"/>
      <c r="E3" s="24"/>
      <c r="F3" s="24" t="s">
        <v>8</v>
      </c>
      <c r="G3" s="163">
        <v>-4</v>
      </c>
      <c r="H3" s="25"/>
      <c r="I3" s="24"/>
      <c r="K3" s="187"/>
    </row>
    <row r="4" spans="1:13" s="30" customFormat="1" x14ac:dyDescent="0.2">
      <c r="A4" s="23"/>
      <c r="B4" s="35"/>
      <c r="C4" s="24"/>
      <c r="D4" s="33"/>
      <c r="E4" s="11"/>
      <c r="F4" s="24"/>
      <c r="G4" s="32"/>
      <c r="H4" s="25"/>
      <c r="I4" s="21"/>
      <c r="J4" s="163"/>
      <c r="K4" s="1"/>
    </row>
    <row r="5" spans="1:13" x14ac:dyDescent="0.2">
      <c r="A5" s="55" t="s">
        <v>132</v>
      </c>
    </row>
    <row r="6" spans="1:13" s="11" customFormat="1" x14ac:dyDescent="0.2">
      <c r="A6" s="3" t="s">
        <v>133</v>
      </c>
      <c r="B6" s="3" t="s">
        <v>95</v>
      </c>
      <c r="C6" s="3" t="s">
        <v>110</v>
      </c>
      <c r="D6" s="3" t="s">
        <v>111</v>
      </c>
      <c r="E6" s="3" t="s">
        <v>99</v>
      </c>
      <c r="F6" s="3" t="s">
        <v>112</v>
      </c>
      <c r="G6" s="3" t="s">
        <v>113</v>
      </c>
      <c r="H6" s="3"/>
      <c r="I6" s="3"/>
      <c r="J6" s="80" t="s">
        <v>134</v>
      </c>
      <c r="K6" s="80" t="s">
        <v>98</v>
      </c>
    </row>
    <row r="7" spans="1:13" s="11" customFormat="1" ht="12.75" customHeight="1" x14ac:dyDescent="0.2">
      <c r="A7" s="11" t="s">
        <v>117</v>
      </c>
      <c r="B7" s="35">
        <v>45898</v>
      </c>
      <c r="C7" s="12" t="s">
        <v>189</v>
      </c>
      <c r="D7" s="12" t="s">
        <v>119</v>
      </c>
      <c r="E7" s="12" t="s">
        <v>192</v>
      </c>
      <c r="F7" s="15" t="s">
        <v>193</v>
      </c>
      <c r="G7" s="196">
        <v>6696.14</v>
      </c>
      <c r="H7" s="224"/>
      <c r="I7" s="36"/>
      <c r="J7" s="33" t="s">
        <v>206</v>
      </c>
      <c r="K7" s="164">
        <v>3</v>
      </c>
      <c r="L7" s="192"/>
      <c r="M7" s="36"/>
    </row>
    <row r="8" spans="1:13" s="11" customFormat="1" ht="12.75" customHeight="1" x14ac:dyDescent="0.2">
      <c r="A8" s="11" t="s">
        <v>117</v>
      </c>
      <c r="B8" s="35">
        <v>45898</v>
      </c>
      <c r="C8" s="12" t="s">
        <v>189</v>
      </c>
      <c r="D8" s="12" t="s">
        <v>119</v>
      </c>
      <c r="E8" s="12" t="s">
        <v>192</v>
      </c>
      <c r="F8" s="15" t="s">
        <v>194</v>
      </c>
      <c r="G8" s="36">
        <v>2061.1</v>
      </c>
      <c r="H8" s="224"/>
      <c r="I8" s="36"/>
      <c r="J8" s="33" t="s">
        <v>205</v>
      </c>
      <c r="K8" s="164">
        <v>3</v>
      </c>
      <c r="L8" s="192"/>
      <c r="M8" s="36"/>
    </row>
    <row r="9" spans="1:13" s="11" customFormat="1" ht="12.75" customHeight="1" x14ac:dyDescent="0.2">
      <c r="A9" s="11" t="s">
        <v>117</v>
      </c>
      <c r="B9" s="35">
        <v>45899</v>
      </c>
      <c r="C9" s="12" t="s">
        <v>190</v>
      </c>
      <c r="D9" s="12" t="s">
        <v>191</v>
      </c>
      <c r="E9" s="12" t="s">
        <v>191</v>
      </c>
      <c r="F9" s="15" t="s">
        <v>195</v>
      </c>
      <c r="G9" s="36">
        <v>270</v>
      </c>
      <c r="H9" s="224"/>
      <c r="I9" s="36"/>
      <c r="J9" s="33" t="s">
        <v>208</v>
      </c>
      <c r="K9" s="164">
        <v>3</v>
      </c>
      <c r="L9" s="192"/>
      <c r="M9" s="36"/>
    </row>
    <row r="10" spans="1:13" s="11" customFormat="1" ht="12.75" customHeight="1" x14ac:dyDescent="0.2">
      <c r="A10" s="11" t="s">
        <v>117</v>
      </c>
      <c r="B10" s="35">
        <v>45900</v>
      </c>
      <c r="C10" s="12" t="s">
        <v>196</v>
      </c>
      <c r="D10" s="12" t="s">
        <v>119</v>
      </c>
      <c r="E10" s="12" t="s">
        <v>199</v>
      </c>
      <c r="F10" s="15" t="s">
        <v>201</v>
      </c>
      <c r="G10" s="196">
        <v>950.06</v>
      </c>
      <c r="H10" s="224"/>
      <c r="I10" s="36"/>
      <c r="J10" s="33" t="s">
        <v>206</v>
      </c>
      <c r="K10" s="164">
        <v>3</v>
      </c>
      <c r="L10" s="192"/>
      <c r="M10" s="36"/>
    </row>
    <row r="11" spans="1:13" s="11" customFormat="1" ht="12.75" customHeight="1" x14ac:dyDescent="0.2">
      <c r="A11" s="11" t="s">
        <v>117</v>
      </c>
      <c r="B11" s="35">
        <v>45894</v>
      </c>
      <c r="C11" s="12" t="s">
        <v>152</v>
      </c>
      <c r="D11" s="12" t="s">
        <v>153</v>
      </c>
      <c r="E11" s="12" t="s">
        <v>142</v>
      </c>
      <c r="F11" s="15" t="s">
        <v>179</v>
      </c>
      <c r="H11" s="77">
        <v>-137.76</v>
      </c>
      <c r="I11" s="36"/>
      <c r="J11" s="33" t="s">
        <v>205</v>
      </c>
      <c r="K11" s="164">
        <v>-3</v>
      </c>
      <c r="L11" s="192"/>
      <c r="M11" s="36"/>
    </row>
    <row r="12" spans="1:13" s="11" customFormat="1" ht="12.75" customHeight="1" x14ac:dyDescent="0.2">
      <c r="A12" s="11" t="s">
        <v>117</v>
      </c>
      <c r="B12" s="35">
        <v>45894</v>
      </c>
      <c r="C12" s="12" t="s">
        <v>154</v>
      </c>
      <c r="D12" s="12" t="s">
        <v>155</v>
      </c>
      <c r="E12" s="12" t="s">
        <v>140</v>
      </c>
      <c r="F12" s="15" t="s">
        <v>180</v>
      </c>
      <c r="H12" s="77">
        <v>-634.09</v>
      </c>
      <c r="I12" s="191"/>
      <c r="J12" s="33" t="s">
        <v>208</v>
      </c>
      <c r="K12" s="164">
        <v>-3</v>
      </c>
      <c r="L12" s="192"/>
      <c r="M12" s="36"/>
    </row>
    <row r="13" spans="1:13" s="11" customFormat="1" ht="12.75" customHeight="1" x14ac:dyDescent="0.2">
      <c r="A13" s="11" t="s">
        <v>117</v>
      </c>
      <c r="B13" s="35">
        <v>45894</v>
      </c>
      <c r="C13" s="12" t="s">
        <v>154</v>
      </c>
      <c r="D13" s="12" t="s">
        <v>155</v>
      </c>
      <c r="E13" s="12" t="s">
        <v>140</v>
      </c>
      <c r="F13" s="15" t="s">
        <v>144</v>
      </c>
      <c r="H13" s="77">
        <v>-787.87</v>
      </c>
      <c r="I13" s="191"/>
      <c r="J13" s="33" t="s">
        <v>208</v>
      </c>
      <c r="K13" s="164">
        <v>-3</v>
      </c>
      <c r="L13" s="192"/>
      <c r="M13" s="36"/>
    </row>
    <row r="14" spans="1:13" s="11" customFormat="1" ht="12.75" customHeight="1" x14ac:dyDescent="0.2">
      <c r="A14" s="11" t="s">
        <v>117</v>
      </c>
      <c r="B14" s="35">
        <v>45894</v>
      </c>
      <c r="C14" s="12" t="s">
        <v>154</v>
      </c>
      <c r="D14" s="12" t="s">
        <v>155</v>
      </c>
      <c r="E14" s="12" t="s">
        <v>140</v>
      </c>
      <c r="F14" s="15" t="s">
        <v>145</v>
      </c>
      <c r="H14" s="77">
        <v>-451.77</v>
      </c>
      <c r="I14" s="191"/>
      <c r="J14" s="33" t="s">
        <v>208</v>
      </c>
      <c r="K14" s="164">
        <v>-3</v>
      </c>
      <c r="L14" s="192"/>
      <c r="M14" s="36"/>
    </row>
    <row r="15" spans="1:13" s="11" customFormat="1" ht="12.75" customHeight="1" x14ac:dyDescent="0.2">
      <c r="A15" s="11" t="s">
        <v>117</v>
      </c>
      <c r="B15" s="35">
        <v>45894</v>
      </c>
      <c r="C15" s="12" t="s">
        <v>154</v>
      </c>
      <c r="D15" s="12" t="s">
        <v>155</v>
      </c>
      <c r="E15" s="12" t="s">
        <v>140</v>
      </c>
      <c r="F15" s="15" t="s">
        <v>181</v>
      </c>
      <c r="H15" s="77">
        <v>-405.99</v>
      </c>
      <c r="I15" s="191"/>
      <c r="J15" s="33" t="s">
        <v>208</v>
      </c>
      <c r="K15" s="164">
        <v>-3</v>
      </c>
      <c r="L15" s="192"/>
      <c r="M15" s="36"/>
    </row>
    <row r="16" spans="1:13" s="11" customFormat="1" ht="12.75" customHeight="1" x14ac:dyDescent="0.2">
      <c r="A16" s="11" t="s">
        <v>117</v>
      </c>
      <c r="B16" s="35">
        <v>45894</v>
      </c>
      <c r="C16" s="12" t="s">
        <v>154</v>
      </c>
      <c r="D16" s="12" t="s">
        <v>155</v>
      </c>
      <c r="E16" s="12" t="s">
        <v>140</v>
      </c>
      <c r="F16" s="15" t="s">
        <v>182</v>
      </c>
      <c r="H16" s="77">
        <v>-300</v>
      </c>
      <c r="I16" s="191"/>
      <c r="J16" s="33" t="s">
        <v>208</v>
      </c>
      <c r="K16" s="164">
        <v>-3</v>
      </c>
      <c r="L16" s="192"/>
      <c r="M16" s="36"/>
    </row>
    <row r="17" spans="1:13" s="11" customFormat="1" ht="12.75" customHeight="1" x14ac:dyDescent="0.2">
      <c r="A17" s="11" t="s">
        <v>117</v>
      </c>
      <c r="B17" s="35">
        <v>45894</v>
      </c>
      <c r="C17" s="12" t="s">
        <v>154</v>
      </c>
      <c r="D17" s="12" t="s">
        <v>155</v>
      </c>
      <c r="E17" s="12" t="s">
        <v>140</v>
      </c>
      <c r="F17" s="15" t="s">
        <v>183</v>
      </c>
      <c r="H17" s="77">
        <v>-875</v>
      </c>
      <c r="I17" s="191"/>
      <c r="J17" s="33" t="s">
        <v>208</v>
      </c>
      <c r="K17" s="164">
        <v>-3</v>
      </c>
      <c r="L17" s="192"/>
      <c r="M17" s="36"/>
    </row>
    <row r="18" spans="1:13" s="11" customFormat="1" ht="12.75" customHeight="1" x14ac:dyDescent="0.2">
      <c r="A18" s="11" t="s">
        <v>117</v>
      </c>
      <c r="B18" s="35">
        <v>45894</v>
      </c>
      <c r="C18" s="12" t="s">
        <v>156</v>
      </c>
      <c r="D18" s="12" t="s">
        <v>157</v>
      </c>
      <c r="E18" s="12" t="s">
        <v>147</v>
      </c>
      <c r="F18" s="15" t="s">
        <v>150</v>
      </c>
      <c r="H18" s="77">
        <v>-550</v>
      </c>
      <c r="I18" s="36"/>
      <c r="J18" s="33" t="s">
        <v>209</v>
      </c>
      <c r="K18" s="164">
        <v>-3</v>
      </c>
      <c r="L18" s="192"/>
      <c r="M18" s="36"/>
    </row>
    <row r="19" spans="1:13" s="11" customFormat="1" ht="12.75" customHeight="1" x14ac:dyDescent="0.2">
      <c r="A19" s="11" t="s">
        <v>117</v>
      </c>
      <c r="B19" s="35">
        <v>45894</v>
      </c>
      <c r="C19" s="12" t="s">
        <v>158</v>
      </c>
      <c r="D19" s="12" t="s">
        <v>159</v>
      </c>
      <c r="E19" s="12" t="s">
        <v>146</v>
      </c>
      <c r="F19" s="15" t="s">
        <v>184</v>
      </c>
      <c r="H19" s="77">
        <v>-255</v>
      </c>
      <c r="I19" s="36"/>
      <c r="J19" s="33" t="s">
        <v>208</v>
      </c>
      <c r="K19" s="164">
        <v>-3</v>
      </c>
      <c r="L19" s="192"/>
      <c r="M19" s="36"/>
    </row>
    <row r="20" spans="1:13" s="11" customFormat="1" ht="12.75" customHeight="1" x14ac:dyDescent="0.2">
      <c r="A20" s="11" t="s">
        <v>117</v>
      </c>
      <c r="B20" s="35">
        <v>45895</v>
      </c>
      <c r="C20" s="12" t="s">
        <v>160</v>
      </c>
      <c r="D20" s="12" t="s">
        <v>161</v>
      </c>
      <c r="E20" s="12" t="s">
        <v>140</v>
      </c>
      <c r="F20" s="15" t="s">
        <v>185</v>
      </c>
      <c r="H20" s="77">
        <v>-1307.1500000000001</v>
      </c>
      <c r="I20" s="36"/>
      <c r="J20" s="33" t="s">
        <v>208</v>
      </c>
      <c r="K20" s="164">
        <v>-3</v>
      </c>
      <c r="L20" s="192"/>
      <c r="M20" s="36"/>
    </row>
    <row r="21" spans="1:13" s="11" customFormat="1" ht="12.75" customHeight="1" x14ac:dyDescent="0.2">
      <c r="A21" s="11" t="s">
        <v>117</v>
      </c>
      <c r="B21" s="35">
        <v>45895</v>
      </c>
      <c r="C21" s="12" t="s">
        <v>162</v>
      </c>
      <c r="D21" s="12" t="s">
        <v>163</v>
      </c>
      <c r="E21" s="12" t="s">
        <v>121</v>
      </c>
      <c r="F21" s="15" t="s">
        <v>186</v>
      </c>
      <c r="H21" s="77">
        <v>-56</v>
      </c>
      <c r="I21" s="36"/>
      <c r="J21" s="33" t="s">
        <v>219</v>
      </c>
      <c r="K21" s="164">
        <v>-3</v>
      </c>
      <c r="L21" s="192"/>
      <c r="M21" s="36"/>
    </row>
    <row r="22" spans="1:13" s="11" customFormat="1" ht="12.75" customHeight="1" x14ac:dyDescent="0.2">
      <c r="A22" s="11" t="s">
        <v>117</v>
      </c>
      <c r="B22" s="35">
        <v>45898</v>
      </c>
      <c r="C22" s="12" t="s">
        <v>164</v>
      </c>
      <c r="D22" s="12" t="s">
        <v>165</v>
      </c>
      <c r="E22" s="12" t="s">
        <v>19</v>
      </c>
      <c r="F22" s="15" t="s">
        <v>187</v>
      </c>
      <c r="H22" s="77">
        <v>-165.52</v>
      </c>
      <c r="I22" s="36"/>
      <c r="J22" s="33" t="s">
        <v>205</v>
      </c>
      <c r="K22" s="164">
        <v>-3</v>
      </c>
      <c r="L22" s="192"/>
      <c r="M22" s="36"/>
    </row>
    <row r="23" spans="1:13" s="11" customFormat="1" ht="12.75" customHeight="1" x14ac:dyDescent="0.2">
      <c r="A23" s="11" t="s">
        <v>117</v>
      </c>
      <c r="B23" s="35">
        <v>45898</v>
      </c>
      <c r="C23" s="12" t="s">
        <v>166</v>
      </c>
      <c r="D23" s="12" t="s">
        <v>167</v>
      </c>
      <c r="E23" s="12" t="s">
        <v>172</v>
      </c>
      <c r="F23" s="15" t="s">
        <v>188</v>
      </c>
      <c r="H23" s="77">
        <v>-2400</v>
      </c>
      <c r="I23" s="36"/>
      <c r="J23" s="33" t="s">
        <v>236</v>
      </c>
      <c r="K23" s="164">
        <v>-3</v>
      </c>
      <c r="L23" s="192"/>
      <c r="M23" s="36"/>
    </row>
    <row r="24" spans="1:13" s="11" customFormat="1" ht="12.75" customHeight="1" x14ac:dyDescent="0.2">
      <c r="A24" s="11" t="s">
        <v>117</v>
      </c>
      <c r="B24" s="35">
        <v>45900</v>
      </c>
      <c r="C24" s="12" t="s">
        <v>168</v>
      </c>
      <c r="D24" s="12" t="s">
        <v>169</v>
      </c>
      <c r="E24" s="12" t="s">
        <v>173</v>
      </c>
      <c r="F24" s="15" t="s">
        <v>127</v>
      </c>
      <c r="H24" s="77">
        <v>-198634.81</v>
      </c>
      <c r="I24" s="36"/>
      <c r="J24" s="33" t="s">
        <v>209</v>
      </c>
      <c r="K24" s="164">
        <v>-3</v>
      </c>
      <c r="L24" s="192"/>
      <c r="M24" s="36"/>
    </row>
    <row r="25" spans="1:13" s="11" customFormat="1" ht="12.75" customHeight="1" x14ac:dyDescent="0.2">
      <c r="A25" s="11" t="s">
        <v>117</v>
      </c>
      <c r="B25" s="35">
        <v>45900</v>
      </c>
      <c r="C25" s="12" t="s">
        <v>197</v>
      </c>
      <c r="D25" s="12" t="s">
        <v>198</v>
      </c>
      <c r="E25" s="12" t="s">
        <v>200</v>
      </c>
      <c r="F25" s="15" t="s">
        <v>200</v>
      </c>
      <c r="H25" s="77">
        <v>-22750.99</v>
      </c>
      <c r="I25" s="36"/>
      <c r="J25" s="35">
        <v>45901</v>
      </c>
      <c r="K25" s="164">
        <v>-4</v>
      </c>
      <c r="L25" s="77"/>
      <c r="M25" s="36"/>
    </row>
    <row r="26" spans="1:13" s="11" customFormat="1" ht="12.75" customHeight="1" x14ac:dyDescent="0.2">
      <c r="A26" s="11" t="s">
        <v>117</v>
      </c>
      <c r="B26" s="35">
        <v>45900</v>
      </c>
      <c r="C26" s="12" t="s">
        <v>202</v>
      </c>
      <c r="D26" s="12"/>
      <c r="E26" s="12" t="s">
        <v>203</v>
      </c>
      <c r="F26" s="15" t="s">
        <v>204</v>
      </c>
      <c r="H26" s="77">
        <v>-21748.98</v>
      </c>
      <c r="I26" s="36"/>
      <c r="J26" s="35">
        <v>45901</v>
      </c>
      <c r="K26" s="164">
        <v>-4</v>
      </c>
      <c r="L26" s="77"/>
      <c r="M26" s="3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bf3f30-e0e7-4d78-975b-e26688708161" xsi:nil="true"/>
    <lcf76f155ced4ddcb4097134ff3c332f xmlns="a5a00226-42df-4cdf-abf3-70d11146383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BD2A4E9190F478000D3BF7430858F" ma:contentTypeVersion="19" ma:contentTypeDescription="Create a new document." ma:contentTypeScope="" ma:versionID="e79f5a29f9520c306fa4bbfd6344e08d">
  <xsd:schema xmlns:xsd="http://www.w3.org/2001/XMLSchema" xmlns:xs="http://www.w3.org/2001/XMLSchema" xmlns:p="http://schemas.microsoft.com/office/2006/metadata/properties" xmlns:ns2="a5a00226-42df-4cdf-abf3-70d111463837" xmlns:ns3="19bf3f30-e0e7-4d78-975b-e26688708161" targetNamespace="http://schemas.microsoft.com/office/2006/metadata/properties" ma:root="true" ma:fieldsID="73933a5b4aa6c50fc7f164120509bf17" ns2:_="" ns3:_="">
    <xsd:import namespace="a5a00226-42df-4cdf-abf3-70d111463837"/>
    <xsd:import namespace="19bf3f30-e0e7-4d78-975b-e2668870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00226-42df-4cdf-abf3-70d11146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889991-f470-4d41-bb07-f8464fff8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f3f30-e0e7-4d78-975b-e2668870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1dde8-6a4e-4d16-886e-a95b15f7e7b8}" ma:internalName="TaxCatchAll" ma:showField="CatchAllData" ma:web="19bf3f30-e0e7-4d78-975b-e2668870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6EE0E5-9B8C-4CF6-94E5-B1C511604C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0BF40-C9CB-432A-9883-44B9AB495376}">
  <ds:schemaRefs>
    <ds:schemaRef ds:uri="http://purl.org/dc/dcmitype/"/>
    <ds:schemaRef ds:uri="http://www.w3.org/XML/1998/namespace"/>
    <ds:schemaRef ds:uri="19bf3f30-e0e7-4d78-975b-e26688708161"/>
    <ds:schemaRef ds:uri="a5a00226-42df-4cdf-abf3-70d11146383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FB9F5D8-7E2F-439F-B6D6-1D808A089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00226-42df-4cdf-abf3-70d111463837"/>
    <ds:schemaRef ds:uri="19bf3f30-e0e7-4d78-975b-e2668870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</vt:lpstr>
      <vt:lpstr>Summary old</vt:lpstr>
      <vt:lpstr>AR Notes</vt:lpstr>
      <vt:lpstr>Bank Statement</vt:lpstr>
      <vt:lpstr>GL</vt:lpstr>
      <vt:lpstr>Un-Reconcile transactions</vt:lpstr>
      <vt:lpstr>Old Reconciled</vt:lpstr>
      <vt:lpstr>Summary!Print_Area</vt:lpstr>
      <vt:lpstr>'Summary old'!Print_Area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Aditaya Kapoor</dc:creator>
  <cp:keywords/>
  <dc:description/>
  <cp:lastModifiedBy>Abhishek Singh Mehra</cp:lastModifiedBy>
  <cp:revision/>
  <cp:lastPrinted>2025-05-14T09:00:56Z</cp:lastPrinted>
  <dcterms:created xsi:type="dcterms:W3CDTF">2017-06-27T06:43:45Z</dcterms:created>
  <dcterms:modified xsi:type="dcterms:W3CDTF">2025-10-16T04:52:20Z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0x010100ABCBD2A4E9190F478000D3BF7430858F</vt:lpwstr>
  </property>
  <property fmtid="{D5CDD505-2E9C-101B-9397-08002B2CF9AE}" pid="3" name="MediaServiceImageTags">
    <vt:lpwstr/>
  </property>
</Properties>
</file>